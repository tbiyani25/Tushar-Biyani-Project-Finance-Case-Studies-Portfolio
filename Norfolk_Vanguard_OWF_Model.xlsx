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tusharbiyani/TB25/06 - Financial Modelling Case Studies/00 - Github Repository/"/>
    </mc:Choice>
  </mc:AlternateContent>
  <xr:revisionPtr revIDLastSave="0" documentId="13_ncr:1_{8A35BBB1-AA04-F94C-BAA4-8908CE2C35D2}" xr6:coauthVersionLast="47" xr6:coauthVersionMax="47" xr10:uidLastSave="{00000000-0000-0000-0000-000000000000}"/>
  <bookViews>
    <workbookView xWindow="12960" yWindow="29580" windowWidth="36000" windowHeight="21320" tabRatio="500" xr2:uid="{00000000-000D-0000-FFFF-FFFF00000000}"/>
  </bookViews>
  <sheets>
    <sheet name="Inputs_Assumptions" sheetId="3" r:id="rId1"/>
    <sheet name="Constr_Phase_Model" sheetId="2" r:id="rId2"/>
    <sheet name="IRR_Revenue_Model" sheetId="1" r:id="rId3"/>
    <sheet name="Sensitivity_Table" sheetId="8" r:id="rId4"/>
    <sheet name="Data_for_Graphs" sheetId="4" r:id="rId5"/>
    <sheet name="Output_PE_Takeaways" sheetId="6" r:id="rId6"/>
    <sheet name="Outputs_Lender_Takeaways" sheetId="7" r:id="rId7"/>
  </sheets>
  <definedNames>
    <definedName name="Capacity_Factor">Inputs_Assumptions!$E$29</definedName>
    <definedName name="Capacity_per_Turbine">Inputs_Assumptions!$E$26</definedName>
    <definedName name="CfD_Expiry_Date">Inputs_Assumptions!$E$99</definedName>
    <definedName name="CfD_Strike_Price">Inputs_Assumptions!$E$119</definedName>
    <definedName name="Circ_Ref">Inputs_Assumptions!#REF!</definedName>
    <definedName name="Constr_Contingency">Inputs_Assumptions!#REF!</definedName>
    <definedName name="Constr_Cost_per_kW">Inputs_Assumptions!#REF!</definedName>
    <definedName name="Constr_Debt_Pct">Inputs_Assumptions!$E$162</definedName>
    <definedName name="Constr_End_Date">Inputs_Assumptions!$E$83</definedName>
    <definedName name="Constr_Interest_Rate">Inputs_Assumptions!$E$163</definedName>
    <definedName name="Constr_P1">Inputs_Assumptions!$E$85</definedName>
    <definedName name="Constr_P2">Inputs_Assumptions!$E$86</definedName>
    <definedName name="Constr_P3">Inputs_Assumptions!$E$87</definedName>
    <definedName name="Constr_P4">Inputs_Assumptions!$E$88</definedName>
    <definedName name="Constr_P5">Inputs_Assumptions!$E$89</definedName>
    <definedName name="Constr_P6">Inputs_Assumptions!$E$90</definedName>
    <definedName name="Constr_P7">Inputs_Assumptions!$E$91</definedName>
    <definedName name="Constr_P8">Inputs_Assumptions!$E$92</definedName>
    <definedName name="Constr_Start_Date">Inputs_Assumptions!$E$82</definedName>
    <definedName name="Constr_Start_Quarter">Inputs_Assumptions!$E$84</definedName>
    <definedName name="Contigency">Inputs_Assumptions!$E$110</definedName>
    <definedName name="CPI_Escalation">Inputs_Assumptions!$E$127</definedName>
    <definedName name="Days_in_Year">Inputs_Assumptions!$E$15</definedName>
    <definedName name="DC_Cost_per_kW">Inputs_Assumptions!$E$104</definedName>
    <definedName name="Debt_Refinance_Date">Inputs_Assumptions!$E$98</definedName>
    <definedName name="Debt_Tenor">Inputs_Assumptions!$E$174</definedName>
    <definedName name="Degradation_Factor">Inputs_Assumptions!$E$76</definedName>
    <definedName name="Depr_Rate_Annual">Inputs_Assumptions!$E$135</definedName>
    <definedName name="Devex_Cost_per_kW">Inputs_Assumptions!$E$104</definedName>
    <definedName name="Electr_Rate">Inputs_Assumptions!$E$145</definedName>
    <definedName name="Electr_Rate_Escalation">Inputs_Assumptions!$E$157</definedName>
    <definedName name="Equity_In_Project">Inputs_Assumptions!$E$103</definedName>
    <definedName name="FID_Date">Inputs_Assumptions!$E$79</definedName>
    <definedName name="First_Debt_Interest">Inputs_Assumptions!$E$177</definedName>
    <definedName name="First_Interest_Quarterly">Inputs_Assumptions!$E$178</definedName>
    <definedName name="Fixed_Costs">Inputs_Assumptions!#REF!</definedName>
    <definedName name="Fixed_Escalation">Inputs_Assumptions!#REF!</definedName>
    <definedName name="Hours">Inputs_Assumptions!$E$11</definedName>
    <definedName name="Loan_Cmt_Fee_Pct">Inputs_Assumptions!$E$168</definedName>
    <definedName name="Loan_Upfront_Fee_Pct">Inputs_Assumptions!$E$167</definedName>
    <definedName name="Max_Debt_Draw">Inputs_Assumptions!$E$165</definedName>
    <definedName name="Merchant_Price">Inputs_Assumptions!$E$120</definedName>
    <definedName name="Million">Inputs_Assumptions!$E$24</definedName>
    <definedName name="Min_LLCR">Inputs_Assumptions!$E$186</definedName>
    <definedName name="Months_in_Quarter">Inputs_Assumptions!$E$12</definedName>
    <definedName name="Months_in_Year">Inputs_Assumptions!$E$13</definedName>
    <definedName name="Op_End_Date">Inputs_Assumptions!$E$101</definedName>
    <definedName name="Op_Start_Date">Inputs_Assumptions!$E$97</definedName>
    <definedName name="Oper_Debt_Pct">Inputs_Assumptions!#REF!</definedName>
    <definedName name="Operating_Debt_Pct">Inputs_Assumptions!#REF!</definedName>
    <definedName name="_xlnm.Print_Area" localSheetId="1">Constr_Phase_Model!$A$1:$R$35</definedName>
    <definedName name="_xlnm.Print_Area" localSheetId="0">Inputs_Assumptions!$A$1:$L$226</definedName>
    <definedName name="_xlnm.Print_Area" localSheetId="2">IRR_Revenue_Model!$A$1:$EF$223</definedName>
    <definedName name="Quarters_in_Year">Inputs_Assumptions!$E$14</definedName>
    <definedName name="Refi_Q_Num">IRR_Revenue_Model!$E$13</definedName>
    <definedName name="Revenue_Escalation">Inputs_Assumptions!$E$126</definedName>
    <definedName name="RPI_Escalation">Inputs_Assumptions!$E$128</definedName>
    <definedName name="Scenario">Inputs_Assumptions!$E$141</definedName>
    <definedName name="Second_Debt_Interest">Inputs_Assumptions!$E$181</definedName>
    <definedName name="Second_Interest_Quarterly">Inputs_Assumptions!$E$182</definedName>
    <definedName name="Tax_Rate">Inputs_Assumptions!$E$22</definedName>
    <definedName name="Terminal_Exit_Date">Inputs_Assumptions!$E$100</definedName>
    <definedName name="Turbine_Min_Pct">Inputs_Assumptions!#REF!</definedName>
    <definedName name="Turbines">Inputs_Assumptions!$E$27</definedName>
    <definedName name="Units">Inputs_Assumptions!$E$23</definedName>
    <definedName name="Variable_Costs">Inputs_Assumptions!#REF!</definedName>
    <definedName name="Variable_Escalation">Inputs_Assumptions!$E$126</definedName>
    <definedName name="WC_Pct_Revenue">Inputs_Assumptions!$E$134</definedName>
    <definedName name="Weighted_Avg_Interest">Inputs_Assumptions!$E$184</definedName>
    <definedName name="YIeld_Case">Inputs_Assumptions!#REF!</definedName>
  </definedName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46" i="3" l="1"/>
  <c r="D186" i="4"/>
  <c r="C186" i="4"/>
  <c r="D183" i="4"/>
  <c r="C183" i="4"/>
  <c r="D185" i="4"/>
  <c r="C185" i="4"/>
  <c r="D184" i="4"/>
  <c r="C184" i="4"/>
  <c r="D180" i="4"/>
  <c r="C180" i="4"/>
  <c r="D179" i="4"/>
  <c r="C179" i="4"/>
  <c r="D178" i="4"/>
  <c r="C178" i="4"/>
  <c r="D182" i="4"/>
  <c r="C182" i="4"/>
  <c r="C187" i="4"/>
  <c r="D187" i="4"/>
  <c r="D181" i="4"/>
  <c r="C181" i="4"/>
  <c r="D177" i="4"/>
  <c r="C177" i="4"/>
  <c r="C161" i="4" a="1"/>
  <c r="C161" i="4" s="1"/>
  <c r="C35" i="7" s="1"/>
  <c r="C160" i="4" a="1"/>
  <c r="C160" i="4" s="1"/>
  <c r="C34" i="7" s="1"/>
  <c r="C159" i="4" a="1"/>
  <c r="C159" i="4" s="1"/>
  <c r="C33" i="7" s="1"/>
  <c r="C158" i="4" a="1"/>
  <c r="C158" i="4" s="1"/>
  <c r="C32" i="7" s="1"/>
  <c r="C157" i="4" a="1"/>
  <c r="C157" i="4" s="1"/>
  <c r="C31" i="7" s="1"/>
  <c r="C156" i="4" a="1"/>
  <c r="C156" i="4" s="1"/>
  <c r="C30" i="7" s="1"/>
  <c r="C155" i="4" a="1"/>
  <c r="C155" i="4" s="1"/>
  <c r="C29" i="7" s="1"/>
  <c r="C154" i="4" a="1"/>
  <c r="C154" i="4" s="1"/>
  <c r="C28" i="7" s="1"/>
  <c r="C153" i="4" a="1"/>
  <c r="C153" i="4" s="1"/>
  <c r="C27" i="7" s="1"/>
  <c r="C152" i="4" a="1"/>
  <c r="C152" i="4" s="1"/>
  <c r="C26" i="7" s="1"/>
  <c r="C151" i="4" a="1"/>
  <c r="C151" i="4" s="1"/>
  <c r="C25" i="7" s="1"/>
  <c r="C146" i="4"/>
  <c r="D146" i="4" s="1"/>
  <c r="C147" i="4"/>
  <c r="D147" i="4" s="1"/>
  <c r="C142" i="4"/>
  <c r="D142" i="4" s="1"/>
  <c r="C140" i="4"/>
  <c r="D140" i="4" s="1"/>
  <c r="C145" i="4"/>
  <c r="D145" i="4" s="1"/>
  <c r="C143" i="4"/>
  <c r="D143" i="4" s="1"/>
  <c r="C141" i="4"/>
  <c r="D141" i="4" s="1"/>
  <c r="C148" i="4"/>
  <c r="D148" i="4" s="1"/>
  <c r="C144" i="4"/>
  <c r="D144" i="4" s="1"/>
  <c r="C132" i="4"/>
  <c r="C134" i="4"/>
  <c r="C137" i="4"/>
  <c r="C129" i="4"/>
  <c r="C130" i="4"/>
  <c r="C136" i="4"/>
  <c r="C131" i="4"/>
  <c r="C135" i="4"/>
  <c r="C133" i="4"/>
  <c r="C112" i="4"/>
  <c r="D112" i="4"/>
  <c r="F112" i="4"/>
  <c r="G112" i="4"/>
  <c r="C113" i="4"/>
  <c r="D113" i="4"/>
  <c r="F113" i="4"/>
  <c r="G113" i="4"/>
  <c r="C114" i="4"/>
  <c r="D114" i="4"/>
  <c r="F114" i="4"/>
  <c r="G114" i="4"/>
  <c r="C115" i="4"/>
  <c r="D115" i="4"/>
  <c r="F115" i="4"/>
  <c r="G115" i="4"/>
  <c r="C116" i="4"/>
  <c r="D116" i="4"/>
  <c r="F116" i="4"/>
  <c r="G116" i="4"/>
  <c r="C117" i="4"/>
  <c r="D117" i="4"/>
  <c r="F117" i="4"/>
  <c r="G117" i="4"/>
  <c r="C118" i="4"/>
  <c r="D118" i="4"/>
  <c r="F118" i="4"/>
  <c r="G118" i="4"/>
  <c r="C119" i="4"/>
  <c r="D119" i="4"/>
  <c r="F119" i="4"/>
  <c r="G119" i="4"/>
  <c r="C120" i="4"/>
  <c r="D120" i="4"/>
  <c r="F120" i="4"/>
  <c r="G120" i="4"/>
  <c r="C121" i="4"/>
  <c r="D121" i="4"/>
  <c r="F121" i="4"/>
  <c r="G121" i="4"/>
  <c r="E156" i="3"/>
  <c r="E162" i="3" s="1"/>
  <c r="E155" i="3"/>
  <c r="E76" i="3" s="1"/>
  <c r="E157" i="3"/>
  <c r="E154" i="3"/>
  <c r="E153" i="3"/>
  <c r="E152" i="3"/>
  <c r="E114" i="3" s="1"/>
  <c r="E151" i="3"/>
  <c r="E163" i="3" s="1"/>
  <c r="E150" i="3"/>
  <c r="E149" i="3"/>
  <c r="E148" i="3"/>
  <c r="E147" i="3"/>
  <c r="E145" i="3"/>
  <c r="E115" i="3"/>
  <c r="E120" i="3"/>
  <c r="FA114" i="1"/>
  <c r="G163" i="1"/>
  <c r="G169" i="1"/>
  <c r="G157" i="1"/>
  <c r="E28" i="7" l="1"/>
  <c r="F28" i="7"/>
  <c r="E30" i="7"/>
  <c r="F30" i="7"/>
  <c r="E32" i="7"/>
  <c r="D26" i="7"/>
  <c r="D28" i="7"/>
  <c r="D30" i="7"/>
  <c r="D32" i="7"/>
  <c r="D34" i="7"/>
  <c r="F34" i="7"/>
  <c r="F32" i="7"/>
  <c r="D25" i="7"/>
  <c r="D27" i="7"/>
  <c r="D29" i="7"/>
  <c r="D31" i="7"/>
  <c r="D33" i="7"/>
  <c r="D35" i="7"/>
  <c r="E26" i="7"/>
  <c r="E34" i="7"/>
  <c r="F26" i="7"/>
  <c r="E25" i="7"/>
  <c r="E27" i="7"/>
  <c r="E29" i="7"/>
  <c r="E31" i="7"/>
  <c r="E33" i="7"/>
  <c r="E35" i="7"/>
  <c r="F25" i="7"/>
  <c r="F27" i="7"/>
  <c r="F29" i="7"/>
  <c r="F31" i="7"/>
  <c r="F33" i="7"/>
  <c r="F35" i="7"/>
  <c r="F150" i="1"/>
  <c r="G147" i="1" s="1"/>
  <c r="F139" i="1"/>
  <c r="F130" i="1"/>
  <c r="E132" i="3"/>
  <c r="E130" i="3" l="1"/>
  <c r="G133" i="1"/>
  <c r="G125" i="1"/>
  <c r="E171" i="3"/>
  <c r="G137" i="1" l="1"/>
  <c r="D214" i="3"/>
  <c r="C233" i="3" s="1"/>
  <c r="E108" i="3"/>
  <c r="E109" i="3"/>
  <c r="E194" i="3" l="1"/>
  <c r="D5" i="1"/>
  <c r="D56" i="1" s="1"/>
  <c r="G5" i="1"/>
  <c r="G21" i="1"/>
  <c r="H21" i="1" s="1"/>
  <c r="H49" i="1" s="1"/>
  <c r="G22" i="1"/>
  <c r="G55" i="1"/>
  <c r="G73" i="1"/>
  <c r="G153" i="1"/>
  <c r="D154" i="1"/>
  <c r="G200" i="1"/>
  <c r="D201" i="1"/>
  <c r="G209" i="1" l="1"/>
  <c r="H22" i="1"/>
  <c r="H45" i="1" s="1"/>
  <c r="G45" i="1"/>
  <c r="G48" i="1"/>
  <c r="H46" i="1"/>
  <c r="G46" i="1"/>
  <c r="G154" i="1"/>
  <c r="G56" i="1"/>
  <c r="G49" i="1"/>
  <c r="G42" i="1"/>
  <c r="H48" i="1"/>
  <c r="G201" i="1"/>
  <c r="G207" i="1" s="1"/>
  <c r="H5" i="1"/>
  <c r="I21" i="1"/>
  <c r="H42" i="1"/>
  <c r="G11" i="1"/>
  <c r="G7" i="1"/>
  <c r="E119" i="3"/>
  <c r="E137" i="3"/>
  <c r="E136" i="3"/>
  <c r="E67" i="3"/>
  <c r="E66" i="3"/>
  <c r="E65" i="3"/>
  <c r="E64" i="3"/>
  <c r="E63" i="3"/>
  <c r="E74" i="3"/>
  <c r="E73" i="3"/>
  <c r="E72" i="3"/>
  <c r="E48" i="3"/>
  <c r="E30" i="3"/>
  <c r="E31" i="3" s="1"/>
  <c r="E51" i="3"/>
  <c r="E50" i="3"/>
  <c r="E49" i="3"/>
  <c r="H209" i="1" l="1"/>
  <c r="G206" i="1"/>
  <c r="I22" i="1"/>
  <c r="I45" i="1" s="1"/>
  <c r="G134" i="1"/>
  <c r="G135" i="1" s="1"/>
  <c r="G126" i="1"/>
  <c r="G27" i="1" a="1"/>
  <c r="G27" i="1" s="1"/>
  <c r="G28" i="1" a="1"/>
  <c r="G28" i="1" s="1"/>
  <c r="H7" i="1"/>
  <c r="H8" i="1" s="1"/>
  <c r="H9" i="1" s="1"/>
  <c r="H11" i="1"/>
  <c r="H27" i="1" a="1"/>
  <c r="H27" i="1" s="1"/>
  <c r="H56" i="1"/>
  <c r="H154" i="1"/>
  <c r="H201" i="1"/>
  <c r="I5" i="1"/>
  <c r="H28" i="1" a="1"/>
  <c r="H28" i="1" s="1"/>
  <c r="J21" i="1"/>
  <c r="I42" i="1"/>
  <c r="I49" i="1"/>
  <c r="I46" i="1"/>
  <c r="I48" i="1"/>
  <c r="E97" i="3"/>
  <c r="E101" i="3"/>
  <c r="E99" i="3"/>
  <c r="E98" i="3"/>
  <c r="H204" i="1" s="1"/>
  <c r="E169" i="3"/>
  <c r="E164" i="3"/>
  <c r="I44" i="1"/>
  <c r="E113" i="3"/>
  <c r="E110" i="3"/>
  <c r="E126" i="3"/>
  <c r="F37" i="3"/>
  <c r="F36" i="3"/>
  <c r="F35" i="3"/>
  <c r="F34" i="3"/>
  <c r="E28" i="3"/>
  <c r="E181" i="3" l="1"/>
  <c r="E182" i="3" s="1"/>
  <c r="E177" i="3"/>
  <c r="E178" i="3" s="1"/>
  <c r="CV180" i="1" s="1"/>
  <c r="I209" i="1"/>
  <c r="I204" i="1"/>
  <c r="H206" i="1"/>
  <c r="H207" i="1"/>
  <c r="E123" i="3" a="1"/>
  <c r="E123" i="3" s="1"/>
  <c r="G204" i="1"/>
  <c r="J22" i="1"/>
  <c r="J45" i="1" s="1"/>
  <c r="H126" i="1"/>
  <c r="H127" i="1" s="1"/>
  <c r="H134" i="1"/>
  <c r="H135" i="1" s="1"/>
  <c r="X13" i="2"/>
  <c r="W13" i="2"/>
  <c r="V13" i="2"/>
  <c r="E106" i="3"/>
  <c r="G208" i="1" s="1"/>
  <c r="H14" i="2"/>
  <c r="K13" i="2"/>
  <c r="G14" i="2"/>
  <c r="Z13" i="2"/>
  <c r="Y13" i="2"/>
  <c r="G141" i="1"/>
  <c r="G149" i="1" s="1"/>
  <c r="G107" i="1" s="1"/>
  <c r="H141" i="1"/>
  <c r="I53" i="1"/>
  <c r="H12" i="1"/>
  <c r="G53" i="1"/>
  <c r="H53" i="1"/>
  <c r="G127" i="1"/>
  <c r="H44" i="1"/>
  <c r="G44" i="1"/>
  <c r="H43" i="1"/>
  <c r="G43" i="1"/>
  <c r="I43" i="1"/>
  <c r="I15" i="1"/>
  <c r="G12" i="1"/>
  <c r="G13" i="1" s="1"/>
  <c r="G20" i="1"/>
  <c r="G40" i="1" s="1"/>
  <c r="G15" i="1"/>
  <c r="G17" i="1"/>
  <c r="H17" i="1"/>
  <c r="H66" i="1" s="1"/>
  <c r="H15" i="1"/>
  <c r="J5" i="1"/>
  <c r="I7" i="1"/>
  <c r="I8" i="1" s="1"/>
  <c r="I9" i="1" s="1"/>
  <c r="I154" i="1"/>
  <c r="I56" i="1"/>
  <c r="I28" i="1" a="1"/>
  <c r="I28" i="1" s="1"/>
  <c r="I27" i="1" a="1"/>
  <c r="I27" i="1" s="1"/>
  <c r="I11" i="1"/>
  <c r="I17" i="1"/>
  <c r="I66" i="1" s="1"/>
  <c r="I12" i="1"/>
  <c r="I201" i="1"/>
  <c r="I207" i="1" s="1"/>
  <c r="K21" i="1"/>
  <c r="J42" i="1"/>
  <c r="J46" i="1"/>
  <c r="J44" i="1"/>
  <c r="J49" i="1"/>
  <c r="J48" i="1"/>
  <c r="E34" i="3"/>
  <c r="G34" i="3" s="1"/>
  <c r="E56" i="3"/>
  <c r="E53" i="3"/>
  <c r="G26" i="1" s="1" a="1"/>
  <c r="G26" i="1" s="1"/>
  <c r="G30" i="1" s="1"/>
  <c r="E54" i="3"/>
  <c r="H26" i="1" s="1" a="1"/>
  <c r="H26" i="1" s="1"/>
  <c r="H30" i="1" s="1"/>
  <c r="E55" i="3"/>
  <c r="B2" i="3"/>
  <c r="D144" i="3"/>
  <c r="D159" i="3"/>
  <c r="E184" i="3" l="1"/>
  <c r="CV188" i="1"/>
  <c r="G188" i="1"/>
  <c r="G180" i="1"/>
  <c r="J209" i="1"/>
  <c r="J204" i="1"/>
  <c r="I206" i="1"/>
  <c r="J43" i="1"/>
  <c r="K22" i="1"/>
  <c r="L22" i="1" s="1"/>
  <c r="L45" i="1" s="1"/>
  <c r="H82" i="1"/>
  <c r="I126" i="1"/>
  <c r="I134" i="1"/>
  <c r="I135" i="1" s="1"/>
  <c r="G82" i="1"/>
  <c r="H149" i="1"/>
  <c r="H107" i="1" s="1"/>
  <c r="G142" i="1"/>
  <c r="I141" i="1"/>
  <c r="I149" i="1" s="1"/>
  <c r="I107" i="1" s="1"/>
  <c r="H142" i="1"/>
  <c r="H13" i="1"/>
  <c r="I13" i="1" s="1"/>
  <c r="J7" i="1"/>
  <c r="J8" i="1" s="1"/>
  <c r="J9" i="1" s="1"/>
  <c r="J53" i="1"/>
  <c r="G16" i="1"/>
  <c r="G37" i="1" s="1"/>
  <c r="G62" i="1" s="1"/>
  <c r="H65" i="1"/>
  <c r="I26" i="1" a="1"/>
  <c r="I26" i="1" s="1"/>
  <c r="I30" i="1" s="1"/>
  <c r="G67" i="1"/>
  <c r="G18" i="1" a="1"/>
  <c r="G18" i="1" s="1"/>
  <c r="G65" i="1"/>
  <c r="G66" i="1"/>
  <c r="H18" i="1" a="1"/>
  <c r="H18" i="1" s="1"/>
  <c r="H20" i="1"/>
  <c r="H40" i="1" s="1"/>
  <c r="G39" i="1"/>
  <c r="H67" i="1"/>
  <c r="J15" i="1"/>
  <c r="J12" i="1"/>
  <c r="J28" i="1" a="1"/>
  <c r="J28" i="1" s="1"/>
  <c r="J27" i="1" a="1"/>
  <c r="J27" i="1" s="1"/>
  <c r="J11" i="1"/>
  <c r="K5" i="1"/>
  <c r="J154" i="1"/>
  <c r="J56" i="1"/>
  <c r="I18" i="1" a="1"/>
  <c r="I18" i="1" s="1"/>
  <c r="J201" i="1"/>
  <c r="J207" i="1" s="1"/>
  <c r="J17" i="1"/>
  <c r="J18" i="1" s="1" a="1"/>
  <c r="J18" i="1" s="1"/>
  <c r="I67" i="1"/>
  <c r="I65" i="1"/>
  <c r="L21" i="1"/>
  <c r="K48" i="1"/>
  <c r="K46" i="1"/>
  <c r="K44" i="1"/>
  <c r="K42" i="1"/>
  <c r="K49" i="1"/>
  <c r="E35" i="3"/>
  <c r="E38" i="3"/>
  <c r="E37" i="3"/>
  <c r="E36" i="3"/>
  <c r="E40" i="3" l="1"/>
  <c r="G36" i="3"/>
  <c r="E41" i="3"/>
  <c r="H31" i="1" s="1" a="1"/>
  <c r="H31" i="1" s="1"/>
  <c r="G37" i="3"/>
  <c r="E39" i="3"/>
  <c r="G35" i="3"/>
  <c r="G194" i="1"/>
  <c r="G68" i="1" s="1"/>
  <c r="G91" i="1" s="1"/>
  <c r="K209" i="1"/>
  <c r="K204" i="1"/>
  <c r="J206" i="1"/>
  <c r="K43" i="1"/>
  <c r="K45" i="1"/>
  <c r="L43" i="1"/>
  <c r="M22" i="1"/>
  <c r="M45" i="1" s="1"/>
  <c r="G61" i="1"/>
  <c r="G60" i="1"/>
  <c r="G59" i="1"/>
  <c r="J126" i="1"/>
  <c r="J134" i="1"/>
  <c r="J135" i="1" s="1"/>
  <c r="I82" i="1"/>
  <c r="G143" i="1"/>
  <c r="G144" i="1" s="1"/>
  <c r="G148" i="1" s="1"/>
  <c r="G150" i="1" s="1"/>
  <c r="H147" i="1" s="1"/>
  <c r="G104" i="1"/>
  <c r="H104" i="1"/>
  <c r="I142" i="1"/>
  <c r="H143" i="1"/>
  <c r="H105" i="1" s="1"/>
  <c r="J141" i="1"/>
  <c r="J149" i="1" s="1"/>
  <c r="J107" i="1" s="1"/>
  <c r="I127" i="1"/>
  <c r="K11" i="1"/>
  <c r="K53" i="1"/>
  <c r="H16" i="1"/>
  <c r="H37" i="1" s="1"/>
  <c r="G23" i="1"/>
  <c r="J26" i="1" a="1"/>
  <c r="J26" i="1" s="1"/>
  <c r="J30" i="1" s="1"/>
  <c r="J13" i="1"/>
  <c r="I20" i="1"/>
  <c r="I40" i="1" s="1"/>
  <c r="H39" i="1"/>
  <c r="G31" i="1" a="1"/>
  <c r="G31" i="1" s="1"/>
  <c r="I31" i="1" a="1"/>
  <c r="I31" i="1" s="1"/>
  <c r="L5" i="1"/>
  <c r="K12" i="1"/>
  <c r="K7" i="1"/>
  <c r="K8" i="1" s="1"/>
  <c r="K9" i="1" s="1"/>
  <c r="K201" i="1"/>
  <c r="K207" i="1" s="1"/>
  <c r="K154" i="1"/>
  <c r="K56" i="1"/>
  <c r="K15" i="1"/>
  <c r="K28" i="1" a="1"/>
  <c r="K28" i="1" s="1"/>
  <c r="K17" i="1"/>
  <c r="K65" i="1" s="1"/>
  <c r="K27" i="1" a="1"/>
  <c r="K27" i="1" s="1"/>
  <c r="J66" i="1"/>
  <c r="J67" i="1"/>
  <c r="J65" i="1"/>
  <c r="M21" i="1"/>
  <c r="L42" i="1"/>
  <c r="L48" i="1"/>
  <c r="L46" i="1"/>
  <c r="L44" i="1"/>
  <c r="L49" i="1"/>
  <c r="G5" i="2"/>
  <c r="J31" i="1" l="1" a="1"/>
  <c r="J31" i="1" s="1"/>
  <c r="G84" i="1"/>
  <c r="L209" i="1"/>
  <c r="L204" i="1"/>
  <c r="K206" i="1"/>
  <c r="M43" i="1"/>
  <c r="N22" i="1"/>
  <c r="N45" i="1" s="1"/>
  <c r="H61" i="1"/>
  <c r="H59" i="1"/>
  <c r="H60" i="1"/>
  <c r="H62" i="1"/>
  <c r="K126" i="1"/>
  <c r="K134" i="1"/>
  <c r="K135" i="1" s="1"/>
  <c r="J82" i="1"/>
  <c r="G105" i="1"/>
  <c r="I143" i="1"/>
  <c r="I144" i="1" s="1"/>
  <c r="I106" i="1" s="1"/>
  <c r="I104" i="1"/>
  <c r="J142" i="1"/>
  <c r="K141" i="1"/>
  <c r="K149" i="1" s="1"/>
  <c r="K107" i="1" s="1"/>
  <c r="H144" i="1"/>
  <c r="H106" i="1" s="1"/>
  <c r="G24" i="2"/>
  <c r="G28" i="2"/>
  <c r="J127" i="1"/>
  <c r="L12" i="1"/>
  <c r="L53" i="1"/>
  <c r="G32" i="1"/>
  <c r="G33" i="1" s="1"/>
  <c r="G34" i="1" s="1"/>
  <c r="G36" i="1" s="1"/>
  <c r="H23" i="1"/>
  <c r="H32" i="1" s="1"/>
  <c r="H33" i="1" s="1"/>
  <c r="H34" i="1" s="1"/>
  <c r="H36" i="1" s="1"/>
  <c r="K26" i="1" a="1"/>
  <c r="K26" i="1" s="1"/>
  <c r="K30" i="1" s="1"/>
  <c r="K31" i="1" s="1" a="1"/>
  <c r="K31" i="1" s="1"/>
  <c r="K13" i="1"/>
  <c r="M5" i="1"/>
  <c r="L154" i="1"/>
  <c r="L56" i="1"/>
  <c r="L7" i="1"/>
  <c r="L8" i="1" s="1"/>
  <c r="L9" i="1" s="1"/>
  <c r="L11" i="1"/>
  <c r="L28" i="1" a="1"/>
  <c r="L28" i="1" s="1"/>
  <c r="L27" i="1" a="1"/>
  <c r="L27" i="1" s="1"/>
  <c r="L17" i="1"/>
  <c r="L18" i="1" s="1" a="1"/>
  <c r="L18" i="1" s="1"/>
  <c r="L15" i="1"/>
  <c r="K82" i="1" s="1"/>
  <c r="L201" i="1"/>
  <c r="L207" i="1" s="1"/>
  <c r="K67" i="1"/>
  <c r="J20" i="1"/>
  <c r="J40" i="1" s="1"/>
  <c r="I39" i="1"/>
  <c r="K66" i="1"/>
  <c r="K18" i="1" a="1"/>
  <c r="K18" i="1" s="1"/>
  <c r="N21" i="1"/>
  <c r="M42" i="1"/>
  <c r="M44" i="1"/>
  <c r="M48" i="1"/>
  <c r="M46" i="1"/>
  <c r="M49" i="1"/>
  <c r="G7" i="2"/>
  <c r="G8" i="2" a="1"/>
  <c r="G8" i="2" s="1"/>
  <c r="O22" i="1" l="1"/>
  <c r="O45" i="1" s="1"/>
  <c r="M209" i="1"/>
  <c r="M204" i="1"/>
  <c r="L206" i="1"/>
  <c r="N43" i="1"/>
  <c r="L126" i="1"/>
  <c r="L127" i="1" s="1"/>
  <c r="L134" i="1"/>
  <c r="H63" i="1"/>
  <c r="H58" i="1"/>
  <c r="G63" i="1"/>
  <c r="G58" i="1"/>
  <c r="G81" i="1" s="1"/>
  <c r="J143" i="1"/>
  <c r="I105" i="1"/>
  <c r="J104" i="1"/>
  <c r="I148" i="1"/>
  <c r="H148" i="1"/>
  <c r="H150" i="1" s="1"/>
  <c r="I147" i="1" s="1"/>
  <c r="K142" i="1"/>
  <c r="L141" i="1"/>
  <c r="L149" i="1" s="1"/>
  <c r="L107" i="1" s="1"/>
  <c r="K127" i="1"/>
  <c r="M15" i="1"/>
  <c r="M53" i="1"/>
  <c r="L26" i="1" a="1"/>
  <c r="L26" i="1" s="1"/>
  <c r="L30" i="1" s="1"/>
  <c r="L31" i="1" s="1" a="1"/>
  <c r="L31" i="1" s="1"/>
  <c r="L13" i="1"/>
  <c r="L66" i="1"/>
  <c r="M27" i="1" a="1"/>
  <c r="M27" i="1" s="1"/>
  <c r="M154" i="1"/>
  <c r="M11" i="1"/>
  <c r="M201" i="1"/>
  <c r="M207" i="1" s="1"/>
  <c r="M12" i="1"/>
  <c r="M7" i="1"/>
  <c r="M8" i="1" s="1"/>
  <c r="M9" i="1" s="1"/>
  <c r="M56" i="1"/>
  <c r="N5" i="1"/>
  <c r="M28" i="1" a="1"/>
  <c r="M28" i="1" s="1"/>
  <c r="M17" i="1"/>
  <c r="L67" i="1"/>
  <c r="L65" i="1"/>
  <c r="K20" i="1"/>
  <c r="K40" i="1" s="1"/>
  <c r="J39" i="1"/>
  <c r="O21" i="1"/>
  <c r="N48" i="1"/>
  <c r="N46" i="1"/>
  <c r="N42" i="1"/>
  <c r="N44" i="1"/>
  <c r="N49" i="1"/>
  <c r="G20" i="2"/>
  <c r="H5" i="2"/>
  <c r="O43" i="1" l="1"/>
  <c r="P22" i="1"/>
  <c r="P45" i="1" s="1"/>
  <c r="N209" i="1"/>
  <c r="N204" i="1"/>
  <c r="M206" i="1"/>
  <c r="M134" i="1"/>
  <c r="M135" i="1" s="1"/>
  <c r="M126" i="1"/>
  <c r="L82" i="1"/>
  <c r="G64" i="1"/>
  <c r="G79" i="1" s="1"/>
  <c r="G89" i="1" s="1"/>
  <c r="G90" i="1" s="1"/>
  <c r="H81" i="1"/>
  <c r="J105" i="1"/>
  <c r="J144" i="1"/>
  <c r="J106" i="1" s="1"/>
  <c r="K104" i="1"/>
  <c r="I150" i="1"/>
  <c r="J147" i="1" s="1"/>
  <c r="L142" i="1"/>
  <c r="K143" i="1"/>
  <c r="K105" i="1" s="1"/>
  <c r="M141" i="1"/>
  <c r="M149" i="1" s="1"/>
  <c r="M107" i="1" s="1"/>
  <c r="H64" i="1"/>
  <c r="H79" i="1" s="1"/>
  <c r="H24" i="2"/>
  <c r="H28" i="2"/>
  <c r="L135" i="1"/>
  <c r="N12" i="1"/>
  <c r="N53" i="1"/>
  <c r="M26" i="1" a="1"/>
  <c r="M26" i="1" s="1"/>
  <c r="M30" i="1" s="1"/>
  <c r="M31" i="1" s="1" a="1"/>
  <c r="M31" i="1" s="1"/>
  <c r="M13" i="1"/>
  <c r="M67" i="1"/>
  <c r="N154" i="1"/>
  <c r="N7" i="1"/>
  <c r="N8" i="1" s="1"/>
  <c r="N9" i="1" s="1"/>
  <c r="N201" i="1"/>
  <c r="N207" i="1" s="1"/>
  <c r="N11" i="1"/>
  <c r="N15" i="1"/>
  <c r="M18" i="1" a="1"/>
  <c r="M18" i="1" s="1"/>
  <c r="N56" i="1"/>
  <c r="O5" i="1"/>
  <c r="N28" i="1" a="1"/>
  <c r="N28" i="1" s="1"/>
  <c r="N27" i="1" a="1"/>
  <c r="N27" i="1" s="1"/>
  <c r="N17" i="1"/>
  <c r="N18" i="1" s="1" a="1"/>
  <c r="N18" i="1" s="1"/>
  <c r="L20" i="1"/>
  <c r="L40" i="1" s="1"/>
  <c r="K39" i="1"/>
  <c r="P21" i="1"/>
  <c r="O44" i="1"/>
  <c r="O48" i="1"/>
  <c r="O42" i="1"/>
  <c r="O46" i="1"/>
  <c r="O49" i="1"/>
  <c r="H7" i="2"/>
  <c r="H8" i="2" a="1"/>
  <c r="H8" i="2" s="1"/>
  <c r="I5" i="2"/>
  <c r="Q22" i="1" l="1"/>
  <c r="Q45" i="1" s="1"/>
  <c r="P43" i="1"/>
  <c r="O209" i="1"/>
  <c r="O204" i="1"/>
  <c r="N206" i="1"/>
  <c r="G69" i="1"/>
  <c r="G74" i="1" s="1"/>
  <c r="N126" i="1"/>
  <c r="N127" i="1" s="1"/>
  <c r="N134" i="1"/>
  <c r="N135" i="1" s="1"/>
  <c r="H89" i="1"/>
  <c r="M82" i="1"/>
  <c r="J148" i="1"/>
  <c r="J150" i="1" s="1"/>
  <c r="K147" i="1" s="1"/>
  <c r="L104" i="1"/>
  <c r="M142" i="1"/>
  <c r="K144" i="1"/>
  <c r="K106" i="1" s="1"/>
  <c r="N141" i="1"/>
  <c r="N149" i="1" s="1"/>
  <c r="N107" i="1" s="1"/>
  <c r="L143" i="1"/>
  <c r="L105" i="1" s="1"/>
  <c r="G110" i="1"/>
  <c r="M127" i="1"/>
  <c r="N13" i="1"/>
  <c r="O7" i="1"/>
  <c r="O8" i="1" s="1"/>
  <c r="O9" i="1" s="1"/>
  <c r="O53" i="1"/>
  <c r="N26" i="1" a="1"/>
  <c r="N26" i="1" s="1"/>
  <c r="N30" i="1" s="1"/>
  <c r="N31" i="1" s="1" a="1"/>
  <c r="N31" i="1" s="1"/>
  <c r="O11" i="1"/>
  <c r="O12" i="1"/>
  <c r="O201" i="1"/>
  <c r="O207" i="1" s="1"/>
  <c r="O15" i="1"/>
  <c r="N82" i="1" s="1"/>
  <c r="O28" i="1" a="1"/>
  <c r="O28" i="1" s="1"/>
  <c r="O27" i="1" a="1"/>
  <c r="O27" i="1" s="1"/>
  <c r="O154" i="1"/>
  <c r="O17" i="1"/>
  <c r="N67" i="1"/>
  <c r="P5" i="1"/>
  <c r="O56" i="1"/>
  <c r="M20" i="1"/>
  <c r="M40" i="1" s="1"/>
  <c r="L39" i="1"/>
  <c r="Q21" i="1"/>
  <c r="P44" i="1"/>
  <c r="P42" i="1"/>
  <c r="P49" i="1"/>
  <c r="P46" i="1"/>
  <c r="P48" i="1"/>
  <c r="H20" i="2"/>
  <c r="I7" i="2"/>
  <c r="I8" i="2" a="1"/>
  <c r="I8" i="2" s="1"/>
  <c r="I16" i="1" s="1"/>
  <c r="J5" i="2"/>
  <c r="R22" i="1" l="1"/>
  <c r="R45" i="1" s="1"/>
  <c r="Q43" i="1"/>
  <c r="P209" i="1"/>
  <c r="P204" i="1"/>
  <c r="O206" i="1"/>
  <c r="G70" i="1"/>
  <c r="G71" i="1" s="1"/>
  <c r="H110" i="1"/>
  <c r="H90" i="1"/>
  <c r="O134" i="1"/>
  <c r="O135" i="1" s="1"/>
  <c r="O126" i="1"/>
  <c r="O127" i="1" s="1"/>
  <c r="M104" i="1"/>
  <c r="L144" i="1"/>
  <c r="L106" i="1" s="1"/>
  <c r="N142" i="1"/>
  <c r="K148" i="1"/>
  <c r="K150" i="1" s="1"/>
  <c r="L147" i="1" s="1"/>
  <c r="M143" i="1"/>
  <c r="M105" i="1" s="1"/>
  <c r="O141" i="1"/>
  <c r="O149" i="1" s="1"/>
  <c r="O107" i="1" s="1"/>
  <c r="O13" i="1"/>
  <c r="P7" i="1"/>
  <c r="P8" i="1" s="1"/>
  <c r="P9" i="1" s="1"/>
  <c r="P53" i="1"/>
  <c r="O26" i="1" a="1"/>
  <c r="O26" i="1" s="1"/>
  <c r="O30" i="1" s="1"/>
  <c r="O31" i="1" s="1" a="1"/>
  <c r="O31" i="1" s="1"/>
  <c r="P17" i="1"/>
  <c r="P18" i="1" s="1" a="1"/>
  <c r="P18" i="1" s="1"/>
  <c r="P11" i="1"/>
  <c r="P15" i="1"/>
  <c r="O82" i="1" s="1"/>
  <c r="P201" i="1"/>
  <c r="P207" i="1" s="1"/>
  <c r="P154" i="1"/>
  <c r="P28" i="1" a="1"/>
  <c r="P28" i="1" s="1"/>
  <c r="P12" i="1"/>
  <c r="P27" i="1" a="1"/>
  <c r="P27" i="1" s="1"/>
  <c r="O67" i="1"/>
  <c r="O18" i="1" a="1"/>
  <c r="O18" i="1" s="1"/>
  <c r="P56" i="1"/>
  <c r="Q5" i="1"/>
  <c r="G75" i="1"/>
  <c r="G80" i="1" s="1"/>
  <c r="G83" i="1" s="1"/>
  <c r="N20" i="1"/>
  <c r="N40" i="1" s="1"/>
  <c r="M39" i="1"/>
  <c r="R21" i="1"/>
  <c r="Q48" i="1"/>
  <c r="Q49" i="1"/>
  <c r="Q46" i="1"/>
  <c r="Q42" i="1"/>
  <c r="Q44" i="1"/>
  <c r="I37" i="1"/>
  <c r="I23" i="1"/>
  <c r="I32" i="1" s="1"/>
  <c r="I33" i="1" s="1"/>
  <c r="I34" i="1" s="1"/>
  <c r="I36" i="1" s="1"/>
  <c r="J7" i="2"/>
  <c r="J8" i="2" a="1"/>
  <c r="J8" i="2" s="1"/>
  <c r="J16" i="1" s="1"/>
  <c r="K5" i="2"/>
  <c r="R43" i="1" l="1"/>
  <c r="S22" i="1"/>
  <c r="S45" i="1" s="1"/>
  <c r="Q209" i="1"/>
  <c r="Q204" i="1"/>
  <c r="P206" i="1"/>
  <c r="I63" i="1"/>
  <c r="I58" i="1"/>
  <c r="I81" i="1" s="1"/>
  <c r="I61" i="1"/>
  <c r="I59" i="1"/>
  <c r="I60" i="1"/>
  <c r="I62" i="1"/>
  <c r="P126" i="1"/>
  <c r="P127" i="1" s="1"/>
  <c r="P134" i="1"/>
  <c r="P135" i="1" s="1"/>
  <c r="N104" i="1"/>
  <c r="L148" i="1"/>
  <c r="L150" i="1" s="1"/>
  <c r="M147" i="1" s="1"/>
  <c r="M144" i="1"/>
  <c r="M106" i="1" s="1"/>
  <c r="O142" i="1"/>
  <c r="P141" i="1"/>
  <c r="P149" i="1" s="1"/>
  <c r="P107" i="1" s="1"/>
  <c r="N143" i="1"/>
  <c r="N105" i="1" s="1"/>
  <c r="P13" i="1"/>
  <c r="R5" i="1"/>
  <c r="Q53" i="1"/>
  <c r="P26" i="1" a="1"/>
  <c r="P26" i="1" s="1"/>
  <c r="P30" i="1" s="1"/>
  <c r="P31" i="1" s="1" a="1"/>
  <c r="P31" i="1" s="1"/>
  <c r="P67" i="1"/>
  <c r="Q56" i="1"/>
  <c r="Q27" i="1" a="1"/>
  <c r="Q27" i="1" s="1"/>
  <c r="Q154" i="1"/>
  <c r="Q28" i="1" a="1"/>
  <c r="Q28" i="1" s="1"/>
  <c r="Q17" i="1"/>
  <c r="Q18" i="1" s="1" a="1"/>
  <c r="Q18" i="1" s="1"/>
  <c r="Q15" i="1"/>
  <c r="P82" i="1" s="1"/>
  <c r="Q11" i="1"/>
  <c r="Q201" i="1"/>
  <c r="Q207" i="1" s="1"/>
  <c r="Q7" i="1"/>
  <c r="Q8" i="1" s="1"/>
  <c r="Q9" i="1" s="1"/>
  <c r="Q12" i="1"/>
  <c r="O20" i="1"/>
  <c r="O40" i="1" s="1"/>
  <c r="N39" i="1"/>
  <c r="G76" i="1"/>
  <c r="H73" i="1" s="1"/>
  <c r="S21" i="1"/>
  <c r="R42" i="1"/>
  <c r="R46" i="1"/>
  <c r="R48" i="1"/>
  <c r="R44" i="1"/>
  <c r="R49" i="1"/>
  <c r="J37" i="1"/>
  <c r="J23" i="1"/>
  <c r="J32" i="1" s="1"/>
  <c r="J33" i="1" s="1"/>
  <c r="J34" i="1" s="1"/>
  <c r="J36" i="1" s="1"/>
  <c r="J20" i="2"/>
  <c r="K7" i="2"/>
  <c r="K8" i="2" a="1"/>
  <c r="K8" i="2" s="1"/>
  <c r="K16" i="1" s="1"/>
  <c r="L5" i="2"/>
  <c r="S43" i="1" l="1"/>
  <c r="T22" i="1"/>
  <c r="T45" i="1" s="1"/>
  <c r="R209" i="1"/>
  <c r="R204" i="1"/>
  <c r="Q206" i="1"/>
  <c r="Q126" i="1"/>
  <c r="Q127" i="1" s="1"/>
  <c r="Q134" i="1"/>
  <c r="Q135" i="1" s="1"/>
  <c r="J59" i="1"/>
  <c r="J60" i="1"/>
  <c r="J61" i="1"/>
  <c r="J62" i="1"/>
  <c r="J63" i="1"/>
  <c r="J58" i="1"/>
  <c r="J81" i="1" s="1"/>
  <c r="O143" i="1"/>
  <c r="N144" i="1"/>
  <c r="N106" i="1" s="1"/>
  <c r="O104" i="1"/>
  <c r="M148" i="1"/>
  <c r="M150" i="1" s="1"/>
  <c r="N147" i="1" s="1"/>
  <c r="P142" i="1"/>
  <c r="Q141" i="1"/>
  <c r="Q149" i="1" s="1"/>
  <c r="Q107" i="1" s="1"/>
  <c r="R53" i="1"/>
  <c r="Q13" i="1"/>
  <c r="R154" i="1"/>
  <c r="R15" i="1"/>
  <c r="Q82" i="1" s="1"/>
  <c r="R11" i="1"/>
  <c r="R28" i="1" a="1"/>
  <c r="R28" i="1" s="1"/>
  <c r="R27" i="1" a="1"/>
  <c r="R27" i="1" s="1"/>
  <c r="R17" i="1"/>
  <c r="R18" i="1" s="1" a="1"/>
  <c r="R18" i="1" s="1"/>
  <c r="R12" i="1"/>
  <c r="R201" i="1"/>
  <c r="R207" i="1" s="1"/>
  <c r="S5" i="1"/>
  <c r="R56" i="1"/>
  <c r="R7" i="1"/>
  <c r="R8" i="1" s="1"/>
  <c r="R9" i="1" s="1"/>
  <c r="Q26" i="1" a="1"/>
  <c r="Q26" i="1" s="1"/>
  <c r="Q30" i="1" s="1"/>
  <c r="Q31" i="1" s="1" a="1"/>
  <c r="Q31" i="1" s="1"/>
  <c r="Q67" i="1"/>
  <c r="P20" i="1"/>
  <c r="P40" i="1" s="1"/>
  <c r="O39" i="1"/>
  <c r="T21" i="1"/>
  <c r="S42" i="1"/>
  <c r="S44" i="1"/>
  <c r="S48" i="1"/>
  <c r="S46" i="1"/>
  <c r="S49" i="1"/>
  <c r="K37" i="1"/>
  <c r="K23" i="1"/>
  <c r="K32" i="1" s="1"/>
  <c r="K33" i="1" s="1"/>
  <c r="K34" i="1" s="1"/>
  <c r="K36" i="1" s="1"/>
  <c r="I64" i="1"/>
  <c r="K20" i="2"/>
  <c r="L7" i="2"/>
  <c r="L20" i="2" s="1"/>
  <c r="L8" i="2" a="1"/>
  <c r="L8" i="2" s="1"/>
  <c r="L16" i="1" s="1"/>
  <c r="M5" i="2"/>
  <c r="T43" i="1" l="1"/>
  <c r="U22" i="1"/>
  <c r="U45" i="1" s="1"/>
  <c r="S209" i="1"/>
  <c r="S204" i="1"/>
  <c r="R206" i="1"/>
  <c r="K63" i="1"/>
  <c r="K58" i="1"/>
  <c r="K81" i="1" s="1"/>
  <c r="K59" i="1"/>
  <c r="K60" i="1"/>
  <c r="K61" i="1"/>
  <c r="K62" i="1"/>
  <c r="R126" i="1"/>
  <c r="R127" i="1" s="1"/>
  <c r="R134" i="1"/>
  <c r="R135" i="1" s="1"/>
  <c r="O105" i="1"/>
  <c r="O144" i="1"/>
  <c r="O106" i="1" s="1"/>
  <c r="N148" i="1"/>
  <c r="N150" i="1" s="1"/>
  <c r="O147" i="1" s="1"/>
  <c r="Q142" i="1"/>
  <c r="P104" i="1"/>
  <c r="P143" i="1"/>
  <c r="P105" i="1" s="1"/>
  <c r="R141" i="1"/>
  <c r="R149" i="1" s="1"/>
  <c r="R107" i="1" s="1"/>
  <c r="S53" i="1"/>
  <c r="R13" i="1"/>
  <c r="R67" i="1"/>
  <c r="S17" i="1"/>
  <c r="S15" i="1"/>
  <c r="S201" i="1"/>
  <c r="S207" i="1" s="1"/>
  <c r="T5" i="1"/>
  <c r="S154" i="1"/>
  <c r="S7" i="1"/>
  <c r="S8" i="1" s="1"/>
  <c r="S9" i="1" s="1"/>
  <c r="S56" i="1"/>
  <c r="S28" i="1" a="1"/>
  <c r="S28" i="1" s="1"/>
  <c r="S27" i="1" a="1"/>
  <c r="S27" i="1" s="1"/>
  <c r="S11" i="1"/>
  <c r="S12" i="1"/>
  <c r="R26" i="1" a="1"/>
  <c r="R26" i="1" s="1"/>
  <c r="R30" i="1" s="1"/>
  <c r="R31" i="1" s="1" a="1"/>
  <c r="R31" i="1" s="1"/>
  <c r="Q20" i="1"/>
  <c r="Q40" i="1" s="1"/>
  <c r="P39" i="1"/>
  <c r="U21" i="1"/>
  <c r="T42" i="1"/>
  <c r="T44" i="1"/>
  <c r="T48" i="1"/>
  <c r="T46" i="1"/>
  <c r="T49" i="1"/>
  <c r="I79" i="1"/>
  <c r="I89" i="1" s="1"/>
  <c r="I90" i="1" s="1"/>
  <c r="L37" i="1"/>
  <c r="L23" i="1"/>
  <c r="L32" i="1" s="1"/>
  <c r="L33" i="1" s="1"/>
  <c r="L34" i="1" s="1"/>
  <c r="L36" i="1" s="1"/>
  <c r="J64" i="1"/>
  <c r="R5" i="2"/>
  <c r="M7" i="2"/>
  <c r="M20" i="2" s="1"/>
  <c r="M8" i="2" a="1"/>
  <c r="M8" i="2" s="1"/>
  <c r="M16" i="1" s="1"/>
  <c r="N5" i="2"/>
  <c r="U43" i="1" l="1"/>
  <c r="V22" i="1"/>
  <c r="V45" i="1" s="1"/>
  <c r="T209" i="1"/>
  <c r="T204" i="1"/>
  <c r="S206" i="1"/>
  <c r="S126" i="1"/>
  <c r="S127" i="1" s="1"/>
  <c r="S134" i="1"/>
  <c r="S135" i="1" s="1"/>
  <c r="L60" i="1"/>
  <c r="L59" i="1"/>
  <c r="L61" i="1"/>
  <c r="L62" i="1"/>
  <c r="L63" i="1"/>
  <c r="L58" i="1"/>
  <c r="L81" i="1" s="1"/>
  <c r="R82" i="1"/>
  <c r="O148" i="1"/>
  <c r="O150" i="1" s="1"/>
  <c r="P147" i="1" s="1"/>
  <c r="Q143" i="1"/>
  <c r="Q105" i="1" s="1"/>
  <c r="Q104" i="1"/>
  <c r="R142" i="1"/>
  <c r="R143" i="1" s="1"/>
  <c r="P144" i="1"/>
  <c r="P106" i="1" s="1"/>
  <c r="S141" i="1"/>
  <c r="S149" i="1" s="1"/>
  <c r="S107" i="1" s="1"/>
  <c r="S67" i="1"/>
  <c r="T53" i="1"/>
  <c r="S13" i="1"/>
  <c r="S18" i="1" a="1"/>
  <c r="S18" i="1" s="1"/>
  <c r="T51" i="1"/>
  <c r="T17" i="1"/>
  <c r="T18" i="1" s="1" a="1"/>
  <c r="T18" i="1" s="1"/>
  <c r="T12" i="1"/>
  <c r="T7" i="1"/>
  <c r="T8" i="1" s="1"/>
  <c r="T9" i="1" s="1"/>
  <c r="T154" i="1"/>
  <c r="T201" i="1"/>
  <c r="T207" i="1" s="1"/>
  <c r="U5" i="1"/>
  <c r="T56" i="1"/>
  <c r="T11" i="1"/>
  <c r="T27" i="1" a="1"/>
  <c r="T27" i="1" s="1"/>
  <c r="T28" i="1" a="1"/>
  <c r="T28" i="1" s="1"/>
  <c r="T15" i="1"/>
  <c r="S26" i="1" a="1"/>
  <c r="S26" i="1" s="1"/>
  <c r="S30" i="1" s="1"/>
  <c r="S31" i="1" s="1" a="1"/>
  <c r="S31" i="1" s="1"/>
  <c r="R20" i="1"/>
  <c r="R40" i="1" s="1"/>
  <c r="Q39" i="1"/>
  <c r="V21" i="1"/>
  <c r="U42" i="1"/>
  <c r="U44" i="1"/>
  <c r="U48" i="1"/>
  <c r="U46" i="1"/>
  <c r="U49" i="1"/>
  <c r="M37" i="1"/>
  <c r="M23" i="1"/>
  <c r="M32" i="1" s="1"/>
  <c r="M33" i="1" s="1"/>
  <c r="M34" i="1" s="1"/>
  <c r="M36" i="1" s="1"/>
  <c r="J79" i="1"/>
  <c r="J89" i="1" s="1"/>
  <c r="J90" i="1" s="1"/>
  <c r="K64" i="1"/>
  <c r="S5" i="2"/>
  <c r="R7" i="2"/>
  <c r="R8" i="2" a="1"/>
  <c r="R8" i="2" s="1"/>
  <c r="R16" i="1" s="1"/>
  <c r="N7" i="2"/>
  <c r="N20" i="2" s="1"/>
  <c r="N8" i="2" a="1"/>
  <c r="N8" i="2" s="1"/>
  <c r="N16" i="1" s="1"/>
  <c r="O5" i="2"/>
  <c r="V43" i="1" l="1"/>
  <c r="W22" i="1"/>
  <c r="W45" i="1" s="1"/>
  <c r="U209" i="1"/>
  <c r="U204" i="1"/>
  <c r="T206" i="1"/>
  <c r="M59" i="1"/>
  <c r="M60" i="1"/>
  <c r="M61" i="1"/>
  <c r="M62" i="1"/>
  <c r="M63" i="1"/>
  <c r="M58" i="1"/>
  <c r="M81" i="1" s="1"/>
  <c r="S82" i="1"/>
  <c r="T126" i="1"/>
  <c r="T127" i="1" s="1"/>
  <c r="T134" i="1"/>
  <c r="T135" i="1" s="1"/>
  <c r="Q144" i="1"/>
  <c r="Q106" i="1" s="1"/>
  <c r="P148" i="1"/>
  <c r="P150" i="1" s="1"/>
  <c r="Q147" i="1" s="1"/>
  <c r="R104" i="1"/>
  <c r="R144" i="1"/>
  <c r="R106" i="1" s="1"/>
  <c r="R105" i="1"/>
  <c r="S142" i="1"/>
  <c r="T141" i="1"/>
  <c r="T149" i="1" s="1"/>
  <c r="T107" i="1" s="1"/>
  <c r="I110" i="1"/>
  <c r="U53" i="1"/>
  <c r="T13" i="1"/>
  <c r="T67" i="1"/>
  <c r="U15" i="1"/>
  <c r="U56" i="1"/>
  <c r="U28" i="1" a="1"/>
  <c r="U28" i="1" s="1"/>
  <c r="V5" i="1"/>
  <c r="U201" i="1"/>
  <c r="U207" i="1" s="1"/>
  <c r="U11" i="1"/>
  <c r="U154" i="1"/>
  <c r="U12" i="1"/>
  <c r="U51" i="1"/>
  <c r="U7" i="1"/>
  <c r="U8" i="1" s="1"/>
  <c r="U9" i="1" s="1"/>
  <c r="U27" i="1" a="1"/>
  <c r="U27" i="1" s="1"/>
  <c r="U17" i="1"/>
  <c r="T26" i="1" a="1"/>
  <c r="T26" i="1" s="1"/>
  <c r="T30" i="1" s="1"/>
  <c r="T31" i="1" s="1" a="1"/>
  <c r="T31" i="1" s="1"/>
  <c r="S20" i="1"/>
  <c r="S40" i="1" s="1"/>
  <c r="R39" i="1"/>
  <c r="W21" i="1"/>
  <c r="V42" i="1"/>
  <c r="V44" i="1"/>
  <c r="V48" i="1"/>
  <c r="V46" i="1"/>
  <c r="V49" i="1"/>
  <c r="N37" i="1"/>
  <c r="N23" i="1"/>
  <c r="N32" i="1" s="1"/>
  <c r="N33" i="1" s="1"/>
  <c r="N34" i="1" s="1"/>
  <c r="N36" i="1" s="1"/>
  <c r="K79" i="1"/>
  <c r="K89" i="1" s="1"/>
  <c r="K90" i="1" s="1"/>
  <c r="R37" i="1"/>
  <c r="R23" i="1"/>
  <c r="R32" i="1" s="1"/>
  <c r="R33" i="1" s="1"/>
  <c r="R34" i="1" s="1"/>
  <c r="R36" i="1" s="1"/>
  <c r="L64" i="1"/>
  <c r="S7" i="2"/>
  <c r="S20" i="2" s="1"/>
  <c r="S8" i="2" a="1"/>
  <c r="S8" i="2" s="1"/>
  <c r="S16" i="1" s="1"/>
  <c r="T5" i="2"/>
  <c r="O7" i="2"/>
  <c r="O20" i="2" s="1"/>
  <c r="O8" i="2" a="1"/>
  <c r="O8" i="2" s="1"/>
  <c r="O16" i="1" s="1"/>
  <c r="P5" i="2"/>
  <c r="W43" i="1" l="1"/>
  <c r="X22" i="1"/>
  <c r="X45" i="1" s="1"/>
  <c r="V209" i="1"/>
  <c r="V204" i="1"/>
  <c r="U206" i="1"/>
  <c r="U67" i="1"/>
  <c r="N63" i="1"/>
  <c r="N58" i="1"/>
  <c r="N81" i="1" s="1"/>
  <c r="N60" i="1"/>
  <c r="N61" i="1"/>
  <c r="N59" i="1"/>
  <c r="N62" i="1"/>
  <c r="U134" i="1"/>
  <c r="U135" i="1" s="1"/>
  <c r="U126" i="1"/>
  <c r="U127" i="1" s="1"/>
  <c r="R63" i="1"/>
  <c r="R58" i="1"/>
  <c r="T82" i="1"/>
  <c r="R60" i="1"/>
  <c r="R59" i="1"/>
  <c r="R61" i="1"/>
  <c r="R62" i="1"/>
  <c r="Q148" i="1"/>
  <c r="Q150" i="1" s="1"/>
  <c r="R147" i="1" s="1"/>
  <c r="S104" i="1"/>
  <c r="T142" i="1"/>
  <c r="R148" i="1"/>
  <c r="U141" i="1"/>
  <c r="U149" i="1" s="1"/>
  <c r="U107" i="1" s="1"/>
  <c r="S143" i="1"/>
  <c r="S105" i="1" s="1"/>
  <c r="J110" i="1"/>
  <c r="V53" i="1"/>
  <c r="U26" i="1" a="1"/>
  <c r="U26" i="1" s="1"/>
  <c r="U30" i="1" s="1"/>
  <c r="U31" i="1" s="1" a="1"/>
  <c r="U31" i="1" s="1"/>
  <c r="U13" i="1"/>
  <c r="V27" i="1" a="1"/>
  <c r="V27" i="1" s="1"/>
  <c r="V17" i="1"/>
  <c r="V18" i="1" s="1" a="1"/>
  <c r="V18" i="1" s="1"/>
  <c r="V201" i="1"/>
  <c r="V207" i="1" s="1"/>
  <c r="V7" i="1"/>
  <c r="V8" i="1" s="1"/>
  <c r="V9" i="1" s="1"/>
  <c r="V154" i="1"/>
  <c r="V15" i="1"/>
  <c r="V12" i="1"/>
  <c r="V51" i="1"/>
  <c r="W5" i="1"/>
  <c r="V56" i="1"/>
  <c r="V11" i="1"/>
  <c r="V28" i="1" a="1"/>
  <c r="V28" i="1" s="1"/>
  <c r="U18" i="1" a="1"/>
  <c r="U18" i="1" s="1"/>
  <c r="T20" i="1"/>
  <c r="T40" i="1" s="1"/>
  <c r="S39" i="1"/>
  <c r="X21" i="1"/>
  <c r="W44" i="1"/>
  <c r="W42" i="1"/>
  <c r="W48" i="1"/>
  <c r="W46" i="1"/>
  <c r="W49" i="1"/>
  <c r="L79" i="1"/>
  <c r="L89" i="1" s="1"/>
  <c r="L90" i="1" s="1"/>
  <c r="M64" i="1"/>
  <c r="O37" i="1"/>
  <c r="O23" i="1"/>
  <c r="O32" i="1" s="1"/>
  <c r="O33" i="1" s="1"/>
  <c r="O34" i="1" s="1"/>
  <c r="O36" i="1" s="1"/>
  <c r="S37" i="1"/>
  <c r="S23" i="1"/>
  <c r="S32" i="1" s="1"/>
  <c r="S33" i="1" s="1"/>
  <c r="S34" i="1" s="1"/>
  <c r="S36" i="1" s="1"/>
  <c r="T16" i="1"/>
  <c r="U5" i="2"/>
  <c r="E8" i="2"/>
  <c r="O9" i="2" s="1"/>
  <c r="O13" i="2" s="1"/>
  <c r="T8" i="2" a="1"/>
  <c r="T8" i="2" s="1"/>
  <c r="T7" i="2"/>
  <c r="P7" i="2"/>
  <c r="P20" i="2" s="1"/>
  <c r="P8" i="2" a="1"/>
  <c r="P8" i="2" s="1"/>
  <c r="P16" i="1" s="1"/>
  <c r="Q5" i="2"/>
  <c r="X43" i="1" l="1"/>
  <c r="Y22" i="1"/>
  <c r="Y45" i="1" s="1"/>
  <c r="W209" i="1"/>
  <c r="W204" i="1"/>
  <c r="V206" i="1"/>
  <c r="O63" i="1"/>
  <c r="O58" i="1"/>
  <c r="O81" i="1" s="1"/>
  <c r="O60" i="1"/>
  <c r="O61" i="1"/>
  <c r="O59" i="1"/>
  <c r="O62" i="1"/>
  <c r="V126" i="1"/>
  <c r="V127" i="1" s="1"/>
  <c r="V134" i="1"/>
  <c r="V135" i="1" s="1"/>
  <c r="S59" i="1"/>
  <c r="S60" i="1"/>
  <c r="S61" i="1"/>
  <c r="S62" i="1"/>
  <c r="U82" i="1"/>
  <c r="S63" i="1"/>
  <c r="S58" i="1"/>
  <c r="S81" i="1" s="1"/>
  <c r="L10" i="2"/>
  <c r="L14" i="2" s="1"/>
  <c r="R150" i="1"/>
  <c r="S147" i="1" s="1"/>
  <c r="T143" i="1"/>
  <c r="T105" i="1" s="1"/>
  <c r="T104" i="1"/>
  <c r="U142" i="1"/>
  <c r="S144" i="1"/>
  <c r="S106" i="1" s="1"/>
  <c r="V141" i="1"/>
  <c r="V149" i="1" s="1"/>
  <c r="V107" i="1" s="1"/>
  <c r="K110" i="1"/>
  <c r="W15" i="1"/>
  <c r="V13" i="1"/>
  <c r="W17" i="1"/>
  <c r="W18" i="1" s="1" a="1"/>
  <c r="W18" i="1" s="1"/>
  <c r="W201" i="1"/>
  <c r="W207" i="1" s="1"/>
  <c r="V67" i="1"/>
  <c r="W154" i="1"/>
  <c r="W11" i="1"/>
  <c r="W12" i="1"/>
  <c r="W51" i="1"/>
  <c r="X5" i="1"/>
  <c r="W7" i="1"/>
  <c r="W8" i="1" s="1"/>
  <c r="W9" i="1" s="1"/>
  <c r="W56" i="1"/>
  <c r="W28" i="1" a="1"/>
  <c r="W28" i="1" s="1"/>
  <c r="W27" i="1" a="1"/>
  <c r="W27" i="1" s="1"/>
  <c r="V26" i="1" a="1"/>
  <c r="V26" i="1" s="1"/>
  <c r="V30" i="1" s="1"/>
  <c r="V31" i="1" s="1" a="1"/>
  <c r="V31" i="1" s="1"/>
  <c r="U20" i="1"/>
  <c r="U40" i="1" s="1"/>
  <c r="T39" i="1"/>
  <c r="Y21" i="1"/>
  <c r="X44" i="1"/>
  <c r="X42" i="1"/>
  <c r="X49" i="1"/>
  <c r="X46" i="1"/>
  <c r="X48" i="1"/>
  <c r="R64" i="1"/>
  <c r="P37" i="1"/>
  <c r="P23" i="1"/>
  <c r="P32" i="1" s="1"/>
  <c r="P33" i="1" s="1"/>
  <c r="P34" i="1" s="1"/>
  <c r="P36" i="1" s="1"/>
  <c r="M79" i="1"/>
  <c r="M89" i="1" s="1"/>
  <c r="M90" i="1" s="1"/>
  <c r="N64" i="1"/>
  <c r="T37" i="1"/>
  <c r="T23" i="1"/>
  <c r="T32" i="1" s="1"/>
  <c r="T33" i="1" s="1"/>
  <c r="T34" i="1" s="1"/>
  <c r="T36" i="1" s="1"/>
  <c r="U16" i="1"/>
  <c r="S9" i="2"/>
  <c r="S13" i="2" s="1"/>
  <c r="U8" i="2" a="1"/>
  <c r="U8" i="2" s="1"/>
  <c r="U7" i="2"/>
  <c r="V5" i="2"/>
  <c r="G9" i="2"/>
  <c r="G13" i="2" s="1"/>
  <c r="H9" i="2"/>
  <c r="H13" i="2" s="1"/>
  <c r="I9" i="2"/>
  <c r="I13" i="2" s="1"/>
  <c r="J9" i="2"/>
  <c r="J13" i="2" s="1"/>
  <c r="L9" i="2"/>
  <c r="L13" i="2" s="1"/>
  <c r="M9" i="2"/>
  <c r="M13" i="2" s="1"/>
  <c r="N9" i="2"/>
  <c r="N13" i="2" s="1"/>
  <c r="T20" i="2"/>
  <c r="P9" i="2"/>
  <c r="P13" i="2" s="1"/>
  <c r="Q7" i="2"/>
  <c r="Q8" i="2" a="1"/>
  <c r="Q8" i="2" s="1"/>
  <c r="Q16" i="1" s="1"/>
  <c r="Y43" i="1" l="1"/>
  <c r="Z22" i="1"/>
  <c r="Z45" i="1" s="1"/>
  <c r="W206" i="1"/>
  <c r="X90" i="1"/>
  <c r="X209" i="1"/>
  <c r="P61" i="1"/>
  <c r="P59" i="1"/>
  <c r="P60" i="1"/>
  <c r="P62" i="1"/>
  <c r="T63" i="1"/>
  <c r="T58" i="1"/>
  <c r="T81" i="1" s="1"/>
  <c r="W134" i="1"/>
  <c r="W135" i="1" s="1"/>
  <c r="W126" i="1"/>
  <c r="W127" i="1" s="1"/>
  <c r="T59" i="1"/>
  <c r="T60" i="1"/>
  <c r="T61" i="1"/>
  <c r="T62" i="1"/>
  <c r="P63" i="1"/>
  <c r="P58" i="1"/>
  <c r="P81" i="1" s="1"/>
  <c r="V82" i="1"/>
  <c r="P10" i="2"/>
  <c r="P14" i="2" s="1"/>
  <c r="M10" i="2"/>
  <c r="M14" i="2" s="1"/>
  <c r="T144" i="1"/>
  <c r="T106" i="1" s="1"/>
  <c r="U104" i="1"/>
  <c r="W141" i="1"/>
  <c r="W149" i="1" s="1"/>
  <c r="W107" i="1" s="1"/>
  <c r="V142" i="1"/>
  <c r="S148" i="1"/>
  <c r="S150" i="1" s="1"/>
  <c r="T147" i="1" s="1"/>
  <c r="U143" i="1"/>
  <c r="U105" i="1" s="1"/>
  <c r="L110" i="1"/>
  <c r="X7" i="1"/>
  <c r="X8" i="1" s="1"/>
  <c r="X9" i="1" s="1"/>
  <c r="H15" i="2"/>
  <c r="W13" i="1"/>
  <c r="X28" i="1" a="1"/>
  <c r="X28" i="1" s="1"/>
  <c r="X17" i="1"/>
  <c r="X18" i="1" s="1" a="1"/>
  <c r="X18" i="1" s="1"/>
  <c r="X201" i="1"/>
  <c r="X207" i="1" s="1"/>
  <c r="X12" i="1"/>
  <c r="X27" i="1" a="1"/>
  <c r="X27" i="1" s="1"/>
  <c r="X154" i="1"/>
  <c r="X51" i="1"/>
  <c r="X11" i="1"/>
  <c r="X56" i="1"/>
  <c r="Y5" i="1"/>
  <c r="X15" i="1"/>
  <c r="W82" i="1" s="1"/>
  <c r="X52" i="1"/>
  <c r="W26" i="1" a="1"/>
  <c r="W26" i="1" s="1"/>
  <c r="W30" i="1" s="1"/>
  <c r="W31" i="1" s="1" a="1"/>
  <c r="W31" i="1" s="1"/>
  <c r="V20" i="1"/>
  <c r="V40" i="1" s="1"/>
  <c r="U39" i="1"/>
  <c r="Z21" i="1"/>
  <c r="Y42" i="1"/>
  <c r="Y44" i="1"/>
  <c r="Y48" i="1"/>
  <c r="Y49" i="1"/>
  <c r="Y46" i="1"/>
  <c r="U37" i="1"/>
  <c r="U23" i="1"/>
  <c r="U32" i="1" s="1"/>
  <c r="U33" i="1" s="1"/>
  <c r="U34" i="1" s="1"/>
  <c r="U36" i="1" s="1"/>
  <c r="V16" i="1"/>
  <c r="O64" i="1"/>
  <c r="S64" i="1"/>
  <c r="R79" i="1"/>
  <c r="Q37" i="1"/>
  <c r="Q23" i="1"/>
  <c r="Q32" i="1" s="1"/>
  <c r="Q33" i="1" s="1"/>
  <c r="Q34" i="1" s="1"/>
  <c r="Q36" i="1" s="1"/>
  <c r="N79" i="1"/>
  <c r="N89" i="1" s="1"/>
  <c r="N90" i="1" s="1"/>
  <c r="W5" i="2"/>
  <c r="T9" i="2"/>
  <c r="T13" i="2" s="1"/>
  <c r="J10" i="2"/>
  <c r="V8" i="2" a="1"/>
  <c r="V8" i="2" s="1"/>
  <c r="V7" i="2"/>
  <c r="U20" i="2"/>
  <c r="K10" i="2"/>
  <c r="K14" i="2" s="1"/>
  <c r="I10" i="2"/>
  <c r="I14" i="2" s="1"/>
  <c r="Q9" i="2"/>
  <c r="Q13" i="2" s="1"/>
  <c r="R9" i="2"/>
  <c r="R13" i="2" s="1"/>
  <c r="R20" i="2"/>
  <c r="Q20" i="2"/>
  <c r="AA22" i="1" l="1"/>
  <c r="AA45" i="1" s="1"/>
  <c r="Z43" i="1"/>
  <c r="X206" i="1"/>
  <c r="Y90" i="1"/>
  <c r="Y209" i="1"/>
  <c r="X126" i="1"/>
  <c r="X127" i="1" s="1"/>
  <c r="X134" i="1"/>
  <c r="X135" i="1" s="1"/>
  <c r="U63" i="1"/>
  <c r="U58" i="1"/>
  <c r="U81" i="1" s="1"/>
  <c r="U59" i="1"/>
  <c r="U60" i="1"/>
  <c r="U61" i="1"/>
  <c r="U62" i="1"/>
  <c r="Q61" i="1"/>
  <c r="Q59" i="1"/>
  <c r="Q60" i="1"/>
  <c r="Q62" i="1"/>
  <c r="J14" i="2"/>
  <c r="J15" i="2" s="1"/>
  <c r="Q63" i="1"/>
  <c r="Q58" i="1"/>
  <c r="N10" i="2"/>
  <c r="T148" i="1"/>
  <c r="T150" i="1" s="1"/>
  <c r="U147" i="1" s="1"/>
  <c r="X158" i="1"/>
  <c r="U144" i="1"/>
  <c r="U106" i="1" s="1"/>
  <c r="V104" i="1"/>
  <c r="V143" i="1"/>
  <c r="V105" i="1" s="1"/>
  <c r="W142" i="1"/>
  <c r="W24" i="2"/>
  <c r="W28" i="2"/>
  <c r="M110" i="1"/>
  <c r="G15" i="2"/>
  <c r="Y11" i="1"/>
  <c r="W19" i="2"/>
  <c r="X13" i="1"/>
  <c r="X208" i="1" s="1"/>
  <c r="Y12" i="1"/>
  <c r="Z5" i="1"/>
  <c r="Y51" i="1"/>
  <c r="Y56" i="1"/>
  <c r="Y17" i="1"/>
  <c r="Y18" i="1" s="1" a="1"/>
  <c r="Y18" i="1" s="1"/>
  <c r="Y201" i="1"/>
  <c r="Y207" i="1" s="1"/>
  <c r="Y7" i="1"/>
  <c r="Y8" i="1" s="1"/>
  <c r="Y9" i="1" s="1"/>
  <c r="Y28" i="1" a="1"/>
  <c r="Y28" i="1" s="1"/>
  <c r="Y27" i="1" a="1"/>
  <c r="Y27" i="1" s="1"/>
  <c r="Y154" i="1"/>
  <c r="Y15" i="1"/>
  <c r="X82" i="1" s="1"/>
  <c r="Y52" i="1"/>
  <c r="X26" i="1" a="1"/>
  <c r="X26" i="1" s="1"/>
  <c r="X30" i="1" s="1"/>
  <c r="X31" i="1" s="1" a="1"/>
  <c r="X31" i="1" s="1"/>
  <c r="W20" i="1"/>
  <c r="W40" i="1" s="1"/>
  <c r="V39" i="1"/>
  <c r="AA21" i="1"/>
  <c r="Z42" i="1"/>
  <c r="Z46" i="1"/>
  <c r="Z44" i="1"/>
  <c r="Z49" i="1"/>
  <c r="Z48" i="1"/>
  <c r="O79" i="1"/>
  <c r="O89" i="1" s="1"/>
  <c r="O90" i="1" s="1"/>
  <c r="S79" i="1"/>
  <c r="S89" i="1" s="1"/>
  <c r="S90" i="1" s="1"/>
  <c r="T64" i="1"/>
  <c r="V37" i="1"/>
  <c r="V23" i="1"/>
  <c r="V32" i="1" s="1"/>
  <c r="V33" i="1" s="1"/>
  <c r="V34" i="1" s="1"/>
  <c r="V36" i="1" s="1"/>
  <c r="W16" i="1"/>
  <c r="P64" i="1"/>
  <c r="M15" i="2"/>
  <c r="K15" i="2"/>
  <c r="L15" i="2"/>
  <c r="I15" i="2"/>
  <c r="Q10" i="2"/>
  <c r="Q14" i="2" s="1"/>
  <c r="V20" i="2"/>
  <c r="X5" i="2"/>
  <c r="U9" i="2"/>
  <c r="U13" i="2" s="1"/>
  <c r="W7" i="2"/>
  <c r="W20" i="2" s="1"/>
  <c r="W8" i="2" a="1"/>
  <c r="W8" i="2" s="1"/>
  <c r="O10" i="2"/>
  <c r="P15" i="2"/>
  <c r="AA43" i="1" l="1"/>
  <c r="AB22" i="1"/>
  <c r="AB45" i="1" s="1"/>
  <c r="Y206" i="1"/>
  <c r="Z90" i="1"/>
  <c r="Z209" i="1"/>
  <c r="X28" i="2"/>
  <c r="X26" i="2"/>
  <c r="N14" i="2"/>
  <c r="N15" i="2" s="1"/>
  <c r="Y126" i="1"/>
  <c r="Y127" i="1" s="1"/>
  <c r="Y134" i="1"/>
  <c r="Y135" i="1" s="1"/>
  <c r="V63" i="1"/>
  <c r="V58" i="1"/>
  <c r="V81" i="1" s="1"/>
  <c r="V61" i="1"/>
  <c r="V60" i="1"/>
  <c r="V59" i="1"/>
  <c r="V62" i="1"/>
  <c r="O14" i="2"/>
  <c r="O15" i="2" s="1"/>
  <c r="Y158" i="1"/>
  <c r="U148" i="1"/>
  <c r="U150" i="1" s="1"/>
  <c r="V147" i="1" s="1"/>
  <c r="W104" i="1"/>
  <c r="W143" i="1"/>
  <c r="V144" i="1"/>
  <c r="V106" i="1" s="1"/>
  <c r="Q81" i="1"/>
  <c r="R81" i="1"/>
  <c r="R89" i="1" s="1"/>
  <c r="R90" i="1" s="1"/>
  <c r="N110" i="1"/>
  <c r="Z11" i="1"/>
  <c r="X16" i="2"/>
  <c r="X24" i="2"/>
  <c r="Y13" i="1"/>
  <c r="Y208" i="1" s="1"/>
  <c r="Z12" i="1"/>
  <c r="Z27" i="1" a="1"/>
  <c r="Z27" i="1" s="1"/>
  <c r="AA5" i="1"/>
  <c r="Z28" i="1" a="1"/>
  <c r="Z28" i="1" s="1"/>
  <c r="Z52" i="1"/>
  <c r="Z15" i="1"/>
  <c r="Z17" i="1"/>
  <c r="Z18" i="1" s="1" a="1"/>
  <c r="Z18" i="1" s="1"/>
  <c r="Z201" i="1"/>
  <c r="Z207" i="1" s="1"/>
  <c r="Z154" i="1"/>
  <c r="Z7" i="1"/>
  <c r="Z8" i="1" s="1"/>
  <c r="Z9" i="1" s="1"/>
  <c r="Z51" i="1"/>
  <c r="Z56" i="1"/>
  <c r="Y26" i="1" a="1"/>
  <c r="Y26" i="1" s="1"/>
  <c r="Y30" i="1" s="1"/>
  <c r="Y31" i="1" s="1" a="1"/>
  <c r="Y31" i="1" s="1"/>
  <c r="X20" i="1"/>
  <c r="X40" i="1" s="1"/>
  <c r="W39" i="1"/>
  <c r="AB21" i="1"/>
  <c r="AA48" i="1"/>
  <c r="AA46" i="1"/>
  <c r="AA42" i="1"/>
  <c r="AA44" i="1"/>
  <c r="AA49" i="1"/>
  <c r="U64" i="1"/>
  <c r="T79" i="1"/>
  <c r="T89" i="1" s="1"/>
  <c r="T90" i="1" s="1"/>
  <c r="W37" i="1"/>
  <c r="W23" i="1"/>
  <c r="W32" i="1" s="1"/>
  <c r="W33" i="1" s="1"/>
  <c r="W34" i="1" s="1"/>
  <c r="W36" i="1" s="1"/>
  <c r="X16" i="1"/>
  <c r="Q64" i="1"/>
  <c r="P79" i="1"/>
  <c r="P89" i="1" s="1"/>
  <c r="P90" i="1" s="1"/>
  <c r="X8" i="2" a="1"/>
  <c r="X8" i="2" s="1"/>
  <c r="X7" i="2"/>
  <c r="X20" i="2" s="1"/>
  <c r="R10" i="2"/>
  <c r="R14" i="2" s="1"/>
  <c r="E9" i="2"/>
  <c r="Y5" i="2"/>
  <c r="E13" i="2"/>
  <c r="AB43" i="1" l="1"/>
  <c r="AC22" i="1"/>
  <c r="AC45" i="1" s="1"/>
  <c r="Z206" i="1"/>
  <c r="AA90" i="1"/>
  <c r="AA209" i="1"/>
  <c r="Y28" i="2"/>
  <c r="Y26" i="2"/>
  <c r="Z126" i="1"/>
  <c r="Z127" i="1" s="1"/>
  <c r="Z134" i="1"/>
  <c r="Z135" i="1" s="1"/>
  <c r="W63" i="1"/>
  <c r="W58" i="1"/>
  <c r="W81" i="1" s="1"/>
  <c r="Y82" i="1"/>
  <c r="W60" i="1"/>
  <c r="W61" i="1"/>
  <c r="W59" i="1"/>
  <c r="W62" i="1"/>
  <c r="Z158" i="1"/>
  <c r="W144" i="1"/>
  <c r="W106" i="1" s="1"/>
  <c r="W105" i="1"/>
  <c r="V148" i="1"/>
  <c r="V150" i="1" s="1"/>
  <c r="W147" i="1" s="1"/>
  <c r="S110" i="1"/>
  <c r="R110" i="1"/>
  <c r="O110" i="1"/>
  <c r="AB5" i="1"/>
  <c r="AA27" i="1" a="1"/>
  <c r="AA27" i="1" s="1"/>
  <c r="Y16" i="2"/>
  <c r="Y24" i="2"/>
  <c r="AA51" i="1"/>
  <c r="AA7" i="1"/>
  <c r="AA8" i="1" s="1"/>
  <c r="AA9" i="1" s="1"/>
  <c r="AA28" i="1" a="1"/>
  <c r="AA28" i="1" s="1"/>
  <c r="AA17" i="1"/>
  <c r="AA18" i="1" s="1" a="1"/>
  <c r="AA18" i="1" s="1"/>
  <c r="AA201" i="1"/>
  <c r="AA207" i="1" s="1"/>
  <c r="AA15" i="1"/>
  <c r="Z82" i="1" s="1"/>
  <c r="AA154" i="1"/>
  <c r="AA12" i="1"/>
  <c r="AA56" i="1"/>
  <c r="AA11" i="1"/>
  <c r="AA52" i="1"/>
  <c r="Z13" i="1"/>
  <c r="Z208" i="1" s="1"/>
  <c r="Z26" i="1" a="1"/>
  <c r="Z26" i="1" s="1"/>
  <c r="Z30" i="1" s="1"/>
  <c r="Z31" i="1" s="1" a="1"/>
  <c r="Z31" i="1" s="1"/>
  <c r="Y20" i="1"/>
  <c r="Y40" i="1" s="1"/>
  <c r="X39" i="1"/>
  <c r="AC21" i="1"/>
  <c r="AB42" i="1"/>
  <c r="AB48" i="1"/>
  <c r="AB46" i="1"/>
  <c r="AB44" i="1"/>
  <c r="AB49" i="1"/>
  <c r="AC43" i="1"/>
  <c r="Q79" i="1"/>
  <c r="Q89" i="1" s="1"/>
  <c r="Q90" i="1" s="1"/>
  <c r="U79" i="1"/>
  <c r="U89" i="1" s="1"/>
  <c r="U90" i="1" s="1"/>
  <c r="X37" i="1"/>
  <c r="X23" i="1"/>
  <c r="X32" i="1" s="1"/>
  <c r="X33" i="1" s="1"/>
  <c r="X34" i="1" s="1"/>
  <c r="X36" i="1" s="1"/>
  <c r="Y16" i="1"/>
  <c r="V64" i="1"/>
  <c r="Q15" i="2"/>
  <c r="S10" i="2"/>
  <c r="S14" i="2" s="1"/>
  <c r="R15" i="2"/>
  <c r="Y7" i="2"/>
  <c r="Y20" i="2" s="1"/>
  <c r="Y8" i="2" a="1"/>
  <c r="Y8" i="2" s="1"/>
  <c r="Z5" i="2"/>
  <c r="AD22" i="1" l="1"/>
  <c r="AD45" i="1" s="1"/>
  <c r="AA206" i="1"/>
  <c r="AB90" i="1"/>
  <c r="AB209" i="1"/>
  <c r="Z28" i="2"/>
  <c r="Z26" i="2"/>
  <c r="X63" i="1"/>
  <c r="X58" i="1"/>
  <c r="X81" i="1" s="1"/>
  <c r="AA126" i="1"/>
  <c r="AA127" i="1" s="1"/>
  <c r="AA134" i="1"/>
  <c r="AA135" i="1" s="1"/>
  <c r="X61" i="1"/>
  <c r="X59" i="1"/>
  <c r="X60" i="1"/>
  <c r="X62" i="1"/>
  <c r="AA158" i="1"/>
  <c r="W148" i="1"/>
  <c r="W150" i="1" s="1"/>
  <c r="X147" i="1" s="1"/>
  <c r="T110" i="1"/>
  <c r="P110" i="1"/>
  <c r="AB154" i="1"/>
  <c r="AB15" i="1"/>
  <c r="AB12" i="1"/>
  <c r="AB201" i="1"/>
  <c r="AB207" i="1" s="1"/>
  <c r="AC5" i="1"/>
  <c r="AB56" i="1"/>
  <c r="AB7" i="1"/>
  <c r="AB8" i="1" s="1"/>
  <c r="AB9" i="1" s="1"/>
  <c r="AB51" i="1"/>
  <c r="AB11" i="1"/>
  <c r="AB27" i="1" a="1"/>
  <c r="AB27" i="1" s="1"/>
  <c r="AB28" i="1" a="1"/>
  <c r="AB28" i="1" s="1"/>
  <c r="AB52" i="1"/>
  <c r="AB17" i="1"/>
  <c r="AB18" i="1" s="1" a="1"/>
  <c r="AB18" i="1" s="1"/>
  <c r="Z16" i="2"/>
  <c r="Z24" i="2"/>
  <c r="AA13" i="1"/>
  <c r="AA208" i="1" s="1"/>
  <c r="AA26" i="1" a="1"/>
  <c r="AA26" i="1" s="1"/>
  <c r="AA30" i="1" s="1"/>
  <c r="AA31" i="1" s="1" a="1"/>
  <c r="AA31" i="1" s="1"/>
  <c r="Z20" i="1"/>
  <c r="Z40" i="1" s="1"/>
  <c r="Y39" i="1"/>
  <c r="AD21" i="1"/>
  <c r="AC42" i="1"/>
  <c r="AC44" i="1"/>
  <c r="AC48" i="1"/>
  <c r="AC46" i="1"/>
  <c r="AC49" i="1"/>
  <c r="W64" i="1"/>
  <c r="Y37" i="1"/>
  <c r="Y23" i="1"/>
  <c r="Y32" i="1" s="1"/>
  <c r="Y33" i="1" s="1"/>
  <c r="Y34" i="1" s="1"/>
  <c r="Y36" i="1" s="1"/>
  <c r="Z16" i="1"/>
  <c r="V79" i="1"/>
  <c r="V89" i="1" s="1"/>
  <c r="V90" i="1" s="1"/>
  <c r="T10" i="2"/>
  <c r="T14" i="2" s="1"/>
  <c r="Z8" i="2" a="1"/>
  <c r="Z8" i="2" s="1"/>
  <c r="Z7" i="2"/>
  <c r="Z20" i="2" s="1"/>
  <c r="AE22" i="1" l="1"/>
  <c r="AE45" i="1" s="1"/>
  <c r="AD43" i="1"/>
  <c r="AB206" i="1"/>
  <c r="AC90" i="1"/>
  <c r="AC209" i="1"/>
  <c r="Y63" i="1"/>
  <c r="Y58" i="1"/>
  <c r="Y81" i="1" s="1"/>
  <c r="Y61" i="1"/>
  <c r="Y59" i="1"/>
  <c r="Y60" i="1"/>
  <c r="Y62" i="1"/>
  <c r="AB126" i="1"/>
  <c r="AB127" i="1" s="1"/>
  <c r="AB134" i="1"/>
  <c r="AB135" i="1" s="1"/>
  <c r="AA82" i="1"/>
  <c r="AB158" i="1"/>
  <c r="AC17" i="1"/>
  <c r="AC18" i="1" s="1" a="1"/>
  <c r="AC18" i="1" s="1"/>
  <c r="U110" i="1"/>
  <c r="Q110" i="1"/>
  <c r="AC15" i="1"/>
  <c r="AB82" i="1" s="1"/>
  <c r="AC51" i="1"/>
  <c r="AC12" i="1"/>
  <c r="AC7" i="1"/>
  <c r="AC8" i="1" s="1"/>
  <c r="AC9" i="1" s="1"/>
  <c r="AC201" i="1"/>
  <c r="AC207" i="1" s="1"/>
  <c r="AC11" i="1"/>
  <c r="AC56" i="1"/>
  <c r="AC28" i="1" a="1"/>
  <c r="AC28" i="1" s="1"/>
  <c r="AC154" i="1"/>
  <c r="AC52" i="1"/>
  <c r="AD5" i="1"/>
  <c r="AD209" i="1" s="1"/>
  <c r="AC27" i="1" a="1"/>
  <c r="AC27" i="1" s="1"/>
  <c r="AB26" i="1" a="1"/>
  <c r="AB26" i="1" s="1"/>
  <c r="AB30" i="1" s="1"/>
  <c r="AB31" i="1" s="1" a="1"/>
  <c r="AB31" i="1" s="1"/>
  <c r="AB13" i="1"/>
  <c r="AB208" i="1" s="1"/>
  <c r="AA20" i="1"/>
  <c r="AA40" i="1" s="1"/>
  <c r="Z39" i="1"/>
  <c r="AE21" i="1"/>
  <c r="AD48" i="1"/>
  <c r="AD46" i="1"/>
  <c r="AD42" i="1"/>
  <c r="AD44" i="1"/>
  <c r="AD49" i="1"/>
  <c r="AF22" i="1"/>
  <c r="AF45" i="1" s="1"/>
  <c r="W79" i="1"/>
  <c r="W89" i="1" s="1"/>
  <c r="W90" i="1" s="1"/>
  <c r="X64" i="1"/>
  <c r="Z37" i="1"/>
  <c r="Z23" i="1"/>
  <c r="Z32" i="1" s="1"/>
  <c r="Z33" i="1" s="1"/>
  <c r="Z34" i="1" s="1"/>
  <c r="Z36" i="1" s="1"/>
  <c r="AA16" i="1"/>
  <c r="S15" i="2"/>
  <c r="U10" i="2"/>
  <c r="U14" i="2" s="1"/>
  <c r="E7" i="2"/>
  <c r="AE43" i="1" l="1"/>
  <c r="AC206" i="1"/>
  <c r="AD90" i="1"/>
  <c r="Z60" i="1"/>
  <c r="Z59" i="1"/>
  <c r="Z61" i="1"/>
  <c r="Z62" i="1"/>
  <c r="AC134" i="1"/>
  <c r="AC135" i="1" s="1"/>
  <c r="AC126" i="1"/>
  <c r="AC127" i="1" s="1"/>
  <c r="Z63" i="1"/>
  <c r="Z58" i="1"/>
  <c r="Z81" i="1" s="1"/>
  <c r="AC158" i="1"/>
  <c r="AD52" i="1"/>
  <c r="V110" i="1"/>
  <c r="AD51" i="1"/>
  <c r="AD28" i="1" a="1"/>
  <c r="AD28" i="1" s="1"/>
  <c r="AD17" i="1"/>
  <c r="AD18" i="1" s="1" a="1"/>
  <c r="AD18" i="1" s="1"/>
  <c r="AD201" i="1"/>
  <c r="AD207" i="1" s="1"/>
  <c r="AD12" i="1"/>
  <c r="AD154" i="1"/>
  <c r="AD15" i="1"/>
  <c r="AC82" i="1" s="1"/>
  <c r="AD56" i="1"/>
  <c r="AD7" i="1"/>
  <c r="AD8" i="1" s="1"/>
  <c r="AD9" i="1" s="1"/>
  <c r="AD27" i="1" a="1"/>
  <c r="AD27" i="1" s="1"/>
  <c r="AD11" i="1"/>
  <c r="AE5" i="1"/>
  <c r="AC26" i="1" a="1"/>
  <c r="AC26" i="1" s="1"/>
  <c r="AC30" i="1" s="1"/>
  <c r="AC31" i="1" s="1" a="1"/>
  <c r="AC31" i="1" s="1"/>
  <c r="AC13" i="1"/>
  <c r="AC208" i="1" s="1"/>
  <c r="AB20" i="1"/>
  <c r="AB40" i="1" s="1"/>
  <c r="AA39" i="1"/>
  <c r="AG22" i="1"/>
  <c r="AG45" i="1" s="1"/>
  <c r="AF43" i="1"/>
  <c r="AF21" i="1"/>
  <c r="AE44" i="1"/>
  <c r="AE48" i="1"/>
  <c r="AE46" i="1"/>
  <c r="AE42" i="1"/>
  <c r="AE49" i="1"/>
  <c r="X79" i="1"/>
  <c r="X89" i="1" s="1"/>
  <c r="AA37" i="1"/>
  <c r="AA23" i="1"/>
  <c r="AA32" i="1" s="1"/>
  <c r="AA33" i="1" s="1"/>
  <c r="AA34" i="1" s="1"/>
  <c r="AA36" i="1" s="1"/>
  <c r="AB16" i="1"/>
  <c r="Y64" i="1"/>
  <c r="T15" i="2"/>
  <c r="U15" i="2"/>
  <c r="V10" i="2"/>
  <c r="V14" i="2" s="1"/>
  <c r="AD206" i="1" l="1"/>
  <c r="AE90" i="1"/>
  <c r="AE209" i="1"/>
  <c r="AD126" i="1"/>
  <c r="AD127" i="1" s="1"/>
  <c r="AD134" i="1"/>
  <c r="AD135" i="1" s="1"/>
  <c r="AA63" i="1"/>
  <c r="AA58" i="1"/>
  <c r="AA81" i="1" s="1"/>
  <c r="AA59" i="1"/>
  <c r="AA60" i="1"/>
  <c r="AA61" i="1"/>
  <c r="AA62" i="1"/>
  <c r="AD158" i="1"/>
  <c r="AE27" i="1" a="1"/>
  <c r="AE27" i="1" s="1"/>
  <c r="AE15" i="1"/>
  <c r="AD26" i="1" a="1"/>
  <c r="AD26" i="1" s="1"/>
  <c r="AD30" i="1" s="1"/>
  <c r="AD31" i="1" s="1" a="1"/>
  <c r="AD31" i="1" s="1"/>
  <c r="AE17" i="1"/>
  <c r="AE18" i="1" s="1" a="1"/>
  <c r="AE18" i="1" s="1"/>
  <c r="AE11" i="1"/>
  <c r="AE201" i="1"/>
  <c r="AE207" i="1" s="1"/>
  <c r="AE7" i="1"/>
  <c r="AE8" i="1" s="1"/>
  <c r="AE9" i="1" s="1"/>
  <c r="AE56" i="1"/>
  <c r="AE52" i="1"/>
  <c r="AE28" i="1" a="1"/>
  <c r="AE28" i="1" s="1"/>
  <c r="X110" i="1"/>
  <c r="W110" i="1"/>
  <c r="AE51" i="1"/>
  <c r="AF5" i="1"/>
  <c r="AE154" i="1"/>
  <c r="AE12" i="1"/>
  <c r="AD13" i="1"/>
  <c r="AD208" i="1" s="1"/>
  <c r="AC20" i="1"/>
  <c r="AC40" i="1" s="1"/>
  <c r="AB39" i="1"/>
  <c r="AG21" i="1"/>
  <c r="AF44" i="1"/>
  <c r="AF42" i="1"/>
  <c r="AF49" i="1"/>
  <c r="AF46" i="1"/>
  <c r="AF48" i="1"/>
  <c r="AH22" i="1"/>
  <c r="AH45" i="1" s="1"/>
  <c r="AG43" i="1"/>
  <c r="Z64" i="1"/>
  <c r="Y79" i="1"/>
  <c r="Y89" i="1" s="1"/>
  <c r="AB37" i="1"/>
  <c r="AB23" i="1"/>
  <c r="AB32" i="1" s="1"/>
  <c r="AB33" i="1" s="1"/>
  <c r="AB34" i="1" s="1"/>
  <c r="AB36" i="1" s="1"/>
  <c r="AC16" i="1"/>
  <c r="W10" i="2"/>
  <c r="W14" i="2" s="1"/>
  <c r="AE206" i="1" l="1"/>
  <c r="AF90" i="1"/>
  <c r="AF209" i="1"/>
  <c r="AE134" i="1"/>
  <c r="AE135" i="1" s="1"/>
  <c r="AE126" i="1"/>
  <c r="AE127" i="1" s="1"/>
  <c r="AB63" i="1"/>
  <c r="AB58" i="1"/>
  <c r="AB81" i="1" s="1"/>
  <c r="AB59" i="1"/>
  <c r="AB60" i="1"/>
  <c r="AB61" i="1"/>
  <c r="AB62" i="1"/>
  <c r="AD82" i="1"/>
  <c r="AE158" i="1"/>
  <c r="AF154" i="1"/>
  <c r="AF201" i="1"/>
  <c r="AF207" i="1" s="1"/>
  <c r="AF12" i="1"/>
  <c r="AF51" i="1"/>
  <c r="AF27" i="1" a="1"/>
  <c r="AF27" i="1" s="1"/>
  <c r="AF28" i="1" a="1"/>
  <c r="AF28" i="1" s="1"/>
  <c r="AF11" i="1"/>
  <c r="AF17" i="1"/>
  <c r="AF18" i="1" s="1" a="1"/>
  <c r="AF18" i="1" s="1"/>
  <c r="AF15" i="1"/>
  <c r="AG5" i="1"/>
  <c r="AF56" i="1"/>
  <c r="AF52" i="1"/>
  <c r="AF7" i="1"/>
  <c r="AF8" i="1" s="1"/>
  <c r="AF9" i="1" s="1"/>
  <c r="AE13" i="1"/>
  <c r="AE208" i="1" s="1"/>
  <c r="AE26" i="1" a="1"/>
  <c r="AE26" i="1" s="1"/>
  <c r="AE30" i="1" s="1"/>
  <c r="AE31" i="1" s="1" a="1"/>
  <c r="AE31" i="1" s="1"/>
  <c r="AD20" i="1"/>
  <c r="AD40" i="1" s="1"/>
  <c r="AC39" i="1"/>
  <c r="AI22" i="1"/>
  <c r="AI45" i="1" s="1"/>
  <c r="AH43" i="1"/>
  <c r="AH21" i="1"/>
  <c r="AG44" i="1"/>
  <c r="AG49" i="1"/>
  <c r="AG48" i="1"/>
  <c r="AG42" i="1"/>
  <c r="AG46" i="1"/>
  <c r="AC37" i="1"/>
  <c r="AC23" i="1"/>
  <c r="AC32" i="1" s="1"/>
  <c r="AC33" i="1" s="1"/>
  <c r="AC34" i="1" s="1"/>
  <c r="AC36" i="1" s="1"/>
  <c r="AD16" i="1"/>
  <c r="Z79" i="1"/>
  <c r="Z89" i="1" s="1"/>
  <c r="AA64" i="1"/>
  <c r="V15" i="2"/>
  <c r="X10" i="2"/>
  <c r="X14" i="2" s="1"/>
  <c r="AF206" i="1" l="1"/>
  <c r="AG90" i="1"/>
  <c r="AG209" i="1"/>
  <c r="AC63" i="1"/>
  <c r="AC58" i="1"/>
  <c r="AC81" i="1" s="1"/>
  <c r="AC59" i="1"/>
  <c r="AC60" i="1"/>
  <c r="AC61" i="1"/>
  <c r="AC62" i="1"/>
  <c r="AE82" i="1"/>
  <c r="AF126" i="1"/>
  <c r="AF127" i="1" s="1"/>
  <c r="AF134" i="1"/>
  <c r="AF135" i="1" s="1"/>
  <c r="AF158" i="1"/>
  <c r="AG7" i="1"/>
  <c r="AG8" i="1" s="1"/>
  <c r="AG9" i="1" s="1"/>
  <c r="AG51" i="1"/>
  <c r="AG201" i="1"/>
  <c r="AG207" i="1" s="1"/>
  <c r="AG52" i="1"/>
  <c r="AG28" i="1" a="1"/>
  <c r="AG28" i="1" s="1"/>
  <c r="AG11" i="1"/>
  <c r="AG56" i="1"/>
  <c r="AG27" i="1" a="1"/>
  <c r="AG27" i="1" s="1"/>
  <c r="AG17" i="1"/>
  <c r="AG18" i="1" s="1" a="1"/>
  <c r="AG18" i="1" s="1"/>
  <c r="AG15" i="1"/>
  <c r="AF82" i="1" s="1"/>
  <c r="AH5" i="1"/>
  <c r="AG154" i="1"/>
  <c r="AG12" i="1"/>
  <c r="Y110" i="1"/>
  <c r="AF13" i="1"/>
  <c r="AF208" i="1" s="1"/>
  <c r="AF26" i="1" a="1"/>
  <c r="AF26" i="1" s="1"/>
  <c r="AF30" i="1" s="1"/>
  <c r="AF31" i="1" s="1" a="1"/>
  <c r="AF31" i="1" s="1"/>
  <c r="AE20" i="1"/>
  <c r="AE40" i="1" s="1"/>
  <c r="AD39" i="1"/>
  <c r="AJ22" i="1"/>
  <c r="AJ45" i="1" s="1"/>
  <c r="AI43" i="1"/>
  <c r="AI21" i="1"/>
  <c r="AH42" i="1"/>
  <c r="AH46" i="1"/>
  <c r="AH44" i="1"/>
  <c r="AH49" i="1"/>
  <c r="AH48" i="1"/>
  <c r="AA79" i="1"/>
  <c r="AA89" i="1" s="1"/>
  <c r="AD37" i="1"/>
  <c r="AD23" i="1"/>
  <c r="AD32" i="1" s="1"/>
  <c r="AD33" i="1" s="1"/>
  <c r="AD34" i="1" s="1"/>
  <c r="AD36" i="1" s="1"/>
  <c r="AE16" i="1"/>
  <c r="AB64" i="1"/>
  <c r="W15" i="2"/>
  <c r="Y10" i="2"/>
  <c r="Y14" i="2" s="1"/>
  <c r="AG206" i="1" l="1"/>
  <c r="AH90" i="1"/>
  <c r="AH209" i="1"/>
  <c r="AG126" i="1"/>
  <c r="AG127" i="1" s="1"/>
  <c r="AG134" i="1"/>
  <c r="AG135" i="1" s="1"/>
  <c r="AD63" i="1"/>
  <c r="AD58" i="1"/>
  <c r="AD81" i="1" s="1"/>
  <c r="AD60" i="1"/>
  <c r="AD61" i="1"/>
  <c r="AD59" i="1"/>
  <c r="AD62" i="1"/>
  <c r="AG158" i="1"/>
  <c r="AH52" i="1"/>
  <c r="AH27" i="1" a="1"/>
  <c r="AH27" i="1" s="1"/>
  <c r="AH51" i="1"/>
  <c r="AH15" i="1"/>
  <c r="AG82" i="1" s="1"/>
  <c r="AH12" i="1"/>
  <c r="AI5" i="1"/>
  <c r="AI209" i="1" s="1"/>
  <c r="AH56" i="1"/>
  <c r="AH28" i="1" a="1"/>
  <c r="AH28" i="1" s="1"/>
  <c r="AH7" i="1"/>
  <c r="AH8" i="1" s="1"/>
  <c r="AH9" i="1" s="1"/>
  <c r="AG13" i="1"/>
  <c r="AG208" i="1" s="1"/>
  <c r="AH201" i="1"/>
  <c r="AH207" i="1" s="1"/>
  <c r="AH17" i="1"/>
  <c r="AH18" i="1" s="1" a="1"/>
  <c r="AH18" i="1" s="1"/>
  <c r="AH154" i="1"/>
  <c r="AH11" i="1"/>
  <c r="Z110" i="1"/>
  <c r="AG26" i="1" a="1"/>
  <c r="AG26" i="1" s="1"/>
  <c r="AG30" i="1" s="1"/>
  <c r="AG31" i="1" s="1" a="1"/>
  <c r="AG31" i="1" s="1"/>
  <c r="AF20" i="1"/>
  <c r="AF40" i="1" s="1"/>
  <c r="AE39" i="1"/>
  <c r="AJ21" i="1"/>
  <c r="AI42" i="1"/>
  <c r="AI48" i="1"/>
  <c r="AI46" i="1"/>
  <c r="AI44" i="1"/>
  <c r="AI49" i="1"/>
  <c r="AK22" i="1"/>
  <c r="AK45" i="1" s="1"/>
  <c r="AJ43" i="1"/>
  <c r="AB79" i="1"/>
  <c r="AB89" i="1" s="1"/>
  <c r="AC64" i="1"/>
  <c r="AE37" i="1"/>
  <c r="AE23" i="1"/>
  <c r="AE32" i="1" s="1"/>
  <c r="AE33" i="1" s="1"/>
  <c r="AE34" i="1" s="1"/>
  <c r="AE36" i="1" s="1"/>
  <c r="AF16" i="1"/>
  <c r="X15" i="2"/>
  <c r="Z10" i="2"/>
  <c r="Z14" i="2" s="1"/>
  <c r="AH206" i="1" l="1"/>
  <c r="AI90" i="1"/>
  <c r="AE60" i="1"/>
  <c r="AE61" i="1"/>
  <c r="AE59" i="1"/>
  <c r="AE62" i="1"/>
  <c r="AE63" i="1"/>
  <c r="AE58" i="1"/>
  <c r="AE81" i="1" s="1"/>
  <c r="AH126" i="1"/>
  <c r="AH127" i="1" s="1"/>
  <c r="AH134" i="1"/>
  <c r="AH135" i="1" s="1"/>
  <c r="AH158" i="1"/>
  <c r="AI52" i="1"/>
  <c r="AI27" i="1" a="1"/>
  <c r="AI27" i="1" s="1"/>
  <c r="AI15" i="1"/>
  <c r="AH82" i="1" s="1"/>
  <c r="AI17" i="1"/>
  <c r="AI18" i="1" s="1" a="1"/>
  <c r="AI18" i="1" s="1"/>
  <c r="AI51" i="1"/>
  <c r="AJ5" i="1"/>
  <c r="AI7" i="1"/>
  <c r="AI8" i="1" s="1"/>
  <c r="AI9" i="1" s="1"/>
  <c r="AI56" i="1"/>
  <c r="AI28" i="1" a="1"/>
  <c r="AI28" i="1" s="1"/>
  <c r="AI154" i="1"/>
  <c r="AI12" i="1"/>
  <c r="AI201" i="1"/>
  <c r="AI207" i="1" s="1"/>
  <c r="AI11" i="1"/>
  <c r="AH13" i="1"/>
  <c r="AH208" i="1" s="1"/>
  <c r="AA110" i="1"/>
  <c r="AH26" i="1" a="1"/>
  <c r="AH26" i="1" s="1"/>
  <c r="AH30" i="1" s="1"/>
  <c r="AH31" i="1" s="1" a="1"/>
  <c r="AH31" i="1" s="1"/>
  <c r="X17" i="2"/>
  <c r="AG20" i="1"/>
  <c r="AG40" i="1" s="1"/>
  <c r="AF39" i="1"/>
  <c r="AL22" i="1"/>
  <c r="AL45" i="1" s="1"/>
  <c r="AK43" i="1"/>
  <c r="AK21" i="1"/>
  <c r="AJ42" i="1"/>
  <c r="AJ48" i="1"/>
  <c r="AJ46" i="1"/>
  <c r="AJ44" i="1"/>
  <c r="AJ49" i="1"/>
  <c r="AF37" i="1"/>
  <c r="AF23" i="1"/>
  <c r="AF32" i="1" s="1"/>
  <c r="AF33" i="1" s="1"/>
  <c r="AF34" i="1" s="1"/>
  <c r="AF36" i="1" s="1"/>
  <c r="AG16" i="1"/>
  <c r="AD64" i="1"/>
  <c r="AC79" i="1"/>
  <c r="AC89" i="1" s="1"/>
  <c r="Y15" i="2"/>
  <c r="E10" i="2"/>
  <c r="AI26" i="1" l="1" a="1"/>
  <c r="AI26" i="1" s="1"/>
  <c r="AI30" i="1" s="1"/>
  <c r="AI31" i="1" s="1" a="1"/>
  <c r="AI31" i="1" s="1"/>
  <c r="AI206" i="1"/>
  <c r="AJ90" i="1"/>
  <c r="AJ209" i="1"/>
  <c r="AF59" i="1"/>
  <c r="AF61" i="1"/>
  <c r="AF60" i="1"/>
  <c r="AF62" i="1"/>
  <c r="AF63" i="1"/>
  <c r="AF58" i="1"/>
  <c r="AF81" i="1" s="1"/>
  <c r="AI126" i="1"/>
  <c r="AI127" i="1" s="1"/>
  <c r="AI134" i="1"/>
  <c r="AI135" i="1" s="1"/>
  <c r="AI158" i="1"/>
  <c r="AJ15" i="1"/>
  <c r="AI82" i="1" s="1"/>
  <c r="AJ154" i="1"/>
  <c r="AJ12" i="1"/>
  <c r="AJ51" i="1"/>
  <c r="AK5" i="1"/>
  <c r="AJ56" i="1"/>
  <c r="AJ7" i="1"/>
  <c r="AJ8" i="1" s="1"/>
  <c r="AJ9" i="1" s="1"/>
  <c r="AJ17" i="1"/>
  <c r="AJ18" i="1" s="1" a="1"/>
  <c r="AJ18" i="1" s="1"/>
  <c r="AJ11" i="1"/>
  <c r="AJ27" i="1" a="1"/>
  <c r="AJ27" i="1" s="1"/>
  <c r="AJ201" i="1"/>
  <c r="AJ207" i="1" s="1"/>
  <c r="AJ52" i="1"/>
  <c r="AJ28" i="1" a="1"/>
  <c r="AJ28" i="1" s="1"/>
  <c r="AI13" i="1"/>
  <c r="AI208" i="1" s="1"/>
  <c r="AB110" i="1"/>
  <c r="Y17" i="2"/>
  <c r="Z15" i="2"/>
  <c r="AH20" i="1"/>
  <c r="AH40" i="1" s="1"/>
  <c r="AG39" i="1"/>
  <c r="AL21" i="1"/>
  <c r="AK42" i="1"/>
  <c r="AK44" i="1"/>
  <c r="AK48" i="1"/>
  <c r="AK46" i="1"/>
  <c r="AK49" i="1"/>
  <c r="AM22" i="1"/>
  <c r="AM45" i="1" s="1"/>
  <c r="AL43" i="1"/>
  <c r="AG37" i="1"/>
  <c r="AG23" i="1"/>
  <c r="AG32" i="1" s="1"/>
  <c r="AG33" i="1" s="1"/>
  <c r="AG34" i="1" s="1"/>
  <c r="AG36" i="1" s="1"/>
  <c r="AH16" i="1"/>
  <c r="AE64" i="1"/>
  <c r="AD79" i="1"/>
  <c r="AD89" i="1" s="1"/>
  <c r="E14" i="2"/>
  <c r="AJ206" i="1" l="1"/>
  <c r="AK90" i="1"/>
  <c r="AK209" i="1"/>
  <c r="AG63" i="1"/>
  <c r="AG58" i="1"/>
  <c r="AG81" i="1" s="1"/>
  <c r="AG61" i="1"/>
  <c r="AG59" i="1"/>
  <c r="AG60" i="1"/>
  <c r="AG62" i="1"/>
  <c r="AJ126" i="1"/>
  <c r="AJ127" i="1" s="1"/>
  <c r="AJ134" i="1"/>
  <c r="AJ135" i="1" s="1"/>
  <c r="AJ158" i="1"/>
  <c r="AK56" i="1"/>
  <c r="AK17" i="1"/>
  <c r="AK18" i="1" s="1" a="1"/>
  <c r="AK18" i="1" s="1"/>
  <c r="AK12" i="1"/>
  <c r="AK27" i="1" a="1"/>
  <c r="AK27" i="1" s="1"/>
  <c r="AL5" i="1"/>
  <c r="AK51" i="1"/>
  <c r="AJ26" i="1" a="1"/>
  <c r="AJ26" i="1" s="1"/>
  <c r="AJ30" i="1" s="1"/>
  <c r="AJ31" i="1" s="1" a="1"/>
  <c r="AJ31" i="1" s="1"/>
  <c r="AK28" i="1" a="1"/>
  <c r="AK28" i="1" s="1"/>
  <c r="AK15" i="1"/>
  <c r="AJ82" i="1" s="1"/>
  <c r="AK201" i="1"/>
  <c r="AK207" i="1" s="1"/>
  <c r="AK154" i="1"/>
  <c r="AK11" i="1"/>
  <c r="AK52" i="1"/>
  <c r="AK7" i="1"/>
  <c r="AK8" i="1" s="1"/>
  <c r="AK9" i="1" s="1"/>
  <c r="AJ13" i="1"/>
  <c r="AJ208" i="1" s="1"/>
  <c r="AC110" i="1"/>
  <c r="Z17" i="2"/>
  <c r="AI20" i="1"/>
  <c r="AI40" i="1" s="1"/>
  <c r="AH39" i="1"/>
  <c r="AN22" i="1"/>
  <c r="AN45" i="1" s="1"/>
  <c r="AM43" i="1"/>
  <c r="AM21" i="1"/>
  <c r="AL42" i="1"/>
  <c r="AL48" i="1"/>
  <c r="AL44" i="1"/>
  <c r="AL46" i="1"/>
  <c r="AL49" i="1"/>
  <c r="AE79" i="1"/>
  <c r="AE89" i="1" s="1"/>
  <c r="AH37" i="1"/>
  <c r="AH23" i="1"/>
  <c r="AH32" i="1" s="1"/>
  <c r="AH33" i="1" s="1"/>
  <c r="AH34" i="1" s="1"/>
  <c r="AH36" i="1" s="1"/>
  <c r="AI16" i="1"/>
  <c r="AF64" i="1"/>
  <c r="E15" i="2"/>
  <c r="E204" i="3" s="1"/>
  <c r="AK206" i="1" l="1"/>
  <c r="AL90" i="1"/>
  <c r="AL209" i="1"/>
  <c r="AK134" i="1"/>
  <c r="AK135" i="1" s="1"/>
  <c r="AK126" i="1"/>
  <c r="AK127" i="1" s="1"/>
  <c r="AH63" i="1"/>
  <c r="AH58" i="1"/>
  <c r="AH81" i="1" s="1"/>
  <c r="AH59" i="1"/>
  <c r="AH60" i="1"/>
  <c r="AH61" i="1"/>
  <c r="AH62" i="1"/>
  <c r="AK26" i="1" a="1"/>
  <c r="AK26" i="1" s="1"/>
  <c r="AK30" i="1" s="1"/>
  <c r="AK31" i="1" s="1" a="1"/>
  <c r="AK31" i="1" s="1"/>
  <c r="AK158" i="1"/>
  <c r="AL27" i="1" a="1"/>
  <c r="AL27" i="1" s="1"/>
  <c r="AL28" i="1" a="1"/>
  <c r="AL28" i="1" s="1"/>
  <c r="AL201" i="1"/>
  <c r="AL207" i="1" s="1"/>
  <c r="AL12" i="1"/>
  <c r="AL154" i="1"/>
  <c r="AL7" i="1"/>
  <c r="AL8" i="1" s="1"/>
  <c r="AL9" i="1" s="1"/>
  <c r="AL17" i="1"/>
  <c r="AL18" i="1" s="1" a="1"/>
  <c r="AL18" i="1" s="1"/>
  <c r="AL56" i="1"/>
  <c r="AL15" i="1"/>
  <c r="AK82" i="1" s="1"/>
  <c r="AL52" i="1"/>
  <c r="AM5" i="1"/>
  <c r="AL51" i="1"/>
  <c r="AL11" i="1"/>
  <c r="AK13" i="1"/>
  <c r="AK208" i="1" s="1"/>
  <c r="AD110" i="1"/>
  <c r="AJ20" i="1"/>
  <c r="AJ40" i="1" s="1"/>
  <c r="AI39" i="1"/>
  <c r="AN21" i="1"/>
  <c r="AM44" i="1"/>
  <c r="AM42" i="1"/>
  <c r="AM48" i="1"/>
  <c r="AM46" i="1"/>
  <c r="AM49" i="1"/>
  <c r="AO22" i="1"/>
  <c r="AO45" i="1" s="1"/>
  <c r="AN43" i="1"/>
  <c r="AI37" i="1"/>
  <c r="AI23" i="1"/>
  <c r="AI32" i="1" s="1"/>
  <c r="AI33" i="1" s="1"/>
  <c r="AI34" i="1" s="1"/>
  <c r="AI36" i="1" s="1"/>
  <c r="AJ16" i="1"/>
  <c r="AF79" i="1"/>
  <c r="AF89" i="1" s="1"/>
  <c r="AG64" i="1"/>
  <c r="AL206" i="1" l="1"/>
  <c r="AM28" i="1" a="1"/>
  <c r="AM28" i="1" s="1"/>
  <c r="AM90" i="1"/>
  <c r="AL126" i="1"/>
  <c r="AL127" i="1" s="1"/>
  <c r="AL134" i="1"/>
  <c r="AL135" i="1" s="1"/>
  <c r="AI63" i="1"/>
  <c r="AI58" i="1"/>
  <c r="AI81" i="1" s="1"/>
  <c r="AI59" i="1"/>
  <c r="AI60" i="1"/>
  <c r="AI61" i="1"/>
  <c r="AI62" i="1"/>
  <c r="AL158" i="1"/>
  <c r="AM15" i="1"/>
  <c r="AM7" i="1"/>
  <c r="AM8" i="1" s="1"/>
  <c r="AM9" i="1" s="1"/>
  <c r="AM12" i="1"/>
  <c r="AM201" i="1"/>
  <c r="AM11" i="1"/>
  <c r="AM154" i="1"/>
  <c r="AM52" i="1"/>
  <c r="AM51" i="1"/>
  <c r="AM56" i="1"/>
  <c r="AN5" i="1"/>
  <c r="AN209" i="1" s="1"/>
  <c r="AM27" i="1" a="1"/>
  <c r="AM27" i="1" s="1"/>
  <c r="AM17" i="1"/>
  <c r="AM18" i="1" s="1" a="1"/>
  <c r="AM18" i="1" s="1"/>
  <c r="AL13" i="1"/>
  <c r="AL208" i="1" s="1"/>
  <c r="AE110" i="1"/>
  <c r="AL26" i="1" a="1"/>
  <c r="AL26" i="1" s="1"/>
  <c r="AL30" i="1" s="1"/>
  <c r="AL31" i="1" s="1" a="1"/>
  <c r="AL31" i="1" s="1"/>
  <c r="AK20" i="1"/>
  <c r="AK40" i="1" s="1"/>
  <c r="AJ39" i="1"/>
  <c r="AP22" i="1"/>
  <c r="AP45" i="1" s="1"/>
  <c r="AO43" i="1"/>
  <c r="AO21" i="1"/>
  <c r="AN44" i="1"/>
  <c r="AN42" i="1"/>
  <c r="AN48" i="1"/>
  <c r="AN49" i="1"/>
  <c r="AN46" i="1"/>
  <c r="AJ37" i="1"/>
  <c r="AJ23" i="1"/>
  <c r="AJ32" i="1" s="1"/>
  <c r="AJ33" i="1" s="1"/>
  <c r="AJ34" i="1" s="1"/>
  <c r="AJ36" i="1" s="1"/>
  <c r="AK16" i="1"/>
  <c r="AH64" i="1"/>
  <c r="AG79" i="1"/>
  <c r="AG89" i="1" s="1"/>
  <c r="AN90" i="1" l="1"/>
  <c r="AO5" i="1"/>
  <c r="AL82" i="1"/>
  <c r="AJ63" i="1"/>
  <c r="AJ58" i="1"/>
  <c r="AJ81" i="1" s="1"/>
  <c r="AM134" i="1"/>
  <c r="AM135" i="1" s="1"/>
  <c r="AM126" i="1"/>
  <c r="AM127" i="1" s="1"/>
  <c r="AN56" i="1"/>
  <c r="AN28" i="1" a="1"/>
  <c r="AN28" i="1" s="1"/>
  <c r="AJ60" i="1"/>
  <c r="AJ59" i="1"/>
  <c r="AJ61" i="1"/>
  <c r="AJ62" i="1"/>
  <c r="AN201" i="1"/>
  <c r="AN207" i="1" s="1"/>
  <c r="AN154" i="1"/>
  <c r="AN158" i="1" s="1"/>
  <c r="AN27" i="1" a="1"/>
  <c r="AN27" i="1" s="1"/>
  <c r="AN17" i="1"/>
  <c r="AN18" i="1" s="1" a="1"/>
  <c r="AN18" i="1" s="1"/>
  <c r="AN12" i="1"/>
  <c r="AM158" i="1"/>
  <c r="AN11" i="1"/>
  <c r="AN51" i="1"/>
  <c r="AN15" i="1"/>
  <c r="AN52" i="1"/>
  <c r="AN7" i="1"/>
  <c r="AN8" i="1" s="1"/>
  <c r="AN9" i="1" s="1"/>
  <c r="AM26" i="1" a="1"/>
  <c r="AM26" i="1" s="1"/>
  <c r="AM30" i="1" s="1"/>
  <c r="AM31" i="1" s="1" a="1"/>
  <c r="AM31" i="1" s="1"/>
  <c r="AM13" i="1"/>
  <c r="AM208" i="1" s="1"/>
  <c r="AF110" i="1"/>
  <c r="AL20" i="1"/>
  <c r="AL40" i="1" s="1"/>
  <c r="AK39" i="1"/>
  <c r="AP21" i="1"/>
  <c r="AO42" i="1"/>
  <c r="AO44" i="1"/>
  <c r="AO46" i="1"/>
  <c r="AO48" i="1"/>
  <c r="AO49" i="1"/>
  <c r="AQ22" i="1"/>
  <c r="AQ45" i="1" s="1"/>
  <c r="AP43" i="1"/>
  <c r="AK37" i="1"/>
  <c r="AK23" i="1"/>
  <c r="AK32" i="1" s="1"/>
  <c r="AK33" i="1" s="1"/>
  <c r="AK34" i="1" s="1"/>
  <c r="AK36" i="1" s="1"/>
  <c r="AL16" i="1"/>
  <c r="AI64" i="1"/>
  <c r="AH79" i="1"/>
  <c r="AH89" i="1" s="1"/>
  <c r="D5" i="2"/>
  <c r="AN206" i="1" l="1"/>
  <c r="AP5" i="1"/>
  <c r="AQ5" i="1" s="1"/>
  <c r="AO209" i="1"/>
  <c r="AO52" i="1"/>
  <c r="AO7" i="1"/>
  <c r="AO8" i="1" s="1"/>
  <c r="AO9" i="1" s="1"/>
  <c r="AO56" i="1"/>
  <c r="AO17" i="1"/>
  <c r="AO18" i="1" s="1" a="1"/>
  <c r="AO18" i="1" s="1"/>
  <c r="AO12" i="1"/>
  <c r="AO28" i="1" a="1"/>
  <c r="AO28" i="1" s="1"/>
  <c r="AO27" i="1" a="1"/>
  <c r="AO27" i="1" s="1"/>
  <c r="AO201" i="1"/>
  <c r="AO207" i="1" s="1"/>
  <c r="AO15" i="1"/>
  <c r="AN82" i="1" s="1"/>
  <c r="AO154" i="1"/>
  <c r="AO134" i="1" s="1"/>
  <c r="AO90" i="1"/>
  <c r="AO51" i="1"/>
  <c r="AO11" i="1"/>
  <c r="AK63" i="1"/>
  <c r="AK58" i="1"/>
  <c r="AK81" i="1" s="1"/>
  <c r="AN126" i="1"/>
  <c r="AN127" i="1" s="1"/>
  <c r="AN134" i="1"/>
  <c r="AN135" i="1" s="1"/>
  <c r="AM82" i="1"/>
  <c r="AK59" i="1"/>
  <c r="AK60" i="1"/>
  <c r="AK61" i="1"/>
  <c r="AK62" i="1"/>
  <c r="AN26" i="1" a="1"/>
  <c r="AN26" i="1" s="1"/>
  <c r="AN30" i="1" s="1"/>
  <c r="AN31" i="1" s="1" a="1"/>
  <c r="AN31" i="1" s="1"/>
  <c r="AN13" i="1"/>
  <c r="AN208" i="1" s="1"/>
  <c r="AG110" i="1"/>
  <c r="AM20" i="1"/>
  <c r="AM40" i="1" s="1"/>
  <c r="AL39" i="1"/>
  <c r="AR22" i="1"/>
  <c r="AR45" i="1" s="1"/>
  <c r="AQ43" i="1"/>
  <c r="AQ21" i="1"/>
  <c r="AP42" i="1"/>
  <c r="AP46" i="1"/>
  <c r="AP44" i="1"/>
  <c r="AP48" i="1"/>
  <c r="AP49" i="1"/>
  <c r="AL37" i="1"/>
  <c r="AL23" i="1"/>
  <c r="AL32" i="1" s="1"/>
  <c r="AL33" i="1" s="1"/>
  <c r="AL34" i="1" s="1"/>
  <c r="AL36" i="1" s="1"/>
  <c r="AM16" i="1"/>
  <c r="AI79" i="1"/>
  <c r="AI89" i="1" s="1"/>
  <c r="AJ64" i="1"/>
  <c r="G21" i="2"/>
  <c r="G19" i="2"/>
  <c r="H208" i="1"/>
  <c r="H19" i="2"/>
  <c r="H21" i="2"/>
  <c r="W208" i="1"/>
  <c r="W21" i="2"/>
  <c r="W52" i="1"/>
  <c r="X21" i="2"/>
  <c r="X19" i="2"/>
  <c r="Y21" i="2"/>
  <c r="Y19" i="2"/>
  <c r="Z19" i="2"/>
  <c r="Z21" i="2"/>
  <c r="AP154" i="1" l="1"/>
  <c r="AP134" i="1" s="1"/>
  <c r="AP135" i="1" s="1"/>
  <c r="AP12" i="1"/>
  <c r="AP51" i="1"/>
  <c r="AP52" i="1"/>
  <c r="AP28" i="1" a="1"/>
  <c r="AP28" i="1" s="1"/>
  <c r="AP56" i="1"/>
  <c r="AP27" i="1" a="1"/>
  <c r="AP27" i="1" s="1"/>
  <c r="AP11" i="1"/>
  <c r="AP7" i="1"/>
  <c r="AP8" i="1" s="1"/>
  <c r="AP9" i="1" s="1"/>
  <c r="AP17" i="1"/>
  <c r="AP18" i="1" s="1" a="1"/>
  <c r="AP18" i="1" s="1"/>
  <c r="AP201" i="1"/>
  <c r="AP207" i="1" s="1"/>
  <c r="AP15" i="1"/>
  <c r="AO82" i="1" s="1"/>
  <c r="AO206" i="1"/>
  <c r="AO126" i="1"/>
  <c r="AO127" i="1" s="1"/>
  <c r="AQ90" i="1"/>
  <c r="AP90" i="1"/>
  <c r="AP209" i="1"/>
  <c r="AO158" i="1"/>
  <c r="AO135" i="1"/>
  <c r="AL60" i="1"/>
  <c r="AL61" i="1"/>
  <c r="AL59" i="1"/>
  <c r="AL62" i="1"/>
  <c r="AL63" i="1"/>
  <c r="AL58" i="1"/>
  <c r="AL81" i="1" s="1"/>
  <c r="AO13" i="1"/>
  <c r="AO208" i="1" s="1"/>
  <c r="AH110" i="1"/>
  <c r="G52" i="1"/>
  <c r="H52" i="1"/>
  <c r="AO26" i="1" a="1"/>
  <c r="AO26" i="1" s="1"/>
  <c r="AO30" i="1" s="1"/>
  <c r="AO31" i="1" s="1" a="1"/>
  <c r="AO31" i="1" s="1"/>
  <c r="X22" i="2"/>
  <c r="X25" i="2" s="1"/>
  <c r="Z22" i="2"/>
  <c r="Z25" i="2" s="1"/>
  <c r="Y22" i="2"/>
  <c r="Y25" i="2" s="1"/>
  <c r="AN20" i="1"/>
  <c r="AN40" i="1" s="1"/>
  <c r="AM39" i="1"/>
  <c r="AR21" i="1"/>
  <c r="AQ48" i="1"/>
  <c r="AQ46" i="1"/>
  <c r="AQ42" i="1"/>
  <c r="AQ44" i="1"/>
  <c r="AQ49" i="1"/>
  <c r="AS22" i="1"/>
  <c r="AS45" i="1" s="1"/>
  <c r="AR43" i="1"/>
  <c r="AM37" i="1"/>
  <c r="AM23" i="1"/>
  <c r="AM32" i="1" s="1"/>
  <c r="AM33" i="1" s="1"/>
  <c r="AM34" i="1" s="1"/>
  <c r="AM36" i="1" s="1"/>
  <c r="AN16" i="1"/>
  <c r="AQ7" i="1"/>
  <c r="AR5" i="1"/>
  <c r="AQ12" i="1"/>
  <c r="AQ15" i="1"/>
  <c r="AP82" i="1" s="1"/>
  <c r="AQ11" i="1"/>
  <c r="AQ17" i="1"/>
  <c r="AQ28" i="1" a="1"/>
  <c r="AQ28" i="1" s="1"/>
  <c r="AQ27" i="1" a="1"/>
  <c r="AQ27" i="1" s="1"/>
  <c r="AQ51" i="1"/>
  <c r="AQ52" i="1"/>
  <c r="AQ56" i="1"/>
  <c r="AQ154" i="1"/>
  <c r="AQ201" i="1"/>
  <c r="AQ207" i="1" s="1"/>
  <c r="AK64" i="1"/>
  <c r="AJ79" i="1"/>
  <c r="AJ89" i="1" s="1"/>
  <c r="AP126" i="1" l="1"/>
  <c r="AP127" i="1" s="1"/>
  <c r="AP158" i="1"/>
  <c r="AQ8" i="1"/>
  <c r="AQ9" i="1" s="1"/>
  <c r="AP206" i="1"/>
  <c r="AR90" i="1"/>
  <c r="AR209" i="1"/>
  <c r="Y32" i="2"/>
  <c r="X32" i="2"/>
  <c r="Z32" i="2"/>
  <c r="AM63" i="1"/>
  <c r="AM58" i="1"/>
  <c r="AM81" i="1" s="1"/>
  <c r="AM60" i="1"/>
  <c r="AM61" i="1"/>
  <c r="AM59" i="1"/>
  <c r="AM62" i="1"/>
  <c r="AQ126" i="1"/>
  <c r="AQ134" i="1"/>
  <c r="AQ135" i="1" s="1"/>
  <c r="AQ158" i="1"/>
  <c r="AP13" i="1"/>
  <c r="AP208" i="1" s="1"/>
  <c r="AI110" i="1"/>
  <c r="AP26" i="1" a="1"/>
  <c r="AP26" i="1" s="1"/>
  <c r="AP30" i="1" s="1"/>
  <c r="AP31" i="1" s="1" a="1"/>
  <c r="AP31" i="1" s="1"/>
  <c r="AO20" i="1"/>
  <c r="AO40" i="1" s="1"/>
  <c r="AN39" i="1"/>
  <c r="AT22" i="1"/>
  <c r="AT45" i="1" s="1"/>
  <c r="AS43" i="1"/>
  <c r="AS21" i="1"/>
  <c r="AR42" i="1"/>
  <c r="AR44" i="1"/>
  <c r="AR48" i="1"/>
  <c r="AR46" i="1"/>
  <c r="AR49" i="1"/>
  <c r="AK79" i="1"/>
  <c r="AK89" i="1" s="1"/>
  <c r="AQ18" i="1" a="1"/>
  <c r="AQ18" i="1" s="1"/>
  <c r="AN37" i="1"/>
  <c r="AN23" i="1"/>
  <c r="AN32" i="1" s="1"/>
  <c r="AN33" i="1" s="1"/>
  <c r="AN34" i="1" s="1"/>
  <c r="AN36" i="1" s="1"/>
  <c r="AO16" i="1"/>
  <c r="AR11" i="1"/>
  <c r="AR7" i="1"/>
  <c r="AR8" i="1" s="1"/>
  <c r="AS5" i="1"/>
  <c r="AR12" i="1"/>
  <c r="AR15" i="1"/>
  <c r="AQ82" i="1" s="1"/>
  <c r="AR17" i="1"/>
  <c r="AR27" i="1" a="1"/>
  <c r="AR27" i="1" s="1"/>
  <c r="AR28" i="1" a="1"/>
  <c r="AR28" i="1" s="1"/>
  <c r="AR52" i="1"/>
  <c r="AR56" i="1"/>
  <c r="AR51" i="1"/>
  <c r="AR154" i="1"/>
  <c r="AR201" i="1"/>
  <c r="AR207" i="1" s="1"/>
  <c r="AL64" i="1"/>
  <c r="AQ26" i="1" l="1" a="1"/>
  <c r="AQ26" i="1" s="1"/>
  <c r="AQ30" i="1" s="1"/>
  <c r="AQ31" i="1" s="1" a="1"/>
  <c r="AQ31" i="1" s="1"/>
  <c r="AQ127" i="1"/>
  <c r="AR9" i="1"/>
  <c r="AR206" i="1"/>
  <c r="AS90" i="1"/>
  <c r="AS209" i="1"/>
  <c r="AN63" i="1"/>
  <c r="AN58" i="1"/>
  <c r="AN81" i="1" s="1"/>
  <c r="AN61" i="1"/>
  <c r="AN59" i="1"/>
  <c r="AN60" i="1"/>
  <c r="AN62" i="1"/>
  <c r="AR126" i="1"/>
  <c r="AR127" i="1" s="1"/>
  <c r="AR134" i="1"/>
  <c r="AR135" i="1" s="1"/>
  <c r="AR158" i="1"/>
  <c r="AQ13" i="1"/>
  <c r="AQ208" i="1" s="1"/>
  <c r="AJ110" i="1"/>
  <c r="AP20" i="1"/>
  <c r="AP40" i="1" s="1"/>
  <c r="AO39" i="1"/>
  <c r="AT21" i="1"/>
  <c r="AS42" i="1"/>
  <c r="AS44" i="1"/>
  <c r="AS48" i="1"/>
  <c r="AS46" i="1"/>
  <c r="AS49" i="1"/>
  <c r="AU22" i="1"/>
  <c r="AU45" i="1" s="1"/>
  <c r="AT43" i="1"/>
  <c r="AL79" i="1"/>
  <c r="AL89" i="1" s="1"/>
  <c r="AR18" i="1" a="1"/>
  <c r="AR18" i="1" s="1"/>
  <c r="AO37" i="1"/>
  <c r="AO23" i="1"/>
  <c r="AO32" i="1" s="1"/>
  <c r="AO33" i="1" s="1"/>
  <c r="AO34" i="1" s="1"/>
  <c r="AO36" i="1" s="1"/>
  <c r="AP16" i="1"/>
  <c r="AT5" i="1"/>
  <c r="AS7" i="1"/>
  <c r="AS8" i="1" s="1"/>
  <c r="AS9" i="1" s="1"/>
  <c r="AS12" i="1"/>
  <c r="AS11" i="1"/>
  <c r="AS15" i="1"/>
  <c r="AR82" i="1" s="1"/>
  <c r="AS17" i="1"/>
  <c r="AS27" i="1" a="1"/>
  <c r="AS27" i="1" s="1"/>
  <c r="AS28" i="1" a="1"/>
  <c r="AS28" i="1" s="1"/>
  <c r="AS56" i="1"/>
  <c r="AS52" i="1"/>
  <c r="AS51" i="1"/>
  <c r="AS154" i="1"/>
  <c r="AS201" i="1"/>
  <c r="AS207" i="1" s="1"/>
  <c r="AM64" i="1"/>
  <c r="AR26" i="1" l="1" a="1"/>
  <c r="AR26" i="1" s="1"/>
  <c r="AR30" i="1" s="1"/>
  <c r="AR31" i="1" s="1" a="1"/>
  <c r="AR31" i="1" s="1"/>
  <c r="AS206" i="1"/>
  <c r="AT90" i="1"/>
  <c r="AT209" i="1"/>
  <c r="AO63" i="1"/>
  <c r="AO58" i="1"/>
  <c r="AO81" i="1" s="1"/>
  <c r="AO61" i="1"/>
  <c r="AO59" i="1"/>
  <c r="AO60" i="1"/>
  <c r="AO62" i="1"/>
  <c r="AS134" i="1"/>
  <c r="AS135" i="1" s="1"/>
  <c r="AS126" i="1"/>
  <c r="AS127" i="1" s="1"/>
  <c r="AS158" i="1"/>
  <c r="AR13" i="1"/>
  <c r="AR208" i="1" s="1"/>
  <c r="AK110" i="1"/>
  <c r="AS26" i="1" a="1"/>
  <c r="AS26" i="1" s="1"/>
  <c r="AS30" i="1" s="1"/>
  <c r="AS31" i="1" s="1" a="1"/>
  <c r="AS31" i="1" s="1"/>
  <c r="AQ20" i="1"/>
  <c r="AQ40" i="1" s="1"/>
  <c r="AP39" i="1"/>
  <c r="AV22" i="1"/>
  <c r="AV45" i="1" s="1"/>
  <c r="AU43" i="1"/>
  <c r="AU21" i="1"/>
  <c r="AT44" i="1"/>
  <c r="AT48" i="1"/>
  <c r="AT46" i="1"/>
  <c r="AT42" i="1"/>
  <c r="AT49" i="1"/>
  <c r="AS18" i="1" a="1"/>
  <c r="AS18" i="1" s="1"/>
  <c r="AN64" i="1"/>
  <c r="AU5" i="1"/>
  <c r="AU209" i="1" s="1"/>
  <c r="AT7" i="1"/>
  <c r="AT11" i="1"/>
  <c r="AT12" i="1"/>
  <c r="AT15" i="1"/>
  <c r="AT17" i="1"/>
  <c r="AT27" i="1" a="1"/>
  <c r="AT27" i="1" s="1"/>
  <c r="AT28" i="1" a="1"/>
  <c r="AT28" i="1" s="1"/>
  <c r="AT51" i="1"/>
  <c r="AT52" i="1"/>
  <c r="AT56" i="1"/>
  <c r="AT154" i="1"/>
  <c r="AT201" i="1"/>
  <c r="AT207" i="1" s="1"/>
  <c r="AM79" i="1"/>
  <c r="AM89" i="1" s="1"/>
  <c r="AP37" i="1"/>
  <c r="AP23" i="1"/>
  <c r="AP32" i="1" s="1"/>
  <c r="AP33" i="1" s="1"/>
  <c r="AP34" i="1" s="1"/>
  <c r="AP36" i="1" s="1"/>
  <c r="AQ16" i="1"/>
  <c r="AT206" i="1" l="1"/>
  <c r="AU90" i="1"/>
  <c r="AT126" i="1"/>
  <c r="AT127" i="1" s="1"/>
  <c r="AT134" i="1"/>
  <c r="AT135" i="1" s="1"/>
  <c r="AP59" i="1"/>
  <c r="AP60" i="1"/>
  <c r="AP61" i="1"/>
  <c r="AP62" i="1"/>
  <c r="AS82" i="1"/>
  <c r="AP58" i="1"/>
  <c r="AP81" i="1" s="1"/>
  <c r="AP63" i="1"/>
  <c r="AT158" i="1"/>
  <c r="AS13" i="1"/>
  <c r="AS208" i="1" s="1"/>
  <c r="AL110" i="1"/>
  <c r="AR20" i="1"/>
  <c r="AR40" i="1" s="1"/>
  <c r="AQ39" i="1"/>
  <c r="AV21" i="1"/>
  <c r="AU44" i="1"/>
  <c r="AU48" i="1"/>
  <c r="AU46" i="1"/>
  <c r="AU42" i="1"/>
  <c r="AU49" i="1"/>
  <c r="AW22" i="1"/>
  <c r="AW45" i="1" s="1"/>
  <c r="AV43" i="1"/>
  <c r="AN79" i="1"/>
  <c r="AN89" i="1" s="1"/>
  <c r="AT18" i="1" a="1"/>
  <c r="AT18" i="1" s="1"/>
  <c r="AQ37" i="1"/>
  <c r="AQ23" i="1"/>
  <c r="AQ32" i="1" s="1"/>
  <c r="AQ33" i="1" s="1"/>
  <c r="AQ34" i="1" s="1"/>
  <c r="AQ36" i="1" s="1"/>
  <c r="AR16" i="1"/>
  <c r="AT8" i="1"/>
  <c r="AT9" i="1" s="1"/>
  <c r="AO64" i="1"/>
  <c r="AU7" i="1"/>
  <c r="AV5" i="1"/>
  <c r="AU12" i="1"/>
  <c r="AU11" i="1"/>
  <c r="AU15" i="1"/>
  <c r="AU17" i="1"/>
  <c r="AU27" i="1" a="1"/>
  <c r="AU27" i="1" s="1"/>
  <c r="AU28" i="1" a="1"/>
  <c r="AU28" i="1" s="1"/>
  <c r="AU52" i="1"/>
  <c r="AU56" i="1"/>
  <c r="AU51" i="1"/>
  <c r="AU154" i="1"/>
  <c r="AU201" i="1"/>
  <c r="AU207" i="1" s="1"/>
  <c r="AU206" i="1" l="1"/>
  <c r="AV90" i="1"/>
  <c r="AV209" i="1"/>
  <c r="AQ58" i="1"/>
  <c r="AQ81" i="1" s="1"/>
  <c r="AQ63" i="1"/>
  <c r="AU134" i="1"/>
  <c r="AU135" i="1" s="1"/>
  <c r="AU126" i="1"/>
  <c r="AU127" i="1" s="1"/>
  <c r="AQ59" i="1"/>
  <c r="AQ60" i="1"/>
  <c r="AQ61" i="1"/>
  <c r="AQ62" i="1"/>
  <c r="AT82" i="1"/>
  <c r="AU158" i="1"/>
  <c r="AT13" i="1"/>
  <c r="AT208" i="1" s="1"/>
  <c r="AM110" i="1"/>
  <c r="AT26" i="1" a="1"/>
  <c r="AT26" i="1" s="1"/>
  <c r="AT30" i="1" s="1"/>
  <c r="AT31" i="1" s="1" a="1"/>
  <c r="AT31" i="1" s="1"/>
  <c r="AS20" i="1"/>
  <c r="AS40" i="1" s="1"/>
  <c r="AR39" i="1"/>
  <c r="AW21" i="1"/>
  <c r="AV44" i="1"/>
  <c r="AV42" i="1"/>
  <c r="AV49" i="1"/>
  <c r="AV48" i="1"/>
  <c r="AV46" i="1"/>
  <c r="AX22" i="1"/>
  <c r="AX45" i="1" s="1"/>
  <c r="AW43" i="1"/>
  <c r="AR37" i="1"/>
  <c r="AR23" i="1"/>
  <c r="AR32" i="1" s="1"/>
  <c r="AR33" i="1" s="1"/>
  <c r="AR34" i="1" s="1"/>
  <c r="AR36" i="1" s="1"/>
  <c r="AS16" i="1"/>
  <c r="AO79" i="1"/>
  <c r="AO89" i="1" s="1"/>
  <c r="AP64" i="1"/>
  <c r="AU18" i="1" a="1"/>
  <c r="AU18" i="1" s="1"/>
  <c r="AU8" i="1"/>
  <c r="AU9" i="1" s="1"/>
  <c r="AV7" i="1"/>
  <c r="AW5" i="1"/>
  <c r="AV11" i="1"/>
  <c r="AV15" i="1"/>
  <c r="AV12" i="1"/>
  <c r="AV17" i="1"/>
  <c r="AV27" i="1" a="1"/>
  <c r="AV27" i="1" s="1"/>
  <c r="AV28" i="1" a="1"/>
  <c r="AV28" i="1" s="1"/>
  <c r="AV52" i="1"/>
  <c r="AV56" i="1"/>
  <c r="AV51" i="1"/>
  <c r="AV154" i="1"/>
  <c r="AV201" i="1"/>
  <c r="AV207" i="1" s="1"/>
  <c r="AV206" i="1" l="1"/>
  <c r="AW90" i="1"/>
  <c r="AW209" i="1"/>
  <c r="AV126" i="1"/>
  <c r="AV127" i="1" s="1"/>
  <c r="AV134" i="1"/>
  <c r="AV135" i="1" s="1"/>
  <c r="AU82" i="1"/>
  <c r="AR63" i="1"/>
  <c r="AR58" i="1"/>
  <c r="AR81" i="1" s="1"/>
  <c r="AR59" i="1"/>
  <c r="AR60" i="1"/>
  <c r="AR61" i="1"/>
  <c r="AR62" i="1"/>
  <c r="AV158" i="1"/>
  <c r="AU13" i="1"/>
  <c r="AU208" i="1" s="1"/>
  <c r="AN110" i="1"/>
  <c r="AU26" i="1" a="1"/>
  <c r="AU26" i="1" s="1"/>
  <c r="AU30" i="1" s="1"/>
  <c r="AU31" i="1" s="1" a="1"/>
  <c r="AU31" i="1" s="1"/>
  <c r="AT20" i="1"/>
  <c r="AT40" i="1" s="1"/>
  <c r="AS39" i="1"/>
  <c r="AY22" i="1"/>
  <c r="AY45" i="1" s="1"/>
  <c r="AX43" i="1"/>
  <c r="AX21" i="1"/>
  <c r="AW44" i="1"/>
  <c r="AW46" i="1"/>
  <c r="AW49" i="1"/>
  <c r="AW42" i="1"/>
  <c r="AW48" i="1"/>
  <c r="AW7" i="1"/>
  <c r="AW8" i="1" s="1"/>
  <c r="AX5" i="1"/>
  <c r="AW11" i="1"/>
  <c r="AW15" i="1"/>
  <c r="AW12" i="1"/>
  <c r="AW17" i="1"/>
  <c r="AW27" i="1" a="1"/>
  <c r="AW27" i="1" s="1"/>
  <c r="AW28" i="1" a="1"/>
  <c r="AW28" i="1" s="1"/>
  <c r="AW56" i="1"/>
  <c r="AW52" i="1"/>
  <c r="AW51" i="1"/>
  <c r="AW154" i="1"/>
  <c r="AW201" i="1"/>
  <c r="AW207" i="1" s="1"/>
  <c r="AP79" i="1"/>
  <c r="AP89" i="1" s="1"/>
  <c r="AV18" i="1" a="1"/>
  <c r="AV18" i="1" s="1"/>
  <c r="AV8" i="1"/>
  <c r="AV9" i="1" s="1"/>
  <c r="AQ64" i="1"/>
  <c r="AM207" i="1" s="1"/>
  <c r="AS37" i="1"/>
  <c r="AS23" i="1"/>
  <c r="AS32" i="1" s="1"/>
  <c r="AS33" i="1" s="1"/>
  <c r="AS34" i="1" s="1"/>
  <c r="AS36" i="1" s="1"/>
  <c r="AT16" i="1"/>
  <c r="AW206" i="1" l="1"/>
  <c r="AX90" i="1"/>
  <c r="AX209" i="1"/>
  <c r="AW126" i="1"/>
  <c r="AW127" i="1" s="1"/>
  <c r="AW134" i="1"/>
  <c r="AW135" i="1" s="1"/>
  <c r="AS58" i="1"/>
  <c r="AS81" i="1" s="1"/>
  <c r="AS63" i="1"/>
  <c r="AV82" i="1"/>
  <c r="AS59" i="1"/>
  <c r="AS60" i="1"/>
  <c r="AS61" i="1"/>
  <c r="AS62" i="1"/>
  <c r="AW158" i="1"/>
  <c r="AV13" i="1"/>
  <c r="AV208" i="1" s="1"/>
  <c r="AO110" i="1"/>
  <c r="AV26" i="1" a="1"/>
  <c r="AV26" i="1" s="1"/>
  <c r="AV30" i="1" s="1"/>
  <c r="AV31" i="1" s="1" a="1"/>
  <c r="AV31" i="1" s="1"/>
  <c r="AU20" i="1"/>
  <c r="AU40" i="1" s="1"/>
  <c r="AT39" i="1"/>
  <c r="AW9" i="1"/>
  <c r="AY21" i="1"/>
  <c r="AX42" i="1"/>
  <c r="AX46" i="1"/>
  <c r="AX44" i="1"/>
  <c r="AX49" i="1"/>
  <c r="AX48" i="1"/>
  <c r="AZ22" i="1"/>
  <c r="AZ45" i="1" s="1"/>
  <c r="AY43" i="1"/>
  <c r="AT37" i="1"/>
  <c r="AT23" i="1"/>
  <c r="AT32" i="1" s="1"/>
  <c r="AT33" i="1" s="1"/>
  <c r="AT34" i="1" s="1"/>
  <c r="AT36" i="1" s="1"/>
  <c r="AU16" i="1"/>
  <c r="AW18" i="1" a="1"/>
  <c r="AW18" i="1" s="1"/>
  <c r="AX7" i="1"/>
  <c r="AX8" i="1" s="1"/>
  <c r="AY5" i="1"/>
  <c r="AX12" i="1"/>
  <c r="AX11" i="1"/>
  <c r="AX15" i="1"/>
  <c r="AW82" i="1" s="1"/>
  <c r="AX17" i="1"/>
  <c r="AX27" i="1" a="1"/>
  <c r="AX27" i="1" s="1"/>
  <c r="AX28" i="1" a="1"/>
  <c r="AX28" i="1" s="1"/>
  <c r="AX51" i="1"/>
  <c r="AX52" i="1"/>
  <c r="AX56" i="1"/>
  <c r="AX154" i="1"/>
  <c r="AX201" i="1"/>
  <c r="AX207" i="1" s="1"/>
  <c r="AQ79" i="1"/>
  <c r="AQ89" i="1" s="1"/>
  <c r="AR64" i="1"/>
  <c r="AX206" i="1" l="1"/>
  <c r="AY90" i="1"/>
  <c r="AY209" i="1"/>
  <c r="AT58" i="1"/>
  <c r="AT81" i="1" s="1"/>
  <c r="AT63" i="1"/>
  <c r="AT61" i="1"/>
  <c r="AT60" i="1"/>
  <c r="AT59" i="1"/>
  <c r="AT62" i="1"/>
  <c r="AX126" i="1"/>
  <c r="AX127" i="1" s="1"/>
  <c r="AX134" i="1"/>
  <c r="AX135" i="1" s="1"/>
  <c r="AX158" i="1"/>
  <c r="AW13" i="1"/>
  <c r="AW208" i="1" s="1"/>
  <c r="AP110" i="1"/>
  <c r="AW26" i="1" a="1"/>
  <c r="AW26" i="1" s="1"/>
  <c r="AW30" i="1" s="1"/>
  <c r="AW31" i="1" s="1" a="1"/>
  <c r="AW31" i="1" s="1"/>
  <c r="AV20" i="1"/>
  <c r="AV40" i="1" s="1"/>
  <c r="AU39" i="1"/>
  <c r="AX9" i="1"/>
  <c r="BA22" i="1"/>
  <c r="BA45" i="1" s="1"/>
  <c r="AZ43" i="1"/>
  <c r="AZ21" i="1"/>
  <c r="AY42" i="1"/>
  <c r="AY48" i="1"/>
  <c r="AY46" i="1"/>
  <c r="AY44" i="1"/>
  <c r="AY49" i="1"/>
  <c r="AX18" i="1" a="1"/>
  <c r="AX18" i="1" s="1"/>
  <c r="AU37" i="1"/>
  <c r="AU23" i="1"/>
  <c r="AU32" i="1" s="1"/>
  <c r="AU33" i="1" s="1"/>
  <c r="AU34" i="1" s="1"/>
  <c r="AU36" i="1" s="1"/>
  <c r="AV16" i="1"/>
  <c r="AR79" i="1"/>
  <c r="AR89" i="1" s="1"/>
  <c r="AY7" i="1"/>
  <c r="AY8" i="1" s="1"/>
  <c r="AY9" i="1" s="1"/>
  <c r="AZ5" i="1"/>
  <c r="AY12" i="1"/>
  <c r="AY15" i="1"/>
  <c r="AX82" i="1" s="1"/>
  <c r="AY11" i="1"/>
  <c r="AY17" i="1"/>
  <c r="AY27" i="1" a="1"/>
  <c r="AY27" i="1" s="1"/>
  <c r="AY28" i="1" a="1"/>
  <c r="AY28" i="1" s="1"/>
  <c r="AY51" i="1"/>
  <c r="AY52" i="1"/>
  <c r="AY56" i="1"/>
  <c r="AY154" i="1"/>
  <c r="AY201" i="1"/>
  <c r="AY207" i="1" s="1"/>
  <c r="AS64" i="1"/>
  <c r="AY206" i="1" l="1"/>
  <c r="AZ90" i="1"/>
  <c r="AZ209" i="1"/>
  <c r="AU63" i="1"/>
  <c r="AU58" i="1"/>
  <c r="AU81" i="1" s="1"/>
  <c r="AU60" i="1"/>
  <c r="AU61" i="1"/>
  <c r="AU59" i="1"/>
  <c r="AU62" i="1"/>
  <c r="AY126" i="1"/>
  <c r="AY127" i="1" s="1"/>
  <c r="AY134" i="1"/>
  <c r="AY135" i="1" s="1"/>
  <c r="AY158" i="1"/>
  <c r="AX13" i="1"/>
  <c r="AX208" i="1" s="1"/>
  <c r="AQ110" i="1"/>
  <c r="AX26" i="1" a="1"/>
  <c r="AX26" i="1" s="1"/>
  <c r="AX30" i="1" s="1"/>
  <c r="AX31" i="1" s="1" a="1"/>
  <c r="AX31" i="1" s="1"/>
  <c r="AY26" i="1" a="1"/>
  <c r="AY26" i="1" s="1"/>
  <c r="AY30" i="1" s="1"/>
  <c r="AY31" i="1" s="1" a="1"/>
  <c r="AY31" i="1" s="1"/>
  <c r="AW20" i="1"/>
  <c r="AW40" i="1" s="1"/>
  <c r="AV39" i="1"/>
  <c r="BA21" i="1"/>
  <c r="AZ42" i="1"/>
  <c r="AZ48" i="1"/>
  <c r="AZ46" i="1"/>
  <c r="AZ44" i="1"/>
  <c r="AZ49" i="1"/>
  <c r="BB22" i="1"/>
  <c r="BB45" i="1" s="1"/>
  <c r="BA43" i="1"/>
  <c r="AV37" i="1"/>
  <c r="AV23" i="1"/>
  <c r="AV32" i="1" s="1"/>
  <c r="AV33" i="1" s="1"/>
  <c r="AV34" i="1" s="1"/>
  <c r="AV36" i="1" s="1"/>
  <c r="AW16" i="1"/>
  <c r="AY18" i="1" a="1"/>
  <c r="AY18" i="1" s="1"/>
  <c r="AT64" i="1"/>
  <c r="AS79" i="1"/>
  <c r="AS89" i="1" s="1"/>
  <c r="AZ11" i="1"/>
  <c r="AZ7" i="1"/>
  <c r="BA5" i="1"/>
  <c r="AZ15" i="1"/>
  <c r="AZ12" i="1"/>
  <c r="AZ17" i="1"/>
  <c r="AZ28" i="1" a="1"/>
  <c r="AZ28" i="1" s="1"/>
  <c r="AZ27" i="1" a="1"/>
  <c r="AZ27" i="1" s="1"/>
  <c r="AZ51" i="1"/>
  <c r="AZ52" i="1"/>
  <c r="AZ56" i="1"/>
  <c r="AZ154" i="1"/>
  <c r="AZ201" i="1"/>
  <c r="AZ207" i="1" s="1"/>
  <c r="AZ206" i="1" l="1"/>
  <c r="BA90" i="1"/>
  <c r="BA209" i="1"/>
  <c r="AV63" i="1"/>
  <c r="AV58" i="1"/>
  <c r="AV81" i="1" s="1"/>
  <c r="AZ126" i="1"/>
  <c r="AZ127" i="1" s="1"/>
  <c r="AZ134" i="1"/>
  <c r="AZ135" i="1" s="1"/>
  <c r="AY82" i="1"/>
  <c r="AV61" i="1"/>
  <c r="AV59" i="1"/>
  <c r="AV60" i="1"/>
  <c r="AV62" i="1"/>
  <c r="AZ158" i="1"/>
  <c r="AY13" i="1"/>
  <c r="AY208" i="1" s="1"/>
  <c r="AR110" i="1"/>
  <c r="AX20" i="1"/>
  <c r="AX40" i="1" s="1"/>
  <c r="AW39" i="1"/>
  <c r="BC22" i="1"/>
  <c r="BC45" i="1" s="1"/>
  <c r="BB43" i="1"/>
  <c r="BB21" i="1"/>
  <c r="BA42" i="1"/>
  <c r="BA44" i="1"/>
  <c r="BA48" i="1"/>
  <c r="BA46" i="1"/>
  <c r="BA49" i="1"/>
  <c r="AZ18" i="1" a="1"/>
  <c r="AZ18" i="1" s="1"/>
  <c r="AT79" i="1"/>
  <c r="AT89" i="1" s="1"/>
  <c r="BB5" i="1"/>
  <c r="BA7" i="1"/>
  <c r="BA8" i="1" s="1"/>
  <c r="BA11" i="1"/>
  <c r="BA12" i="1"/>
  <c r="BA15" i="1"/>
  <c r="BA17" i="1"/>
  <c r="BA27" i="1" a="1"/>
  <c r="BA27" i="1" s="1"/>
  <c r="BA28" i="1" a="1"/>
  <c r="BA28" i="1" s="1"/>
  <c r="BA56" i="1"/>
  <c r="BA52" i="1"/>
  <c r="BA51" i="1"/>
  <c r="BA154" i="1"/>
  <c r="BA201" i="1"/>
  <c r="BA207" i="1" s="1"/>
  <c r="AZ8" i="1"/>
  <c r="AZ9" i="1" s="1"/>
  <c r="AU64" i="1"/>
  <c r="AW37" i="1"/>
  <c r="AW23" i="1"/>
  <c r="AW32" i="1" s="1"/>
  <c r="AW33" i="1" s="1"/>
  <c r="AW34" i="1" s="1"/>
  <c r="AW36" i="1" s="1"/>
  <c r="AX16" i="1"/>
  <c r="BA206" i="1" l="1"/>
  <c r="BB90" i="1"/>
  <c r="BB209" i="1"/>
  <c r="BA134" i="1"/>
  <c r="BA135" i="1" s="1"/>
  <c r="BA126" i="1"/>
  <c r="BA127" i="1" s="1"/>
  <c r="AZ82" i="1"/>
  <c r="AW63" i="1"/>
  <c r="AW58" i="1"/>
  <c r="AW81" i="1" s="1"/>
  <c r="AW61" i="1"/>
  <c r="AW59" i="1"/>
  <c r="AW60" i="1"/>
  <c r="AW62" i="1"/>
  <c r="BA158" i="1"/>
  <c r="AZ13" i="1"/>
  <c r="AZ208" i="1" s="1"/>
  <c r="AS110" i="1"/>
  <c r="AZ26" i="1" a="1"/>
  <c r="AZ26" i="1" s="1"/>
  <c r="AZ30" i="1" s="1"/>
  <c r="AZ31" i="1" s="1" a="1"/>
  <c r="AZ31" i="1" s="1"/>
  <c r="AY20" i="1"/>
  <c r="AY40" i="1" s="1"/>
  <c r="AX39" i="1"/>
  <c r="BC21" i="1"/>
  <c r="BB42" i="1"/>
  <c r="BB48" i="1"/>
  <c r="BB46" i="1"/>
  <c r="BB44" i="1"/>
  <c r="BB49" i="1"/>
  <c r="BD22" i="1"/>
  <c r="BD45" i="1" s="1"/>
  <c r="BC43" i="1"/>
  <c r="BC5" i="1"/>
  <c r="BB11" i="1"/>
  <c r="BB7" i="1"/>
  <c r="BB8" i="1" s="1"/>
  <c r="BB12" i="1"/>
  <c r="BB15" i="1"/>
  <c r="BB17" i="1"/>
  <c r="BB27" i="1" a="1"/>
  <c r="BB27" i="1" s="1"/>
  <c r="BB28" i="1" a="1"/>
  <c r="BB28" i="1" s="1"/>
  <c r="BB51" i="1"/>
  <c r="BB52" i="1"/>
  <c r="BB56" i="1"/>
  <c r="BB154" i="1"/>
  <c r="BB201" i="1"/>
  <c r="BB207" i="1" s="1"/>
  <c r="BA9" i="1"/>
  <c r="AX37" i="1"/>
  <c r="AX23" i="1"/>
  <c r="AX32" i="1" s="1"/>
  <c r="AX33" i="1" s="1"/>
  <c r="AX34" i="1" s="1"/>
  <c r="AX36" i="1" s="1"/>
  <c r="AY16" i="1"/>
  <c r="BA18" i="1" a="1"/>
  <c r="BA18" i="1" s="1"/>
  <c r="AV64" i="1"/>
  <c r="AU79" i="1"/>
  <c r="AU89" i="1" s="1"/>
  <c r="BB206" i="1" l="1"/>
  <c r="BC90" i="1"/>
  <c r="BC209" i="1"/>
  <c r="BB126" i="1"/>
  <c r="BB127" i="1" s="1"/>
  <c r="BB134" i="1"/>
  <c r="BB135" i="1" s="1"/>
  <c r="BA82" i="1"/>
  <c r="AX58" i="1"/>
  <c r="AX81" i="1" s="1"/>
  <c r="AX63" i="1"/>
  <c r="AX59" i="1"/>
  <c r="AX60" i="1"/>
  <c r="AX61" i="1"/>
  <c r="AX62" i="1"/>
  <c r="BB158" i="1"/>
  <c r="BA13" i="1"/>
  <c r="BA208" i="1" s="1"/>
  <c r="AT110" i="1"/>
  <c r="BA26" i="1" a="1"/>
  <c r="BA26" i="1" s="1"/>
  <c r="BA30" i="1" s="1"/>
  <c r="BA31" i="1" s="1" a="1"/>
  <c r="BA31" i="1" s="1"/>
  <c r="AZ20" i="1"/>
  <c r="AZ40" i="1" s="1"/>
  <c r="AY39" i="1"/>
  <c r="BB9" i="1"/>
  <c r="BE22" i="1"/>
  <c r="BE45" i="1" s="1"/>
  <c r="BD43" i="1"/>
  <c r="BD21" i="1"/>
  <c r="BC44" i="1"/>
  <c r="BC42" i="1"/>
  <c r="BC48" i="1"/>
  <c r="BC46" i="1"/>
  <c r="BC49" i="1"/>
  <c r="BB18" i="1" a="1"/>
  <c r="BB18" i="1" s="1"/>
  <c r="AV79" i="1"/>
  <c r="AV89" i="1" s="1"/>
  <c r="AY37" i="1"/>
  <c r="AY23" i="1"/>
  <c r="AY32" i="1" s="1"/>
  <c r="AY33" i="1" s="1"/>
  <c r="AY34" i="1" s="1"/>
  <c r="AY36" i="1" s="1"/>
  <c r="AZ16" i="1"/>
  <c r="BC7" i="1"/>
  <c r="BC8" i="1" s="1"/>
  <c r="BC9" i="1" s="1"/>
  <c r="BD5" i="1"/>
  <c r="BC11" i="1"/>
  <c r="BC12" i="1"/>
  <c r="BC15" i="1"/>
  <c r="BC17" i="1"/>
  <c r="BC27" i="1" a="1"/>
  <c r="BC27" i="1" s="1"/>
  <c r="BC28" i="1" a="1"/>
  <c r="BC28" i="1" s="1"/>
  <c r="BC52" i="1"/>
  <c r="BC56" i="1"/>
  <c r="BC51" i="1"/>
  <c r="BC154" i="1"/>
  <c r="BC201" i="1"/>
  <c r="BC207" i="1" s="1"/>
  <c r="AW64" i="1"/>
  <c r="BC206" i="1" l="1"/>
  <c r="BD90" i="1"/>
  <c r="BD209" i="1"/>
  <c r="AY59" i="1"/>
  <c r="AY60" i="1"/>
  <c r="AY61" i="1"/>
  <c r="AY62" i="1"/>
  <c r="BB82" i="1"/>
  <c r="BC134" i="1"/>
  <c r="BC135" i="1" s="1"/>
  <c r="BC126" i="1"/>
  <c r="BC127" i="1" s="1"/>
  <c r="AY63" i="1"/>
  <c r="AY58" i="1"/>
  <c r="AY81" i="1" s="1"/>
  <c r="BC158" i="1"/>
  <c r="BB13" i="1"/>
  <c r="BB208" i="1" s="1"/>
  <c r="AU110" i="1"/>
  <c r="BB26" i="1" a="1"/>
  <c r="BB26" i="1" s="1"/>
  <c r="BB30" i="1" s="1"/>
  <c r="BB31" i="1" s="1" a="1"/>
  <c r="BB31" i="1" s="1"/>
  <c r="BC26" i="1" a="1"/>
  <c r="BC26" i="1" s="1"/>
  <c r="BC30" i="1" s="1"/>
  <c r="BC31" i="1" s="1" a="1"/>
  <c r="BC31" i="1" s="1"/>
  <c r="BA20" i="1"/>
  <c r="BA40" i="1" s="1"/>
  <c r="AZ39" i="1"/>
  <c r="BE21" i="1"/>
  <c r="BD44" i="1"/>
  <c r="BD42" i="1"/>
  <c r="BD49" i="1"/>
  <c r="BD46" i="1"/>
  <c r="BD48" i="1"/>
  <c r="BF22" i="1"/>
  <c r="BF45" i="1" s="1"/>
  <c r="BE43" i="1"/>
  <c r="AZ37" i="1"/>
  <c r="AZ23" i="1"/>
  <c r="AZ32" i="1" s="1"/>
  <c r="AZ33" i="1" s="1"/>
  <c r="AZ34" i="1" s="1"/>
  <c r="AZ36" i="1" s="1"/>
  <c r="BA16" i="1"/>
  <c r="BD7" i="1"/>
  <c r="BD8" i="1" s="1"/>
  <c r="BD9" i="1" s="1"/>
  <c r="BE5" i="1"/>
  <c r="BD11" i="1"/>
  <c r="BD12" i="1"/>
  <c r="BD15" i="1"/>
  <c r="BC82" i="1" s="1"/>
  <c r="BD17" i="1"/>
  <c r="BD27" i="1" a="1"/>
  <c r="BD27" i="1" s="1"/>
  <c r="BD28" i="1" a="1"/>
  <c r="BD28" i="1" s="1"/>
  <c r="BD52" i="1"/>
  <c r="BD56" i="1"/>
  <c r="BD51" i="1"/>
  <c r="BD154" i="1"/>
  <c r="BD201" i="1"/>
  <c r="BD207" i="1" s="1"/>
  <c r="AW79" i="1"/>
  <c r="AW89" i="1" s="1"/>
  <c r="BC18" i="1" a="1"/>
  <c r="BC18" i="1" s="1"/>
  <c r="AX64" i="1"/>
  <c r="BD206" i="1" l="1"/>
  <c r="BE90" i="1"/>
  <c r="BE209" i="1"/>
  <c r="AZ58" i="1"/>
  <c r="AZ81" i="1" s="1"/>
  <c r="AZ63" i="1"/>
  <c r="AZ59" i="1"/>
  <c r="AZ60" i="1"/>
  <c r="AZ61" i="1"/>
  <c r="AZ62" i="1"/>
  <c r="BD126" i="1"/>
  <c r="BD127" i="1" s="1"/>
  <c r="BD134" i="1"/>
  <c r="BD135" i="1" s="1"/>
  <c r="BD158" i="1"/>
  <c r="BC13" i="1"/>
  <c r="BC208" i="1" s="1"/>
  <c r="AV110" i="1"/>
  <c r="BD26" i="1" a="1"/>
  <c r="BD26" i="1" s="1"/>
  <c r="BD30" i="1" s="1"/>
  <c r="BD31" i="1" s="1" a="1"/>
  <c r="BD31" i="1" s="1"/>
  <c r="BB20" i="1"/>
  <c r="BB40" i="1" s="1"/>
  <c r="BA39" i="1"/>
  <c r="BG22" i="1"/>
  <c r="BG45" i="1" s="1"/>
  <c r="BF43" i="1"/>
  <c r="BF21" i="1"/>
  <c r="BE42" i="1"/>
  <c r="BE49" i="1"/>
  <c r="BE46" i="1"/>
  <c r="BE44" i="1"/>
  <c r="BE48" i="1"/>
  <c r="AX79" i="1"/>
  <c r="AX89" i="1" s="1"/>
  <c r="BD18" i="1" a="1"/>
  <c r="BD18" i="1" s="1"/>
  <c r="AY64" i="1"/>
  <c r="BA37" i="1"/>
  <c r="BA23" i="1"/>
  <c r="BA32" i="1" s="1"/>
  <c r="BA33" i="1" s="1"/>
  <c r="BA34" i="1" s="1"/>
  <c r="BA36" i="1" s="1"/>
  <c r="BB16" i="1"/>
  <c r="BE7" i="1"/>
  <c r="BE8" i="1" s="1"/>
  <c r="BE9" i="1" s="1"/>
  <c r="BF5" i="1"/>
  <c r="BE11" i="1"/>
  <c r="BE15" i="1"/>
  <c r="BD82" i="1" s="1"/>
  <c r="BE12" i="1"/>
  <c r="BE17" i="1"/>
  <c r="BE27" i="1" a="1"/>
  <c r="BE27" i="1" s="1"/>
  <c r="BE28" i="1" a="1"/>
  <c r="BE28" i="1" s="1"/>
  <c r="BE56" i="1"/>
  <c r="BE52" i="1"/>
  <c r="BE51" i="1"/>
  <c r="BE154" i="1"/>
  <c r="BE201" i="1"/>
  <c r="BE207" i="1" s="1"/>
  <c r="BE206" i="1" l="1"/>
  <c r="BF90" i="1"/>
  <c r="BF209" i="1"/>
  <c r="BA63" i="1"/>
  <c r="BA58" i="1"/>
  <c r="BA81" i="1" s="1"/>
  <c r="BA59" i="1"/>
  <c r="BA60" i="1"/>
  <c r="BA61" i="1"/>
  <c r="BA62" i="1"/>
  <c r="BE126" i="1"/>
  <c r="BE127" i="1" s="1"/>
  <c r="BE134" i="1"/>
  <c r="BE135" i="1" s="1"/>
  <c r="BE158" i="1"/>
  <c r="BD13" i="1"/>
  <c r="BD208" i="1" s="1"/>
  <c r="AW110" i="1"/>
  <c r="BE26" i="1" a="1"/>
  <c r="BE26" i="1" s="1"/>
  <c r="BE30" i="1" s="1"/>
  <c r="BE31" i="1" s="1" a="1"/>
  <c r="BE31" i="1" s="1"/>
  <c r="BC20" i="1"/>
  <c r="BC40" i="1" s="1"/>
  <c r="BB39" i="1"/>
  <c r="BG21" i="1"/>
  <c r="BF42" i="1"/>
  <c r="BF44" i="1"/>
  <c r="BF46" i="1"/>
  <c r="BF48" i="1"/>
  <c r="BF49" i="1"/>
  <c r="BH22" i="1"/>
  <c r="BH45" i="1" s="1"/>
  <c r="BG43" i="1"/>
  <c r="AY79" i="1"/>
  <c r="AY89" i="1" s="1"/>
  <c r="BE18" i="1" a="1"/>
  <c r="BE18" i="1" s="1"/>
  <c r="BB37" i="1"/>
  <c r="BB23" i="1"/>
  <c r="BB32" i="1" s="1"/>
  <c r="BB33" i="1" s="1"/>
  <c r="BB34" i="1" s="1"/>
  <c r="BB36" i="1" s="1"/>
  <c r="BC16" i="1"/>
  <c r="AZ64" i="1"/>
  <c r="BF7" i="1"/>
  <c r="BG5" i="1"/>
  <c r="BF12" i="1"/>
  <c r="BF15" i="1"/>
  <c r="BE82" i="1" s="1"/>
  <c r="BF17" i="1"/>
  <c r="BF11" i="1"/>
  <c r="BF27" i="1" a="1"/>
  <c r="BF27" i="1" s="1"/>
  <c r="BF28" i="1" a="1"/>
  <c r="BF28" i="1" s="1"/>
  <c r="BF51" i="1"/>
  <c r="BF52" i="1"/>
  <c r="BF56" i="1"/>
  <c r="BF154" i="1"/>
  <c r="BF201" i="1"/>
  <c r="BF207" i="1" s="1"/>
  <c r="BF206" i="1" l="1"/>
  <c r="BG90" i="1"/>
  <c r="BG209" i="1"/>
  <c r="BB58" i="1"/>
  <c r="BB81" i="1" s="1"/>
  <c r="BB63" i="1"/>
  <c r="BB60" i="1"/>
  <c r="BB61" i="1"/>
  <c r="BB59" i="1"/>
  <c r="BB62" i="1"/>
  <c r="BF126" i="1"/>
  <c r="BF127" i="1" s="1"/>
  <c r="BF134" i="1"/>
  <c r="BF135" i="1" s="1"/>
  <c r="BF158" i="1"/>
  <c r="BE13" i="1"/>
  <c r="BE208" i="1" s="1"/>
  <c r="AX110" i="1"/>
  <c r="BD20" i="1"/>
  <c r="BD40" i="1" s="1"/>
  <c r="BC39" i="1"/>
  <c r="BI22" i="1"/>
  <c r="BI45" i="1" s="1"/>
  <c r="BH43" i="1"/>
  <c r="BH21" i="1"/>
  <c r="BG48" i="1"/>
  <c r="BG44" i="1"/>
  <c r="BG46" i="1"/>
  <c r="BG42" i="1"/>
  <c r="BG49" i="1"/>
  <c r="BG7" i="1"/>
  <c r="BG8" i="1" s="1"/>
  <c r="BG9" i="1" s="1"/>
  <c r="BH5" i="1"/>
  <c r="BG11" i="1"/>
  <c r="BG12" i="1"/>
  <c r="BG15" i="1"/>
  <c r="BG17" i="1"/>
  <c r="BG27" i="1" a="1"/>
  <c r="BG27" i="1" s="1"/>
  <c r="BG28" i="1" a="1"/>
  <c r="BG28" i="1" s="1"/>
  <c r="BG51" i="1"/>
  <c r="BG52" i="1"/>
  <c r="BG56" i="1"/>
  <c r="BG154" i="1"/>
  <c r="BG201" i="1"/>
  <c r="BG207" i="1" s="1"/>
  <c r="BC37" i="1"/>
  <c r="BC23" i="1"/>
  <c r="BC32" i="1" s="1"/>
  <c r="BC33" i="1" s="1"/>
  <c r="BC34" i="1" s="1"/>
  <c r="BC36" i="1" s="1"/>
  <c r="BD16" i="1"/>
  <c r="BF8" i="1"/>
  <c r="BF9" i="1" s="1"/>
  <c r="BF18" i="1" a="1"/>
  <c r="BF18" i="1" s="1"/>
  <c r="BA64" i="1"/>
  <c r="AZ79" i="1"/>
  <c r="AZ89" i="1" s="1"/>
  <c r="BG206" i="1" l="1"/>
  <c r="BH90" i="1"/>
  <c r="BH209" i="1"/>
  <c r="BC58" i="1"/>
  <c r="BC81" i="1" s="1"/>
  <c r="BC63" i="1"/>
  <c r="BC60" i="1"/>
  <c r="BC61" i="1"/>
  <c r="BC59" i="1"/>
  <c r="BC62" i="1"/>
  <c r="BG126" i="1"/>
  <c r="BG127" i="1" s="1"/>
  <c r="BG134" i="1"/>
  <c r="BG135" i="1" s="1"/>
  <c r="BF82" i="1"/>
  <c r="BG158" i="1"/>
  <c r="BF13" i="1"/>
  <c r="BF208" i="1" s="1"/>
  <c r="AY110" i="1"/>
  <c r="BG26" i="1" a="1"/>
  <c r="BG26" i="1" s="1"/>
  <c r="BG30" i="1" s="1"/>
  <c r="BG31" i="1" s="1" a="1"/>
  <c r="BG31" i="1" s="1"/>
  <c r="BF26" i="1" a="1"/>
  <c r="BF26" i="1" s="1"/>
  <c r="BF30" i="1" s="1"/>
  <c r="BF31" i="1" s="1" a="1"/>
  <c r="BF31" i="1" s="1"/>
  <c r="BE20" i="1"/>
  <c r="BE40" i="1" s="1"/>
  <c r="BD39" i="1"/>
  <c r="BI21" i="1"/>
  <c r="BH42" i="1"/>
  <c r="BH48" i="1"/>
  <c r="BH44" i="1"/>
  <c r="BH46" i="1"/>
  <c r="BH49" i="1"/>
  <c r="BJ22" i="1"/>
  <c r="BJ45" i="1" s="1"/>
  <c r="BI43" i="1"/>
  <c r="BG18" i="1" a="1"/>
  <c r="BG18" i="1" s="1"/>
  <c r="BA79" i="1"/>
  <c r="BA89" i="1" s="1"/>
  <c r="BH11" i="1"/>
  <c r="BH7" i="1"/>
  <c r="BH8" i="1" s="1"/>
  <c r="BH9" i="1" s="1"/>
  <c r="BI5" i="1"/>
  <c r="BI209" i="1" s="1"/>
  <c r="BH12" i="1"/>
  <c r="BH15" i="1"/>
  <c r="BG82" i="1" s="1"/>
  <c r="BH17" i="1"/>
  <c r="BH28" i="1" a="1"/>
  <c r="BH28" i="1" s="1"/>
  <c r="BH27" i="1" a="1"/>
  <c r="BH27" i="1" s="1"/>
  <c r="BH52" i="1"/>
  <c r="BH56" i="1"/>
  <c r="BH51" i="1"/>
  <c r="BH154" i="1"/>
  <c r="BH201" i="1"/>
  <c r="BH207" i="1" s="1"/>
  <c r="BB64" i="1"/>
  <c r="BD37" i="1"/>
  <c r="BD23" i="1"/>
  <c r="BD32" i="1" s="1"/>
  <c r="BD33" i="1" s="1"/>
  <c r="BD34" i="1" s="1"/>
  <c r="BD36" i="1" s="1"/>
  <c r="BE16" i="1"/>
  <c r="BH206" i="1" l="1"/>
  <c r="BI90" i="1"/>
  <c r="BD63" i="1"/>
  <c r="BD58" i="1"/>
  <c r="BD81" i="1" s="1"/>
  <c r="BD59" i="1"/>
  <c r="BD61" i="1"/>
  <c r="BD60" i="1"/>
  <c r="BD62" i="1"/>
  <c r="BH126" i="1"/>
  <c r="BH127" i="1" s="1"/>
  <c r="BH134" i="1"/>
  <c r="BH135" i="1" s="1"/>
  <c r="BH158" i="1"/>
  <c r="BG13" i="1"/>
  <c r="BG208" i="1" s="1"/>
  <c r="AZ110" i="1"/>
  <c r="BH26" i="1" a="1"/>
  <c r="BH26" i="1" s="1"/>
  <c r="BH30" i="1" s="1"/>
  <c r="BH31" i="1" s="1" a="1"/>
  <c r="BH31" i="1" s="1"/>
  <c r="BF20" i="1"/>
  <c r="BF40" i="1" s="1"/>
  <c r="BE39" i="1"/>
  <c r="BK22" i="1"/>
  <c r="BK45" i="1" s="1"/>
  <c r="BJ43" i="1"/>
  <c r="BJ21" i="1"/>
  <c r="BI42" i="1"/>
  <c r="BI44" i="1"/>
  <c r="BI48" i="1"/>
  <c r="BI46" i="1"/>
  <c r="BI49" i="1"/>
  <c r="BE37" i="1"/>
  <c r="BE23" i="1"/>
  <c r="BE32" i="1" s="1"/>
  <c r="BE33" i="1" s="1"/>
  <c r="BE34" i="1" s="1"/>
  <c r="BE36" i="1" s="1"/>
  <c r="BF16" i="1"/>
  <c r="BJ5" i="1"/>
  <c r="BI7" i="1"/>
  <c r="BI8" i="1" s="1"/>
  <c r="BI9" i="1" s="1"/>
  <c r="BI11" i="1"/>
  <c r="BI12" i="1"/>
  <c r="BI15" i="1"/>
  <c r="BI17" i="1"/>
  <c r="BI27" i="1" a="1"/>
  <c r="BI27" i="1" s="1"/>
  <c r="BI28" i="1" a="1"/>
  <c r="BI28" i="1" s="1"/>
  <c r="BI56" i="1"/>
  <c r="BI52" i="1"/>
  <c r="BI51" i="1"/>
  <c r="BI154" i="1"/>
  <c r="BI201" i="1"/>
  <c r="BI207" i="1" s="1"/>
  <c r="BB79" i="1"/>
  <c r="BB89" i="1" s="1"/>
  <c r="BC64" i="1"/>
  <c r="BH18" i="1" a="1"/>
  <c r="BH18" i="1" s="1"/>
  <c r="BI206" i="1" l="1"/>
  <c r="BJ90" i="1"/>
  <c r="BJ209" i="1"/>
  <c r="BI134" i="1"/>
  <c r="BI135" i="1" s="1"/>
  <c r="BI126" i="1"/>
  <c r="BI127" i="1" s="1"/>
  <c r="BH82" i="1"/>
  <c r="BE58" i="1"/>
  <c r="BE81" i="1" s="1"/>
  <c r="BE63" i="1"/>
  <c r="BE61" i="1"/>
  <c r="BE59" i="1"/>
  <c r="BE60" i="1"/>
  <c r="BE62" i="1"/>
  <c r="BI158" i="1"/>
  <c r="BH13" i="1"/>
  <c r="BH208" i="1" s="1"/>
  <c r="BA110" i="1"/>
  <c r="BI26" i="1" a="1"/>
  <c r="BI26" i="1" s="1"/>
  <c r="BI30" i="1" s="1"/>
  <c r="BI31" i="1" s="1" a="1"/>
  <c r="BI31" i="1" s="1"/>
  <c r="BG20" i="1"/>
  <c r="BG40" i="1" s="1"/>
  <c r="BF39" i="1"/>
  <c r="BK21" i="1"/>
  <c r="BJ44" i="1"/>
  <c r="BJ48" i="1"/>
  <c r="BJ46" i="1"/>
  <c r="BJ42" i="1"/>
  <c r="BJ49" i="1"/>
  <c r="BL22" i="1"/>
  <c r="BL45" i="1" s="1"/>
  <c r="BK43" i="1"/>
  <c r="BK5" i="1"/>
  <c r="BJ7" i="1"/>
  <c r="BJ12" i="1"/>
  <c r="BJ15" i="1"/>
  <c r="BJ11" i="1"/>
  <c r="BJ17" i="1"/>
  <c r="BJ28" i="1" a="1"/>
  <c r="BJ28" i="1" s="1"/>
  <c r="BJ27" i="1" a="1"/>
  <c r="BJ27" i="1" s="1"/>
  <c r="BJ51" i="1"/>
  <c r="BJ52" i="1"/>
  <c r="BJ56" i="1"/>
  <c r="BJ154" i="1"/>
  <c r="BJ201" i="1"/>
  <c r="BJ207" i="1" s="1"/>
  <c r="BF37" i="1"/>
  <c r="BF23" i="1"/>
  <c r="BF32" i="1" s="1"/>
  <c r="BF33" i="1" s="1"/>
  <c r="BF34" i="1" s="1"/>
  <c r="BF36" i="1" s="1"/>
  <c r="BG16" i="1"/>
  <c r="BI18" i="1" a="1"/>
  <c r="BI18" i="1" s="1"/>
  <c r="BD64" i="1"/>
  <c r="BC79" i="1"/>
  <c r="BC89" i="1" s="1"/>
  <c r="BJ206" i="1" l="1"/>
  <c r="BK90" i="1"/>
  <c r="BK209" i="1"/>
  <c r="BJ126" i="1"/>
  <c r="BJ127" i="1" s="1"/>
  <c r="BJ134" i="1"/>
  <c r="BJ135" i="1" s="1"/>
  <c r="BF60" i="1"/>
  <c r="BF59" i="1"/>
  <c r="BF61" i="1"/>
  <c r="BF62" i="1"/>
  <c r="BF63" i="1"/>
  <c r="BF58" i="1"/>
  <c r="BF81" i="1" s="1"/>
  <c r="BI82" i="1"/>
  <c r="BJ158" i="1"/>
  <c r="BI13" i="1"/>
  <c r="BI208" i="1" s="1"/>
  <c r="BB110" i="1"/>
  <c r="BH20" i="1"/>
  <c r="BH40" i="1" s="1"/>
  <c r="BG39" i="1"/>
  <c r="BM22" i="1"/>
  <c r="BM45" i="1" s="1"/>
  <c r="BL43" i="1"/>
  <c r="BL21" i="1"/>
  <c r="BK44" i="1"/>
  <c r="BK48" i="1"/>
  <c r="BK42" i="1"/>
  <c r="BK46" i="1"/>
  <c r="BK49" i="1"/>
  <c r="BJ18" i="1" a="1"/>
  <c r="BJ18" i="1" s="1"/>
  <c r="BG37" i="1"/>
  <c r="BG23" i="1"/>
  <c r="BG32" i="1" s="1"/>
  <c r="BG33" i="1" s="1"/>
  <c r="BG34" i="1" s="1"/>
  <c r="BG36" i="1" s="1"/>
  <c r="BH16" i="1"/>
  <c r="BK7" i="1"/>
  <c r="BK8" i="1" s="1"/>
  <c r="BK9" i="1" s="1"/>
  <c r="BL5" i="1"/>
  <c r="BK11" i="1"/>
  <c r="BK12" i="1"/>
  <c r="BK15" i="1"/>
  <c r="BJ82" i="1" s="1"/>
  <c r="BK17" i="1"/>
  <c r="BK27" i="1" a="1"/>
  <c r="BK27" i="1" s="1"/>
  <c r="BK28" i="1" a="1"/>
  <c r="BK28" i="1" s="1"/>
  <c r="BK52" i="1"/>
  <c r="BK56" i="1"/>
  <c r="BK51" i="1"/>
  <c r="BK154" i="1"/>
  <c r="BK201" i="1"/>
  <c r="BK207" i="1" s="1"/>
  <c r="BJ8" i="1"/>
  <c r="BJ9" i="1" s="1"/>
  <c r="BE64" i="1"/>
  <c r="BD79" i="1"/>
  <c r="BD89" i="1" s="1"/>
  <c r="BK206" i="1" l="1"/>
  <c r="BL90" i="1"/>
  <c r="BL209" i="1"/>
  <c r="BG63" i="1"/>
  <c r="BG58" i="1"/>
  <c r="BG81" i="1" s="1"/>
  <c r="BG59" i="1"/>
  <c r="BG60" i="1"/>
  <c r="BG61" i="1"/>
  <c r="BG62" i="1"/>
  <c r="BK134" i="1"/>
  <c r="BK135" i="1" s="1"/>
  <c r="BK126" i="1"/>
  <c r="BK127" i="1" s="1"/>
  <c r="BK158" i="1"/>
  <c r="BJ13" i="1"/>
  <c r="BJ208" i="1" s="1"/>
  <c r="BC110" i="1"/>
  <c r="BK26" i="1" a="1"/>
  <c r="BK26" i="1" s="1"/>
  <c r="BK30" i="1" s="1"/>
  <c r="BK31" i="1" s="1" a="1"/>
  <c r="BK31" i="1" s="1"/>
  <c r="BJ26" i="1" a="1"/>
  <c r="BJ26" i="1" s="1"/>
  <c r="BJ30" i="1" s="1"/>
  <c r="BJ31" i="1" s="1" a="1"/>
  <c r="BJ31" i="1" s="1"/>
  <c r="BI20" i="1"/>
  <c r="BI40" i="1" s="1"/>
  <c r="BH39" i="1"/>
  <c r="BM21" i="1"/>
  <c r="BL44" i="1"/>
  <c r="BL42" i="1"/>
  <c r="BL46" i="1"/>
  <c r="BL49" i="1"/>
  <c r="BL48" i="1"/>
  <c r="BN22" i="1"/>
  <c r="BN45" i="1" s="1"/>
  <c r="BM43" i="1"/>
  <c r="BK18" i="1" a="1"/>
  <c r="BK18" i="1" s="1"/>
  <c r="BH37" i="1"/>
  <c r="BH23" i="1"/>
  <c r="BH32" i="1" s="1"/>
  <c r="BH33" i="1" s="1"/>
  <c r="BH34" i="1" s="1"/>
  <c r="BH36" i="1" s="1"/>
  <c r="BI16" i="1"/>
  <c r="BL7" i="1"/>
  <c r="BL8" i="1" s="1"/>
  <c r="BL9" i="1" s="1"/>
  <c r="BM5" i="1"/>
  <c r="BL11" i="1"/>
  <c r="BL12" i="1"/>
  <c r="BL15" i="1"/>
  <c r="BL17" i="1"/>
  <c r="BL28" i="1" a="1"/>
  <c r="BL28" i="1" s="1"/>
  <c r="BL27" i="1" a="1"/>
  <c r="BL27" i="1" s="1"/>
  <c r="BL51" i="1"/>
  <c r="BL56" i="1"/>
  <c r="BL52" i="1"/>
  <c r="BL154" i="1"/>
  <c r="BL201" i="1"/>
  <c r="BL207" i="1" s="1"/>
  <c r="BF64" i="1"/>
  <c r="BE79" i="1"/>
  <c r="BE89" i="1" s="1"/>
  <c r="BL206" i="1" l="1"/>
  <c r="BM90" i="1"/>
  <c r="BM209" i="1"/>
  <c r="BH63" i="1"/>
  <c r="BH58" i="1"/>
  <c r="BH81" i="1" s="1"/>
  <c r="BH60" i="1"/>
  <c r="BH59" i="1"/>
  <c r="BH61" i="1"/>
  <c r="BH62" i="1"/>
  <c r="BL126" i="1"/>
  <c r="BL127" i="1" s="1"/>
  <c r="BL134" i="1"/>
  <c r="BL135" i="1" s="1"/>
  <c r="BK82" i="1"/>
  <c r="BL158" i="1"/>
  <c r="BK13" i="1"/>
  <c r="BK208" i="1" s="1"/>
  <c r="BD110" i="1"/>
  <c r="BL26" i="1" a="1"/>
  <c r="BL26" i="1" s="1"/>
  <c r="BL30" i="1" s="1"/>
  <c r="BL31" i="1" s="1" a="1"/>
  <c r="BL31" i="1" s="1"/>
  <c r="BI39" i="1"/>
  <c r="BJ20" i="1"/>
  <c r="BJ40" i="1" s="1"/>
  <c r="BO22" i="1"/>
  <c r="BO45" i="1" s="1"/>
  <c r="BN43" i="1"/>
  <c r="BN21" i="1"/>
  <c r="BM44" i="1"/>
  <c r="BM42" i="1"/>
  <c r="BM46" i="1"/>
  <c r="BM49" i="1"/>
  <c r="BM48" i="1"/>
  <c r="BI37" i="1"/>
  <c r="BI23" i="1"/>
  <c r="BI32" i="1" s="1"/>
  <c r="BI33" i="1" s="1"/>
  <c r="BI34" i="1" s="1"/>
  <c r="BI36" i="1" s="1"/>
  <c r="BJ16" i="1"/>
  <c r="BF79" i="1"/>
  <c r="BF89" i="1" s="1"/>
  <c r="BM7" i="1"/>
  <c r="BM8" i="1" s="1"/>
  <c r="BM9" i="1" s="1"/>
  <c r="BN5" i="1"/>
  <c r="BM11" i="1"/>
  <c r="BM12" i="1"/>
  <c r="BM15" i="1"/>
  <c r="BL82" i="1" s="1"/>
  <c r="BM17" i="1"/>
  <c r="BM27" i="1" a="1"/>
  <c r="BM27" i="1" s="1"/>
  <c r="BM28" i="1" a="1"/>
  <c r="BM28" i="1" s="1"/>
  <c r="BM56" i="1"/>
  <c r="BM52" i="1"/>
  <c r="BM51" i="1"/>
  <c r="BM154" i="1"/>
  <c r="BM201" i="1"/>
  <c r="BM207" i="1" s="1"/>
  <c r="BL18" i="1" a="1"/>
  <c r="BL18" i="1" s="1"/>
  <c r="BG64" i="1"/>
  <c r="BM206" i="1" l="1"/>
  <c r="BN90" i="1"/>
  <c r="BN209" i="1"/>
  <c r="BI58" i="1"/>
  <c r="BI81" i="1" s="1"/>
  <c r="BI63" i="1"/>
  <c r="BM126" i="1"/>
  <c r="BM127" i="1" s="1"/>
  <c r="BM134" i="1"/>
  <c r="BM135" i="1" s="1"/>
  <c r="BI59" i="1"/>
  <c r="BI60" i="1"/>
  <c r="BI61" i="1"/>
  <c r="BI62" i="1"/>
  <c r="BM158" i="1"/>
  <c r="BL13" i="1"/>
  <c r="BL208" i="1" s="1"/>
  <c r="BE110" i="1"/>
  <c r="BM26" i="1" a="1"/>
  <c r="BM26" i="1" s="1"/>
  <c r="BM30" i="1" s="1"/>
  <c r="BM31" i="1" s="1" a="1"/>
  <c r="BM31" i="1" s="1"/>
  <c r="BJ39" i="1"/>
  <c r="BK20" i="1"/>
  <c r="BK40" i="1" s="1"/>
  <c r="BO21" i="1"/>
  <c r="BN42" i="1"/>
  <c r="BN46" i="1"/>
  <c r="BN44" i="1"/>
  <c r="BN49" i="1"/>
  <c r="BN48" i="1"/>
  <c r="BP22" i="1"/>
  <c r="BP45" i="1" s="1"/>
  <c r="BO43" i="1"/>
  <c r="BN7" i="1"/>
  <c r="BN8" i="1" s="1"/>
  <c r="BN9" i="1" s="1"/>
  <c r="BO5" i="1"/>
  <c r="BN12" i="1"/>
  <c r="BN11" i="1"/>
  <c r="BN15" i="1"/>
  <c r="BN17" i="1"/>
  <c r="BN27" i="1" a="1"/>
  <c r="BN27" i="1" s="1"/>
  <c r="BN28" i="1" a="1"/>
  <c r="BN28" i="1" s="1"/>
  <c r="BN51" i="1"/>
  <c r="BN52" i="1"/>
  <c r="BN56" i="1"/>
  <c r="BN154" i="1"/>
  <c r="BN201" i="1"/>
  <c r="BN207" i="1" s="1"/>
  <c r="BJ37" i="1"/>
  <c r="BJ23" i="1"/>
  <c r="BJ32" i="1" s="1"/>
  <c r="BJ33" i="1" s="1"/>
  <c r="BJ34" i="1" s="1"/>
  <c r="BJ36" i="1" s="1"/>
  <c r="BK16" i="1"/>
  <c r="BM18" i="1" a="1"/>
  <c r="BM18" i="1" s="1"/>
  <c r="BG79" i="1"/>
  <c r="BG89" i="1" s="1"/>
  <c r="BH64" i="1"/>
  <c r="BN206" i="1" l="1"/>
  <c r="BO90" i="1"/>
  <c r="BO209" i="1"/>
  <c r="BJ63" i="1"/>
  <c r="BJ58" i="1"/>
  <c r="BJ81" i="1" s="1"/>
  <c r="BJ60" i="1"/>
  <c r="BJ61" i="1"/>
  <c r="BJ59" i="1"/>
  <c r="BJ62" i="1"/>
  <c r="BN126" i="1"/>
  <c r="BN127" i="1" s="1"/>
  <c r="BN134" i="1"/>
  <c r="BN135" i="1" s="1"/>
  <c r="BM82" i="1"/>
  <c r="BN158" i="1"/>
  <c r="BM13" i="1"/>
  <c r="BM208" i="1" s="1"/>
  <c r="BF110" i="1"/>
  <c r="BN26" i="1" a="1"/>
  <c r="BN26" i="1" s="1"/>
  <c r="BN30" i="1" s="1"/>
  <c r="BN31" i="1" s="1" a="1"/>
  <c r="BN31" i="1" s="1"/>
  <c r="BL20" i="1"/>
  <c r="BL40" i="1" s="1"/>
  <c r="BK39" i="1"/>
  <c r="BQ22" i="1"/>
  <c r="BQ45" i="1" s="1"/>
  <c r="BP43" i="1"/>
  <c r="BP21" i="1"/>
  <c r="BO42" i="1"/>
  <c r="BO48" i="1"/>
  <c r="BO46" i="1"/>
  <c r="BO49" i="1"/>
  <c r="BO44" i="1"/>
  <c r="BN18" i="1" a="1"/>
  <c r="BN18" i="1" s="1"/>
  <c r="BH79" i="1"/>
  <c r="BH89" i="1" s="1"/>
  <c r="BK37" i="1"/>
  <c r="BK23" i="1"/>
  <c r="BK32" i="1" s="1"/>
  <c r="BK33" i="1" s="1"/>
  <c r="BK34" i="1" s="1"/>
  <c r="BK36" i="1" s="1"/>
  <c r="BL16" i="1"/>
  <c r="BI64" i="1"/>
  <c r="BO7" i="1"/>
  <c r="BP5" i="1"/>
  <c r="BO12" i="1"/>
  <c r="BO15" i="1"/>
  <c r="BN82" i="1" s="1"/>
  <c r="BO11" i="1"/>
  <c r="BO17" i="1"/>
  <c r="BO27" i="1" a="1"/>
  <c r="BO27" i="1" s="1"/>
  <c r="BO28" i="1" a="1"/>
  <c r="BO28" i="1" s="1"/>
  <c r="BO51" i="1"/>
  <c r="BO52" i="1"/>
  <c r="BO56" i="1"/>
  <c r="BO154" i="1"/>
  <c r="BO201" i="1"/>
  <c r="BO207" i="1" s="1"/>
  <c r="BO206" i="1" l="1"/>
  <c r="BP90" i="1"/>
  <c r="BP209" i="1"/>
  <c r="BK63" i="1"/>
  <c r="BK58" i="1"/>
  <c r="BK81" i="1" s="1"/>
  <c r="BK60" i="1"/>
  <c r="BK61" i="1"/>
  <c r="BK59" i="1"/>
  <c r="BK62" i="1"/>
  <c r="BO126" i="1"/>
  <c r="BO127" i="1" s="1"/>
  <c r="BO134" i="1"/>
  <c r="BO135" i="1" s="1"/>
  <c r="BO158" i="1"/>
  <c r="BN13" i="1"/>
  <c r="BN208" i="1" s="1"/>
  <c r="BG110" i="1"/>
  <c r="BM20" i="1"/>
  <c r="BM40" i="1" s="1"/>
  <c r="BL39" i="1"/>
  <c r="BQ21" i="1"/>
  <c r="BP42" i="1"/>
  <c r="BP48" i="1"/>
  <c r="BP46" i="1"/>
  <c r="BP44" i="1"/>
  <c r="BP49" i="1"/>
  <c r="BR22" i="1"/>
  <c r="BR45" i="1" s="1"/>
  <c r="BQ43" i="1"/>
  <c r="BI79" i="1"/>
  <c r="BI89" i="1" s="1"/>
  <c r="BP11" i="1"/>
  <c r="BP7" i="1"/>
  <c r="BP8" i="1" s="1"/>
  <c r="BQ5" i="1"/>
  <c r="BP15" i="1"/>
  <c r="BP12" i="1"/>
  <c r="BP17" i="1"/>
  <c r="BP28" i="1" a="1"/>
  <c r="BP28" i="1" s="1"/>
  <c r="BP27" i="1" a="1"/>
  <c r="BP27" i="1" s="1"/>
  <c r="BP52" i="1"/>
  <c r="BP56" i="1"/>
  <c r="BP51" i="1"/>
  <c r="BP154" i="1"/>
  <c r="BP201" i="1"/>
  <c r="BP207" i="1" s="1"/>
  <c r="BL37" i="1"/>
  <c r="BL23" i="1"/>
  <c r="BL32" i="1" s="1"/>
  <c r="BL33" i="1" s="1"/>
  <c r="BL34" i="1" s="1"/>
  <c r="BL36" i="1" s="1"/>
  <c r="BM16" i="1"/>
  <c r="BO18" i="1" a="1"/>
  <c r="BO18" i="1" s="1"/>
  <c r="BO8" i="1"/>
  <c r="BO9" i="1" s="1"/>
  <c r="BJ64" i="1"/>
  <c r="BP206" i="1" l="1"/>
  <c r="BQ90" i="1"/>
  <c r="BQ209" i="1"/>
  <c r="BL63" i="1"/>
  <c r="BL58" i="1"/>
  <c r="BL81" i="1" s="1"/>
  <c r="BL61" i="1"/>
  <c r="BL59" i="1"/>
  <c r="BL60" i="1"/>
  <c r="BL62" i="1"/>
  <c r="BP126" i="1"/>
  <c r="BP127" i="1" s="1"/>
  <c r="BP134" i="1"/>
  <c r="BP135" i="1" s="1"/>
  <c r="BO82" i="1"/>
  <c r="BP158" i="1"/>
  <c r="BO13" i="1"/>
  <c r="BO208" i="1" s="1"/>
  <c r="BH110" i="1"/>
  <c r="BO26" i="1" a="1"/>
  <c r="BO26" i="1" s="1"/>
  <c r="BO30" i="1" s="1"/>
  <c r="BO31" i="1" s="1" a="1"/>
  <c r="BO31" i="1" s="1"/>
  <c r="BM39" i="1"/>
  <c r="BN20" i="1"/>
  <c r="BN40" i="1" s="1"/>
  <c r="BP9" i="1"/>
  <c r="BS22" i="1"/>
  <c r="BS45" i="1" s="1"/>
  <c r="BR43" i="1"/>
  <c r="BR21" i="1"/>
  <c r="BQ42" i="1"/>
  <c r="BQ44" i="1"/>
  <c r="BQ48" i="1"/>
  <c r="BQ46" i="1"/>
  <c r="BQ49" i="1"/>
  <c r="BM37" i="1"/>
  <c r="BM23" i="1"/>
  <c r="BM32" i="1" s="1"/>
  <c r="BM33" i="1" s="1"/>
  <c r="BM34" i="1" s="1"/>
  <c r="BM36" i="1" s="1"/>
  <c r="BN16" i="1"/>
  <c r="BR5" i="1"/>
  <c r="BQ7" i="1"/>
  <c r="BQ8" i="1" s="1"/>
  <c r="BQ12" i="1"/>
  <c r="BQ11" i="1"/>
  <c r="BQ15" i="1"/>
  <c r="BQ17" i="1"/>
  <c r="BQ27" i="1" a="1"/>
  <c r="BQ27" i="1" s="1"/>
  <c r="BQ28" i="1" a="1"/>
  <c r="BQ28" i="1" s="1"/>
  <c r="BQ56" i="1"/>
  <c r="BQ52" i="1"/>
  <c r="BQ51" i="1"/>
  <c r="BQ154" i="1"/>
  <c r="BQ201" i="1"/>
  <c r="BQ207" i="1" s="1"/>
  <c r="BK64" i="1"/>
  <c r="BJ79" i="1"/>
  <c r="BJ89" i="1" s="1"/>
  <c r="BP18" i="1" a="1"/>
  <c r="BP18" i="1" s="1"/>
  <c r="BQ206" i="1" l="1"/>
  <c r="BR90" i="1"/>
  <c r="BR209" i="1"/>
  <c r="BM58" i="1"/>
  <c r="BM81" i="1" s="1"/>
  <c r="BM63" i="1"/>
  <c r="BP82" i="1"/>
  <c r="BM61" i="1"/>
  <c r="BM59" i="1"/>
  <c r="BM60" i="1"/>
  <c r="BM62" i="1"/>
  <c r="BQ134" i="1"/>
  <c r="BQ135" i="1" s="1"/>
  <c r="BQ126" i="1"/>
  <c r="BQ127" i="1" s="1"/>
  <c r="BQ158" i="1"/>
  <c r="BP13" i="1"/>
  <c r="BP208" i="1" s="1"/>
  <c r="BI110" i="1"/>
  <c r="BP26" i="1" a="1"/>
  <c r="BP26" i="1" s="1"/>
  <c r="BP30" i="1" s="1"/>
  <c r="BP31" i="1" s="1" a="1"/>
  <c r="BP31" i="1" s="1"/>
  <c r="BQ9" i="1"/>
  <c r="BO20" i="1"/>
  <c r="BO40" i="1" s="1"/>
  <c r="BN39" i="1"/>
  <c r="BS21" i="1"/>
  <c r="BR44" i="1"/>
  <c r="BR42" i="1"/>
  <c r="BR48" i="1"/>
  <c r="BR46" i="1"/>
  <c r="BR49" i="1"/>
  <c r="BT22" i="1"/>
  <c r="BT45" i="1" s="1"/>
  <c r="BS43" i="1"/>
  <c r="BQ18" i="1" a="1"/>
  <c r="BQ18" i="1" s="1"/>
  <c r="BK79" i="1"/>
  <c r="BK89" i="1" s="1"/>
  <c r="BS5" i="1"/>
  <c r="BR11" i="1"/>
  <c r="BR15" i="1"/>
  <c r="BQ82" i="1" s="1"/>
  <c r="BR12" i="1"/>
  <c r="BR7" i="1"/>
  <c r="BR8" i="1" s="1"/>
  <c r="BR17" i="1"/>
  <c r="BR27" i="1" a="1"/>
  <c r="BR27" i="1" s="1"/>
  <c r="BR28" i="1" a="1"/>
  <c r="BR28" i="1" s="1"/>
  <c r="BR51" i="1"/>
  <c r="BR52" i="1"/>
  <c r="BR56" i="1"/>
  <c r="BR154" i="1"/>
  <c r="BR201" i="1"/>
  <c r="BR207" i="1" s="1"/>
  <c r="BN37" i="1"/>
  <c r="BN23" i="1"/>
  <c r="BN32" i="1" s="1"/>
  <c r="BN33" i="1" s="1"/>
  <c r="BN34" i="1" s="1"/>
  <c r="BN36" i="1" s="1"/>
  <c r="BO16" i="1"/>
  <c r="BL64" i="1"/>
  <c r="BR206" i="1" l="1"/>
  <c r="BS90" i="1"/>
  <c r="BS209" i="1"/>
  <c r="BN59" i="1"/>
  <c r="BN60" i="1"/>
  <c r="BN61" i="1"/>
  <c r="BN62" i="1"/>
  <c r="BN63" i="1"/>
  <c r="BN58" i="1"/>
  <c r="BN81" i="1" s="1"/>
  <c r="BR126" i="1"/>
  <c r="BR127" i="1" s="1"/>
  <c r="BR134" i="1"/>
  <c r="BR135" i="1" s="1"/>
  <c r="BR158" i="1"/>
  <c r="BQ13" i="1"/>
  <c r="BQ208" i="1" s="1"/>
  <c r="BJ110" i="1"/>
  <c r="BQ26" i="1" a="1"/>
  <c r="BQ26" i="1" s="1"/>
  <c r="BQ30" i="1" s="1"/>
  <c r="BQ31" i="1" s="1" a="1"/>
  <c r="BQ31" i="1" s="1"/>
  <c r="BR9" i="1"/>
  <c r="BO39" i="1"/>
  <c r="BP20" i="1"/>
  <c r="BP40" i="1" s="1"/>
  <c r="BU22" i="1"/>
  <c r="BU45" i="1" s="1"/>
  <c r="BT43" i="1"/>
  <c r="BT21" i="1"/>
  <c r="BS44" i="1"/>
  <c r="BS42" i="1"/>
  <c r="BS46" i="1"/>
  <c r="BS48" i="1"/>
  <c r="BS49" i="1"/>
  <c r="BR18" i="1" a="1"/>
  <c r="BR18" i="1" s="1"/>
  <c r="BO37" i="1"/>
  <c r="BO23" i="1"/>
  <c r="BO32" i="1" s="1"/>
  <c r="BO33" i="1" s="1"/>
  <c r="BO34" i="1" s="1"/>
  <c r="BO36" i="1" s="1"/>
  <c r="BP16" i="1"/>
  <c r="BL79" i="1"/>
  <c r="BL89" i="1" s="1"/>
  <c r="BM64" i="1"/>
  <c r="BS7" i="1"/>
  <c r="BT5" i="1"/>
  <c r="BS11" i="1"/>
  <c r="BS12" i="1"/>
  <c r="BS15" i="1"/>
  <c r="BS17" i="1"/>
  <c r="BS27" i="1" a="1"/>
  <c r="BS27" i="1" s="1"/>
  <c r="BS28" i="1" a="1"/>
  <c r="BS28" i="1" s="1"/>
  <c r="BS52" i="1"/>
  <c r="BS56" i="1"/>
  <c r="BS51" i="1"/>
  <c r="BS154" i="1"/>
  <c r="BS201" i="1"/>
  <c r="BS207" i="1" s="1"/>
  <c r="BS206" i="1" l="1"/>
  <c r="BT90" i="1"/>
  <c r="BT209" i="1"/>
  <c r="BO63" i="1"/>
  <c r="BO58" i="1"/>
  <c r="BO81" i="1" s="1"/>
  <c r="BS134" i="1"/>
  <c r="BS135" i="1" s="1"/>
  <c r="BS126" i="1"/>
  <c r="BS127" i="1" s="1"/>
  <c r="BO59" i="1"/>
  <c r="BO60" i="1"/>
  <c r="BO61" i="1"/>
  <c r="BO62" i="1"/>
  <c r="BR82" i="1"/>
  <c r="BS158" i="1"/>
  <c r="BR13" i="1"/>
  <c r="BR208" i="1" s="1"/>
  <c r="BK110" i="1"/>
  <c r="BR26" i="1" a="1"/>
  <c r="BR26" i="1" s="1"/>
  <c r="BR30" i="1" s="1"/>
  <c r="BR31" i="1" s="1" a="1"/>
  <c r="BR31" i="1" s="1"/>
  <c r="BP39" i="1"/>
  <c r="BQ20" i="1"/>
  <c r="BQ40" i="1" s="1"/>
  <c r="BU21" i="1"/>
  <c r="BT44" i="1"/>
  <c r="BT42" i="1"/>
  <c r="BT49" i="1"/>
  <c r="BT46" i="1"/>
  <c r="BT48" i="1"/>
  <c r="BV22" i="1"/>
  <c r="BV45" i="1" s="1"/>
  <c r="BU43" i="1"/>
  <c r="BM79" i="1"/>
  <c r="BM89" i="1" s="1"/>
  <c r="BS18" i="1" a="1"/>
  <c r="BS18" i="1" s="1"/>
  <c r="BN64" i="1"/>
  <c r="BT7" i="1"/>
  <c r="BT8" i="1" s="1"/>
  <c r="BU5" i="1"/>
  <c r="BU209" i="1" s="1"/>
  <c r="BT11" i="1"/>
  <c r="BT15" i="1"/>
  <c r="BS82" i="1" s="1"/>
  <c r="BT12" i="1"/>
  <c r="BT17" i="1"/>
  <c r="BT27" i="1" a="1"/>
  <c r="BT27" i="1" s="1"/>
  <c r="BT28" i="1" a="1"/>
  <c r="BT28" i="1" s="1"/>
  <c r="BT52" i="1"/>
  <c r="BT56" i="1"/>
  <c r="BT51" i="1"/>
  <c r="BT154" i="1"/>
  <c r="BT201" i="1"/>
  <c r="BT207" i="1" s="1"/>
  <c r="BP37" i="1"/>
  <c r="BP23" i="1"/>
  <c r="BP32" i="1" s="1"/>
  <c r="BP33" i="1" s="1"/>
  <c r="BP34" i="1" s="1"/>
  <c r="BP36" i="1" s="1"/>
  <c r="BQ16" i="1"/>
  <c r="BS8" i="1"/>
  <c r="BS9" i="1" s="1"/>
  <c r="BT206" i="1" l="1"/>
  <c r="BU90" i="1"/>
  <c r="BP58" i="1"/>
  <c r="BP81" i="1" s="1"/>
  <c r="BP63" i="1"/>
  <c r="BP59" i="1"/>
  <c r="BP60" i="1"/>
  <c r="BP61" i="1"/>
  <c r="BP62" i="1"/>
  <c r="BT126" i="1"/>
  <c r="BT127" i="1" s="1"/>
  <c r="BT134" i="1"/>
  <c r="BT135" i="1" s="1"/>
  <c r="BT158" i="1"/>
  <c r="BS13" i="1"/>
  <c r="BS208" i="1" s="1"/>
  <c r="BL110" i="1"/>
  <c r="BS26" i="1" a="1"/>
  <c r="BS26" i="1" s="1"/>
  <c r="BS30" i="1" s="1"/>
  <c r="BS31" i="1" s="1" a="1"/>
  <c r="BS31" i="1" s="1"/>
  <c r="BR20" i="1"/>
  <c r="BR40" i="1" s="1"/>
  <c r="BQ39" i="1"/>
  <c r="BT9" i="1"/>
  <c r="BW22" i="1"/>
  <c r="BW45" i="1" s="1"/>
  <c r="BV43" i="1"/>
  <c r="BV21" i="1"/>
  <c r="BU44" i="1"/>
  <c r="BU42" i="1"/>
  <c r="BU49" i="1"/>
  <c r="BU46" i="1"/>
  <c r="BU48" i="1"/>
  <c r="BT18" i="1" a="1"/>
  <c r="BT18" i="1" s="1"/>
  <c r="BQ37" i="1"/>
  <c r="BQ23" i="1"/>
  <c r="BQ32" i="1" s="1"/>
  <c r="BQ33" i="1" s="1"/>
  <c r="BQ34" i="1" s="1"/>
  <c r="BQ36" i="1" s="1"/>
  <c r="BR16" i="1"/>
  <c r="BU7" i="1"/>
  <c r="BU8" i="1" s="1"/>
  <c r="BV5" i="1"/>
  <c r="BU11" i="1"/>
  <c r="BU15" i="1"/>
  <c r="BT82" i="1" s="1"/>
  <c r="BU12" i="1"/>
  <c r="BU17" i="1"/>
  <c r="BU27" i="1" a="1"/>
  <c r="BU27" i="1" s="1"/>
  <c r="BU28" i="1" a="1"/>
  <c r="BU28" i="1" s="1"/>
  <c r="BU56" i="1"/>
  <c r="BU52" i="1"/>
  <c r="BU51" i="1"/>
  <c r="BU154" i="1"/>
  <c r="BU201" i="1"/>
  <c r="BU207" i="1" s="1"/>
  <c r="BO64" i="1"/>
  <c r="BN79" i="1"/>
  <c r="BN89" i="1" s="1"/>
  <c r="BU206" i="1" l="1"/>
  <c r="BV90" i="1"/>
  <c r="BV209" i="1"/>
  <c r="BQ58" i="1"/>
  <c r="BQ81" i="1" s="1"/>
  <c r="BQ63" i="1"/>
  <c r="BQ59" i="1"/>
  <c r="BQ60" i="1"/>
  <c r="BQ61" i="1"/>
  <c r="BQ62" i="1"/>
  <c r="BU126" i="1"/>
  <c r="BU127" i="1" s="1"/>
  <c r="BU134" i="1"/>
  <c r="BU135" i="1" s="1"/>
  <c r="BU158" i="1"/>
  <c r="BT13" i="1"/>
  <c r="BT208" i="1" s="1"/>
  <c r="BM110" i="1"/>
  <c r="BT26" i="1" a="1"/>
  <c r="BT26" i="1" s="1"/>
  <c r="BT30" i="1" s="1"/>
  <c r="BT31" i="1" s="1" a="1"/>
  <c r="BT31" i="1" s="1"/>
  <c r="BU9" i="1"/>
  <c r="BS20" i="1"/>
  <c r="BS40" i="1" s="1"/>
  <c r="BR39" i="1"/>
  <c r="BW21" i="1"/>
  <c r="BV42" i="1"/>
  <c r="BV46" i="1"/>
  <c r="BV44" i="1"/>
  <c r="BV49" i="1"/>
  <c r="BV48" i="1"/>
  <c r="BX22" i="1"/>
  <c r="BX45" i="1" s="1"/>
  <c r="BW43" i="1"/>
  <c r="BO79" i="1"/>
  <c r="BO89" i="1" s="1"/>
  <c r="BR37" i="1"/>
  <c r="BR23" i="1"/>
  <c r="BR32" i="1" s="1"/>
  <c r="BR33" i="1" s="1"/>
  <c r="BR34" i="1" s="1"/>
  <c r="BR36" i="1" s="1"/>
  <c r="BS16" i="1"/>
  <c r="BU18" i="1" a="1"/>
  <c r="BU18" i="1" s="1"/>
  <c r="BP64" i="1"/>
  <c r="BV7" i="1"/>
  <c r="BW5" i="1"/>
  <c r="BW209" i="1" s="1"/>
  <c r="BV12" i="1"/>
  <c r="BV11" i="1"/>
  <c r="BV17" i="1"/>
  <c r="BV15" i="1"/>
  <c r="BV27" i="1" a="1"/>
  <c r="BV27" i="1" s="1"/>
  <c r="BV28" i="1" a="1"/>
  <c r="BV28" i="1" s="1"/>
  <c r="BV51" i="1"/>
  <c r="BV52" i="1"/>
  <c r="BV56" i="1"/>
  <c r="BV154" i="1"/>
  <c r="BV201" i="1"/>
  <c r="BV207" i="1" s="1"/>
  <c r="BV206" i="1" l="1"/>
  <c r="BW90" i="1"/>
  <c r="BR63" i="1"/>
  <c r="BR58" i="1"/>
  <c r="BR81" i="1" s="1"/>
  <c r="BV126" i="1"/>
  <c r="BV127" i="1" s="1"/>
  <c r="BV134" i="1"/>
  <c r="BV135" i="1" s="1"/>
  <c r="BR61" i="1"/>
  <c r="BR60" i="1"/>
  <c r="BR59" i="1"/>
  <c r="BR62" i="1"/>
  <c r="BU82" i="1"/>
  <c r="BV158" i="1"/>
  <c r="BU13" i="1"/>
  <c r="BU208" i="1" s="1"/>
  <c r="BN110" i="1"/>
  <c r="BU26" i="1" a="1"/>
  <c r="BU26" i="1" s="1"/>
  <c r="BU30" i="1" s="1"/>
  <c r="BU31" i="1" s="1" a="1"/>
  <c r="BU31" i="1" s="1"/>
  <c r="BT20" i="1"/>
  <c r="BT40" i="1" s="1"/>
  <c r="BS39" i="1"/>
  <c r="BX21" i="1"/>
  <c r="BW48" i="1"/>
  <c r="BW46" i="1"/>
  <c r="BW44" i="1"/>
  <c r="BW42" i="1"/>
  <c r="BW49" i="1"/>
  <c r="BY22" i="1"/>
  <c r="BY45" i="1" s="1"/>
  <c r="BX43" i="1"/>
  <c r="BV18" i="1" a="1"/>
  <c r="BV18" i="1" s="1"/>
  <c r="BP79" i="1"/>
  <c r="BP89" i="1" s="1"/>
  <c r="BS37" i="1"/>
  <c r="BS23" i="1"/>
  <c r="BS32" i="1" s="1"/>
  <c r="BS33" i="1" s="1"/>
  <c r="BS34" i="1" s="1"/>
  <c r="BS36" i="1" s="1"/>
  <c r="BT16" i="1"/>
  <c r="BW7" i="1"/>
  <c r="BW8" i="1" s="1"/>
  <c r="BW9" i="1" s="1"/>
  <c r="BX5" i="1"/>
  <c r="BW12" i="1"/>
  <c r="BW15" i="1"/>
  <c r="BW11" i="1"/>
  <c r="BW17" i="1"/>
  <c r="BW27" i="1" a="1"/>
  <c r="BW27" i="1" s="1"/>
  <c r="BW28" i="1" a="1"/>
  <c r="BW28" i="1" s="1"/>
  <c r="BW51" i="1"/>
  <c r="BW52" i="1"/>
  <c r="BW56" i="1"/>
  <c r="BW154" i="1"/>
  <c r="BW201" i="1"/>
  <c r="BW207" i="1" s="1"/>
  <c r="BQ64" i="1"/>
  <c r="BV8" i="1"/>
  <c r="BV9" i="1" s="1"/>
  <c r="BW206" i="1" l="1"/>
  <c r="BX90" i="1"/>
  <c r="BX209" i="1"/>
  <c r="BS63" i="1"/>
  <c r="BS58" i="1"/>
  <c r="BS81" i="1" s="1"/>
  <c r="BS60" i="1"/>
  <c r="BS61" i="1"/>
  <c r="BS59" i="1"/>
  <c r="BS62" i="1"/>
  <c r="BW126" i="1"/>
  <c r="BW127" i="1" s="1"/>
  <c r="BW134" i="1"/>
  <c r="BW135" i="1" s="1"/>
  <c r="BV82" i="1"/>
  <c r="BW158" i="1"/>
  <c r="BV13" i="1"/>
  <c r="BV208" i="1" s="1"/>
  <c r="BO110" i="1"/>
  <c r="BW26" i="1" a="1"/>
  <c r="BW26" i="1" s="1"/>
  <c r="BW30" i="1" s="1"/>
  <c r="BW31" i="1" s="1" a="1"/>
  <c r="BW31" i="1" s="1"/>
  <c r="BV26" i="1" a="1"/>
  <c r="BV26" i="1" s="1"/>
  <c r="BV30" i="1" s="1"/>
  <c r="BV31" i="1" s="1" a="1"/>
  <c r="BV31" i="1" s="1"/>
  <c r="BT39" i="1"/>
  <c r="BU20" i="1"/>
  <c r="BU40" i="1" s="1"/>
  <c r="BZ22" i="1"/>
  <c r="BZ45" i="1" s="1"/>
  <c r="BY43" i="1"/>
  <c r="BY21" i="1"/>
  <c r="BX42" i="1"/>
  <c r="BX48" i="1"/>
  <c r="BX46" i="1"/>
  <c r="BX44" i="1"/>
  <c r="BX49" i="1"/>
  <c r="BX11" i="1"/>
  <c r="BX7" i="1"/>
  <c r="BX8" i="1" s="1"/>
  <c r="BX9" i="1" s="1"/>
  <c r="BY5" i="1"/>
  <c r="BY209" i="1" s="1"/>
  <c r="BX12" i="1"/>
  <c r="BX15" i="1"/>
  <c r="BX17" i="1"/>
  <c r="BX28" i="1" a="1"/>
  <c r="BX28" i="1" s="1"/>
  <c r="BX27" i="1" a="1"/>
  <c r="BX27" i="1" s="1"/>
  <c r="BX52" i="1"/>
  <c r="BX56" i="1"/>
  <c r="BX51" i="1"/>
  <c r="BX154" i="1"/>
  <c r="BX201" i="1"/>
  <c r="BX207" i="1" s="1"/>
  <c r="BR64" i="1"/>
  <c r="BT37" i="1"/>
  <c r="BT23" i="1"/>
  <c r="BT32" i="1" s="1"/>
  <c r="BT33" i="1" s="1"/>
  <c r="BT34" i="1" s="1"/>
  <c r="BT36" i="1" s="1"/>
  <c r="BU16" i="1"/>
  <c r="BQ79" i="1"/>
  <c r="BQ89" i="1" s="1"/>
  <c r="BW18" i="1" a="1"/>
  <c r="BW18" i="1" s="1"/>
  <c r="BX206" i="1" l="1"/>
  <c r="BY90" i="1"/>
  <c r="BX126" i="1"/>
  <c r="BX127" i="1" s="1"/>
  <c r="BX134" i="1"/>
  <c r="BX135" i="1" s="1"/>
  <c r="BW82" i="1"/>
  <c r="BT58" i="1"/>
  <c r="BT81" i="1" s="1"/>
  <c r="BT63" i="1"/>
  <c r="BT61" i="1"/>
  <c r="BT59" i="1"/>
  <c r="BT60" i="1"/>
  <c r="BT62" i="1"/>
  <c r="BX158" i="1"/>
  <c r="BW13" i="1"/>
  <c r="BW208" i="1" s="1"/>
  <c r="BP110" i="1"/>
  <c r="BX26" i="1" a="1"/>
  <c r="BX26" i="1" s="1"/>
  <c r="BX30" i="1" s="1"/>
  <c r="BX31" i="1" s="1" a="1"/>
  <c r="BX31" i="1" s="1"/>
  <c r="BV20" i="1"/>
  <c r="BV40" i="1" s="1"/>
  <c r="BU39" i="1"/>
  <c r="BZ21" i="1"/>
  <c r="BY42" i="1"/>
  <c r="BY44" i="1"/>
  <c r="BY48" i="1"/>
  <c r="BY46" i="1"/>
  <c r="BY49" i="1"/>
  <c r="CA22" i="1"/>
  <c r="CA45" i="1" s="1"/>
  <c r="BZ43" i="1"/>
  <c r="BX18" i="1" a="1"/>
  <c r="BX18" i="1" s="1"/>
  <c r="BZ5" i="1"/>
  <c r="BY7" i="1"/>
  <c r="BY8" i="1" s="1"/>
  <c r="BY9" i="1" s="1"/>
  <c r="BY12" i="1"/>
  <c r="BY11" i="1"/>
  <c r="BY15" i="1"/>
  <c r="BY17" i="1"/>
  <c r="BY27" i="1" a="1"/>
  <c r="BY27" i="1" s="1"/>
  <c r="BY28" i="1" a="1"/>
  <c r="BY28" i="1" s="1"/>
  <c r="BY56" i="1"/>
  <c r="BY51" i="1"/>
  <c r="BY52" i="1"/>
  <c r="BY154" i="1"/>
  <c r="BY201" i="1"/>
  <c r="BY207" i="1" s="1"/>
  <c r="BS64" i="1"/>
  <c r="BR79" i="1"/>
  <c r="BR89" i="1" s="1"/>
  <c r="BU37" i="1"/>
  <c r="BU23" i="1"/>
  <c r="BU32" i="1" s="1"/>
  <c r="BU33" i="1" s="1"/>
  <c r="BU34" i="1" s="1"/>
  <c r="BU36" i="1" s="1"/>
  <c r="BV16" i="1"/>
  <c r="BY206" i="1" l="1"/>
  <c r="BZ90" i="1"/>
  <c r="BZ209" i="1"/>
  <c r="BY134" i="1"/>
  <c r="BY135" i="1" s="1"/>
  <c r="BY126" i="1"/>
  <c r="BY127" i="1" s="1"/>
  <c r="BU58" i="1"/>
  <c r="BU81" i="1" s="1"/>
  <c r="BU63" i="1"/>
  <c r="BU61" i="1"/>
  <c r="BU59" i="1"/>
  <c r="BU60" i="1"/>
  <c r="BU62" i="1"/>
  <c r="BX82" i="1"/>
  <c r="BY158" i="1"/>
  <c r="BX13" i="1"/>
  <c r="BX208" i="1" s="1"/>
  <c r="BQ110" i="1"/>
  <c r="BY26" i="1" a="1"/>
  <c r="BY26" i="1" s="1"/>
  <c r="BY30" i="1" s="1"/>
  <c r="BY31" i="1" s="1" a="1"/>
  <c r="BY31" i="1" s="1"/>
  <c r="BV39" i="1"/>
  <c r="BW20" i="1"/>
  <c r="BW40" i="1" s="1"/>
  <c r="CB22" i="1"/>
  <c r="CB45" i="1" s="1"/>
  <c r="CA43" i="1"/>
  <c r="CA21" i="1"/>
  <c r="BZ48" i="1"/>
  <c r="BZ46" i="1"/>
  <c r="BZ42" i="1"/>
  <c r="BZ44" i="1"/>
  <c r="BZ49" i="1"/>
  <c r="CA5" i="1"/>
  <c r="BZ7" i="1"/>
  <c r="BZ12" i="1"/>
  <c r="BZ15" i="1"/>
  <c r="BZ11" i="1"/>
  <c r="BZ17" i="1"/>
  <c r="BZ28" i="1" a="1"/>
  <c r="BZ28" i="1" s="1"/>
  <c r="BZ27" i="1" a="1"/>
  <c r="BZ27" i="1" s="1"/>
  <c r="BZ51" i="1"/>
  <c r="BZ52" i="1"/>
  <c r="BZ56" i="1"/>
  <c r="BZ154" i="1"/>
  <c r="BZ201" i="1"/>
  <c r="BZ207" i="1" s="1"/>
  <c r="BS79" i="1"/>
  <c r="BS89" i="1" s="1"/>
  <c r="BY18" i="1" a="1"/>
  <c r="BY18" i="1" s="1"/>
  <c r="BT64" i="1"/>
  <c r="BV37" i="1"/>
  <c r="BV23" i="1"/>
  <c r="BV32" i="1" s="1"/>
  <c r="BV33" i="1" s="1"/>
  <c r="BV34" i="1" s="1"/>
  <c r="BV36" i="1" s="1"/>
  <c r="BW16" i="1"/>
  <c r="BZ206" i="1" l="1"/>
  <c r="CA90" i="1"/>
  <c r="BZ126" i="1"/>
  <c r="BZ127" i="1" s="1"/>
  <c r="BZ134" i="1"/>
  <c r="BZ135" i="1" s="1"/>
  <c r="BV58" i="1"/>
  <c r="BV81" i="1" s="1"/>
  <c r="BV63" i="1"/>
  <c r="BV59" i="1"/>
  <c r="BV60" i="1"/>
  <c r="BV61" i="1"/>
  <c r="BV62" i="1"/>
  <c r="BY82" i="1"/>
  <c r="BZ158" i="1"/>
  <c r="BY13" i="1"/>
  <c r="BY208" i="1" s="1"/>
  <c r="BR110" i="1"/>
  <c r="BX20" i="1"/>
  <c r="BX40" i="1" s="1"/>
  <c r="BW39" i="1"/>
  <c r="CB21" i="1"/>
  <c r="CA44" i="1"/>
  <c r="CA48" i="1"/>
  <c r="CA42" i="1"/>
  <c r="CA46" i="1"/>
  <c r="CA49" i="1"/>
  <c r="CC22" i="1"/>
  <c r="CC45" i="1" s="1"/>
  <c r="CB43" i="1"/>
  <c r="BZ8" i="1"/>
  <c r="BZ9" i="1" s="1"/>
  <c r="CA7" i="1"/>
  <c r="CB5" i="1"/>
  <c r="CA12" i="1"/>
  <c r="CA15" i="1"/>
  <c r="CA11" i="1"/>
  <c r="CA17" i="1"/>
  <c r="CA27" i="1" a="1"/>
  <c r="CA27" i="1" s="1"/>
  <c r="CA28" i="1" a="1"/>
  <c r="CA28" i="1" s="1"/>
  <c r="CA52" i="1"/>
  <c r="CA56" i="1"/>
  <c r="CA51" i="1"/>
  <c r="CA154" i="1"/>
  <c r="CA201" i="1"/>
  <c r="CA207" i="1" s="1"/>
  <c r="BT79" i="1"/>
  <c r="BT89" i="1" s="1"/>
  <c r="BW37" i="1"/>
  <c r="BW23" i="1"/>
  <c r="BW32" i="1" s="1"/>
  <c r="BW33" i="1" s="1"/>
  <c r="BW34" i="1" s="1"/>
  <c r="BW36" i="1" s="1"/>
  <c r="BX16" i="1"/>
  <c r="BZ18" i="1" a="1"/>
  <c r="BZ18" i="1" s="1"/>
  <c r="BU64" i="1"/>
  <c r="CB90" i="1" l="1"/>
  <c r="CB209" i="1"/>
  <c r="CA134" i="1"/>
  <c r="CA135" i="1" s="1"/>
  <c r="CA126" i="1"/>
  <c r="CA127" i="1" s="1"/>
  <c r="BZ82" i="1"/>
  <c r="BW58" i="1"/>
  <c r="BW81" i="1" s="1"/>
  <c r="BW63" i="1"/>
  <c r="BW59" i="1"/>
  <c r="BW60" i="1"/>
  <c r="BW61" i="1"/>
  <c r="BW62" i="1"/>
  <c r="CA158" i="1"/>
  <c r="BZ13" i="1"/>
  <c r="BZ208" i="1" s="1"/>
  <c r="BS110" i="1"/>
  <c r="BZ26" i="1" a="1"/>
  <c r="BZ26" i="1" s="1"/>
  <c r="BZ30" i="1" s="1"/>
  <c r="BZ31" i="1" s="1" a="1"/>
  <c r="BZ31" i="1" s="1"/>
  <c r="BX39" i="1"/>
  <c r="BY20" i="1"/>
  <c r="BY40" i="1" s="1"/>
  <c r="CD22" i="1"/>
  <c r="CD45" i="1" s="1"/>
  <c r="CC43" i="1"/>
  <c r="CC21" i="1"/>
  <c r="CB44" i="1"/>
  <c r="CB42" i="1"/>
  <c r="CB49" i="1"/>
  <c r="CB48" i="1"/>
  <c r="CB46" i="1"/>
  <c r="BU79" i="1"/>
  <c r="BU89" i="1" s="1"/>
  <c r="CA8" i="1"/>
  <c r="CA9" i="1" s="1"/>
  <c r="CA18" i="1" a="1"/>
  <c r="CA18" i="1" s="1"/>
  <c r="BX37" i="1"/>
  <c r="BX23" i="1"/>
  <c r="BX32" i="1" s="1"/>
  <c r="BX33" i="1" s="1"/>
  <c r="BX34" i="1" s="1"/>
  <c r="BX36" i="1" s="1"/>
  <c r="BY16" i="1"/>
  <c r="BV64" i="1"/>
  <c r="CB7" i="1"/>
  <c r="CC5" i="1"/>
  <c r="CB11" i="1"/>
  <c r="CB12" i="1"/>
  <c r="CB15" i="1"/>
  <c r="CB17" i="1"/>
  <c r="CB28" i="1" a="1"/>
  <c r="CB28" i="1" s="1"/>
  <c r="CB27" i="1" a="1"/>
  <c r="CB27" i="1" s="1"/>
  <c r="CB52" i="1"/>
  <c r="CB56" i="1"/>
  <c r="CB51" i="1"/>
  <c r="CB154" i="1"/>
  <c r="CB201" i="1"/>
  <c r="CB207" i="1" s="1"/>
  <c r="CB206" i="1" l="1"/>
  <c r="CC90" i="1"/>
  <c r="CC209" i="1"/>
  <c r="BX63" i="1"/>
  <c r="BX58" i="1"/>
  <c r="BX81" i="1" s="1"/>
  <c r="BX59" i="1"/>
  <c r="BX60" i="1"/>
  <c r="BX61" i="1"/>
  <c r="BX62" i="1"/>
  <c r="CB126" i="1"/>
  <c r="CB127" i="1" s="1"/>
  <c r="CB134" i="1"/>
  <c r="CB135" i="1" s="1"/>
  <c r="CA82" i="1"/>
  <c r="CB158" i="1"/>
  <c r="CA13" i="1"/>
  <c r="CA208" i="1" s="1"/>
  <c r="BT110" i="1"/>
  <c r="CA26" i="1" a="1"/>
  <c r="CA26" i="1" s="1"/>
  <c r="CA30" i="1" s="1"/>
  <c r="CA31" i="1" s="1" a="1"/>
  <c r="CA31" i="1" s="1"/>
  <c r="BZ20" i="1"/>
  <c r="BZ40" i="1" s="1"/>
  <c r="BY39" i="1"/>
  <c r="CD21" i="1"/>
  <c r="CC44" i="1"/>
  <c r="CC42" i="1"/>
  <c r="CC49" i="1"/>
  <c r="CC48" i="1"/>
  <c r="CC46" i="1"/>
  <c r="CE22" i="1"/>
  <c r="CE45" i="1" s="1"/>
  <c r="CD43" i="1"/>
  <c r="CB8" i="1"/>
  <c r="CB9" i="1" s="1"/>
  <c r="CB18" i="1" a="1"/>
  <c r="CB18" i="1" s="1"/>
  <c r="BY37" i="1"/>
  <c r="BY23" i="1"/>
  <c r="BY32" i="1" s="1"/>
  <c r="BY33" i="1" s="1"/>
  <c r="BY34" i="1" s="1"/>
  <c r="BY36" i="1" s="1"/>
  <c r="BZ16" i="1"/>
  <c r="BV79" i="1"/>
  <c r="BV89" i="1" s="1"/>
  <c r="BW64" i="1"/>
  <c r="CC7" i="1"/>
  <c r="CC8" i="1" s="1"/>
  <c r="CD5" i="1"/>
  <c r="CD209" i="1" s="1"/>
  <c r="CC11" i="1"/>
  <c r="CC12" i="1"/>
  <c r="CC15" i="1"/>
  <c r="CC17" i="1"/>
  <c r="CC27" i="1" a="1"/>
  <c r="CC27" i="1" s="1"/>
  <c r="CC28" i="1" a="1"/>
  <c r="CC28" i="1" s="1"/>
  <c r="CC56" i="1"/>
  <c r="CC52" i="1"/>
  <c r="CC51" i="1"/>
  <c r="CC154" i="1"/>
  <c r="CC201" i="1"/>
  <c r="CC207" i="1" s="1"/>
  <c r="CC206" i="1" l="1"/>
  <c r="CD90" i="1"/>
  <c r="BY63" i="1"/>
  <c r="BY58" i="1"/>
  <c r="BY81" i="1" s="1"/>
  <c r="CC126" i="1"/>
  <c r="CC127" i="1" s="1"/>
  <c r="CC134" i="1"/>
  <c r="CC135" i="1" s="1"/>
  <c r="BY59" i="1"/>
  <c r="BY60" i="1"/>
  <c r="BY61" i="1"/>
  <c r="BY62" i="1"/>
  <c r="CB82" i="1"/>
  <c r="CC158" i="1"/>
  <c r="CB13" i="1"/>
  <c r="CB208" i="1" s="1"/>
  <c r="BU110" i="1"/>
  <c r="CB26" i="1" a="1"/>
  <c r="CB26" i="1" s="1"/>
  <c r="CB30" i="1" s="1"/>
  <c r="CB31" i="1" s="1" a="1"/>
  <c r="CB31" i="1" s="1"/>
  <c r="CA20" i="1"/>
  <c r="CA40" i="1" s="1"/>
  <c r="BZ39" i="1"/>
  <c r="CC9" i="1"/>
  <c r="CF22" i="1"/>
  <c r="CF45" i="1" s="1"/>
  <c r="CE43" i="1"/>
  <c r="CE21" i="1"/>
  <c r="CD42" i="1"/>
  <c r="CD46" i="1"/>
  <c r="CD48" i="1"/>
  <c r="CD44" i="1"/>
  <c r="CD49" i="1"/>
  <c r="BW79" i="1"/>
  <c r="BW89" i="1" s="1"/>
  <c r="CC18" i="1" a="1"/>
  <c r="CC18" i="1" s="1"/>
  <c r="BZ37" i="1"/>
  <c r="BZ23" i="1"/>
  <c r="BZ32" i="1" s="1"/>
  <c r="BZ33" i="1" s="1"/>
  <c r="BZ34" i="1" s="1"/>
  <c r="BZ36" i="1" s="1"/>
  <c r="CA16" i="1"/>
  <c r="CD7" i="1"/>
  <c r="CD8" i="1" s="1"/>
  <c r="CE5" i="1"/>
  <c r="CD12" i="1"/>
  <c r="CD11" i="1"/>
  <c r="CD17" i="1"/>
  <c r="CD15" i="1"/>
  <c r="CD27" i="1" a="1"/>
  <c r="CD27" i="1" s="1"/>
  <c r="CD28" i="1" a="1"/>
  <c r="CD28" i="1" s="1"/>
  <c r="CD51" i="1"/>
  <c r="CD52" i="1"/>
  <c r="CD56" i="1"/>
  <c r="CD154" i="1"/>
  <c r="CD201" i="1"/>
  <c r="CD207" i="1" s="1"/>
  <c r="BX64" i="1"/>
  <c r="CD206" i="1" l="1"/>
  <c r="CE90" i="1"/>
  <c r="CE209" i="1"/>
  <c r="BZ63" i="1"/>
  <c r="BZ58" i="1"/>
  <c r="BZ81" i="1" s="1"/>
  <c r="BZ60" i="1"/>
  <c r="BZ61" i="1"/>
  <c r="BZ59" i="1"/>
  <c r="BZ62" i="1"/>
  <c r="CC82" i="1"/>
  <c r="CD126" i="1"/>
  <c r="CD127" i="1" s="1"/>
  <c r="CD134" i="1"/>
  <c r="CD135" i="1" s="1"/>
  <c r="CD158" i="1"/>
  <c r="CC13" i="1"/>
  <c r="CC208" i="1" s="1"/>
  <c r="BV110" i="1"/>
  <c r="CC26" i="1" a="1"/>
  <c r="CC26" i="1" s="1"/>
  <c r="CC30" i="1" s="1"/>
  <c r="CC31" i="1" s="1" a="1"/>
  <c r="CC31" i="1" s="1"/>
  <c r="CD9" i="1"/>
  <c r="CA39" i="1"/>
  <c r="CB20" i="1"/>
  <c r="CB40" i="1" s="1"/>
  <c r="CF21" i="1"/>
  <c r="CE42" i="1"/>
  <c r="CE44" i="1"/>
  <c r="CE48" i="1"/>
  <c r="CE46" i="1"/>
  <c r="CE49" i="1"/>
  <c r="CG22" i="1"/>
  <c r="CG45" i="1" s="1"/>
  <c r="CF43" i="1"/>
  <c r="CA37" i="1"/>
  <c r="CA23" i="1"/>
  <c r="CA32" i="1" s="1"/>
  <c r="CA33" i="1" s="1"/>
  <c r="CA34" i="1" s="1"/>
  <c r="CA36" i="1" s="1"/>
  <c r="CB16" i="1"/>
  <c r="CE7" i="1"/>
  <c r="CE8" i="1" s="1"/>
  <c r="CE9" i="1" s="1"/>
  <c r="CF5" i="1"/>
  <c r="CE12" i="1"/>
  <c r="CE15" i="1"/>
  <c r="CD82" i="1" s="1"/>
  <c r="CE11" i="1"/>
  <c r="CE17" i="1"/>
  <c r="CE27" i="1" a="1"/>
  <c r="CE27" i="1" s="1"/>
  <c r="CE28" i="1" a="1"/>
  <c r="CE28" i="1" s="1"/>
  <c r="CE51" i="1"/>
  <c r="CE52" i="1"/>
  <c r="CE56" i="1"/>
  <c r="CE154" i="1"/>
  <c r="CE201" i="1"/>
  <c r="CE207" i="1" s="1"/>
  <c r="BY64" i="1"/>
  <c r="BX79" i="1"/>
  <c r="BX89" i="1" s="1"/>
  <c r="CD18" i="1" a="1"/>
  <c r="CD18" i="1" s="1"/>
  <c r="CE206" i="1" l="1"/>
  <c r="CF90" i="1"/>
  <c r="CF209" i="1"/>
  <c r="CA58" i="1"/>
  <c r="CA81" i="1" s="1"/>
  <c r="CA63" i="1"/>
  <c r="CA60" i="1"/>
  <c r="CA61" i="1"/>
  <c r="CA59" i="1"/>
  <c r="CA62" i="1"/>
  <c r="CE126" i="1"/>
  <c r="CE127" i="1" s="1"/>
  <c r="CE134" i="1"/>
  <c r="CE135" i="1" s="1"/>
  <c r="CE158" i="1"/>
  <c r="CD13" i="1"/>
  <c r="CD208" i="1" s="1"/>
  <c r="BW110" i="1"/>
  <c r="CE26" i="1" a="1"/>
  <c r="CE26" i="1" s="1"/>
  <c r="CE30" i="1" s="1"/>
  <c r="CE31" i="1" s="1" a="1"/>
  <c r="CE31" i="1" s="1"/>
  <c r="CD26" i="1" a="1"/>
  <c r="CD26" i="1" s="1"/>
  <c r="CD30" i="1" s="1"/>
  <c r="CD31" i="1" s="1" a="1"/>
  <c r="CD31" i="1" s="1"/>
  <c r="CC20" i="1"/>
  <c r="CC40" i="1" s="1"/>
  <c r="CB39" i="1"/>
  <c r="CH22" i="1"/>
  <c r="CH45" i="1" s="1"/>
  <c r="CG43" i="1"/>
  <c r="CG21" i="1"/>
  <c r="CF42" i="1"/>
  <c r="CF44" i="1"/>
  <c r="CF48" i="1"/>
  <c r="CF46" i="1"/>
  <c r="CF49" i="1"/>
  <c r="CB37" i="1"/>
  <c r="CB23" i="1"/>
  <c r="CB32" i="1" s="1"/>
  <c r="CB33" i="1" s="1"/>
  <c r="CB34" i="1" s="1"/>
  <c r="CB36" i="1" s="1"/>
  <c r="CC16" i="1"/>
  <c r="BY79" i="1"/>
  <c r="BY89" i="1" s="1"/>
  <c r="CF11" i="1"/>
  <c r="CF7" i="1"/>
  <c r="CF8" i="1" s="1"/>
  <c r="CF9" i="1" s="1"/>
  <c r="CG5" i="1"/>
  <c r="CF12" i="1"/>
  <c r="CF15" i="1"/>
  <c r="CE82" i="1" s="1"/>
  <c r="CF17" i="1"/>
  <c r="CF28" i="1" a="1"/>
  <c r="CF28" i="1" s="1"/>
  <c r="CF27" i="1" a="1"/>
  <c r="CF27" i="1" s="1"/>
  <c r="CF52" i="1"/>
  <c r="CF56" i="1"/>
  <c r="CF51" i="1"/>
  <c r="CF154" i="1"/>
  <c r="CF201" i="1"/>
  <c r="CF207" i="1" s="1"/>
  <c r="BZ64" i="1"/>
  <c r="CE18" i="1" a="1"/>
  <c r="CE18" i="1" s="1"/>
  <c r="CF206" i="1" l="1"/>
  <c r="CG90" i="1"/>
  <c r="CG209" i="1"/>
  <c r="CB58" i="1"/>
  <c r="CB81" i="1" s="1"/>
  <c r="CB63" i="1"/>
  <c r="CF126" i="1"/>
  <c r="CF127" i="1" s="1"/>
  <c r="CF134" i="1"/>
  <c r="CF135" i="1" s="1"/>
  <c r="CB59" i="1"/>
  <c r="CB61" i="1"/>
  <c r="CB60" i="1"/>
  <c r="CB62" i="1"/>
  <c r="CF158" i="1"/>
  <c r="CE13" i="1"/>
  <c r="CE208" i="1" s="1"/>
  <c r="BX110" i="1"/>
  <c r="CF26" i="1" a="1"/>
  <c r="CF26" i="1" s="1"/>
  <c r="CF30" i="1" s="1"/>
  <c r="CF31" i="1" s="1" a="1"/>
  <c r="CF31" i="1" s="1"/>
  <c r="CD20" i="1"/>
  <c r="CD40" i="1" s="1"/>
  <c r="CC39" i="1"/>
  <c r="CI22" i="1"/>
  <c r="CI45" i="1" s="1"/>
  <c r="CH43" i="1"/>
  <c r="CH21" i="1"/>
  <c r="CG42" i="1"/>
  <c r="CG44" i="1"/>
  <c r="CG48" i="1"/>
  <c r="CG46" i="1"/>
  <c r="CG49" i="1"/>
  <c r="BZ79" i="1"/>
  <c r="BZ89" i="1" s="1"/>
  <c r="CF18" i="1" a="1"/>
  <c r="CF18" i="1" s="1"/>
  <c r="CC37" i="1"/>
  <c r="CC23" i="1"/>
  <c r="CC32" i="1" s="1"/>
  <c r="CC33" i="1" s="1"/>
  <c r="CC34" i="1" s="1"/>
  <c r="CC36" i="1" s="1"/>
  <c r="CD16" i="1"/>
  <c r="CH5" i="1"/>
  <c r="CG7" i="1"/>
  <c r="CG8" i="1" s="1"/>
  <c r="CG9" i="1" s="1"/>
  <c r="CG11" i="1"/>
  <c r="CG12" i="1"/>
  <c r="CG15" i="1"/>
  <c r="CF82" i="1" s="1"/>
  <c r="CG17" i="1"/>
  <c r="CG27" i="1" a="1"/>
  <c r="CG27" i="1" s="1"/>
  <c r="CG28" i="1" a="1"/>
  <c r="CG28" i="1" s="1"/>
  <c r="CG56" i="1"/>
  <c r="CG52" i="1"/>
  <c r="CG51" i="1"/>
  <c r="CG154" i="1"/>
  <c r="CG201" i="1"/>
  <c r="CG207" i="1" s="1"/>
  <c r="CA64" i="1"/>
  <c r="CG206" i="1" l="1"/>
  <c r="CH90" i="1"/>
  <c r="CH209" i="1"/>
  <c r="CC63" i="1"/>
  <c r="CC58" i="1"/>
  <c r="CC81" i="1" s="1"/>
  <c r="CC61" i="1"/>
  <c r="CC59" i="1"/>
  <c r="CC60" i="1"/>
  <c r="CC62" i="1"/>
  <c r="CG134" i="1"/>
  <c r="CG135" i="1" s="1"/>
  <c r="CG126" i="1"/>
  <c r="CG127" i="1" s="1"/>
  <c r="CG158" i="1"/>
  <c r="CF13" i="1"/>
  <c r="CF208" i="1" s="1"/>
  <c r="BY110" i="1"/>
  <c r="CG26" i="1" a="1"/>
  <c r="CG26" i="1" s="1"/>
  <c r="CG30" i="1" s="1"/>
  <c r="CG31" i="1" s="1" a="1"/>
  <c r="CG31" i="1" s="1"/>
  <c r="CE20" i="1"/>
  <c r="CE40" i="1" s="1"/>
  <c r="CD39" i="1"/>
  <c r="CI21" i="1"/>
  <c r="CH42" i="1"/>
  <c r="CH44" i="1"/>
  <c r="CH48" i="1"/>
  <c r="CH46" i="1"/>
  <c r="CH49" i="1"/>
  <c r="CJ22" i="1"/>
  <c r="CJ45" i="1" s="1"/>
  <c r="CI43" i="1"/>
  <c r="CG18" i="1" a="1"/>
  <c r="CG18" i="1" s="1"/>
  <c r="CB64" i="1"/>
  <c r="CA79" i="1"/>
  <c r="CA89" i="1" s="1"/>
  <c r="CI5" i="1"/>
  <c r="CH11" i="1"/>
  <c r="CH15" i="1"/>
  <c r="CH12" i="1"/>
  <c r="CH7" i="1"/>
  <c r="CH8" i="1" s="1"/>
  <c r="CH9" i="1" s="1"/>
  <c r="CH17" i="1"/>
  <c r="CH27" i="1" a="1"/>
  <c r="CH27" i="1" s="1"/>
  <c r="CH28" i="1" a="1"/>
  <c r="CH28" i="1" s="1"/>
  <c r="CH51" i="1"/>
  <c r="CH52" i="1"/>
  <c r="CH56" i="1"/>
  <c r="CH154" i="1"/>
  <c r="CH201" i="1"/>
  <c r="CH207" i="1" s="1"/>
  <c r="CD37" i="1"/>
  <c r="CD23" i="1"/>
  <c r="CD32" i="1" s="1"/>
  <c r="CD33" i="1" s="1"/>
  <c r="CD34" i="1" s="1"/>
  <c r="CD36" i="1" s="1"/>
  <c r="CE16" i="1"/>
  <c r="CH206" i="1" l="1"/>
  <c r="CI90" i="1"/>
  <c r="CI209" i="1"/>
  <c r="CH126" i="1"/>
  <c r="CH127" i="1" s="1"/>
  <c r="CH134" i="1"/>
  <c r="CH135" i="1" s="1"/>
  <c r="CD63" i="1"/>
  <c r="CD58" i="1"/>
  <c r="CD81" i="1" s="1"/>
  <c r="CD59" i="1"/>
  <c r="CD60" i="1"/>
  <c r="CD61" i="1"/>
  <c r="CD62" i="1"/>
  <c r="CG82" i="1"/>
  <c r="CH158" i="1"/>
  <c r="CG13" i="1"/>
  <c r="CG208" i="1" s="1"/>
  <c r="BZ110" i="1"/>
  <c r="CH26" i="1" a="1"/>
  <c r="CH26" i="1" s="1"/>
  <c r="CH30" i="1" s="1"/>
  <c r="CH31" i="1" s="1" a="1"/>
  <c r="CH31" i="1" s="1"/>
  <c r="CF20" i="1"/>
  <c r="CF40" i="1" s="1"/>
  <c r="CE39" i="1"/>
  <c r="CK22" i="1"/>
  <c r="CK45" i="1" s="1"/>
  <c r="CJ43" i="1"/>
  <c r="CJ21" i="1"/>
  <c r="CI44" i="1"/>
  <c r="CI42" i="1"/>
  <c r="CI46" i="1"/>
  <c r="CI48" i="1"/>
  <c r="CI49" i="1"/>
  <c r="CE37" i="1"/>
  <c r="CE23" i="1"/>
  <c r="CE32" i="1" s="1"/>
  <c r="CE33" i="1" s="1"/>
  <c r="CE34" i="1" s="1"/>
  <c r="CE36" i="1" s="1"/>
  <c r="CF16" i="1"/>
  <c r="CH18" i="1" a="1"/>
  <c r="CH18" i="1" s="1"/>
  <c r="CC64" i="1"/>
  <c r="CI7" i="1"/>
  <c r="CI8" i="1" s="1"/>
  <c r="CI9" i="1" s="1"/>
  <c r="CJ5" i="1"/>
  <c r="CJ209" i="1" s="1"/>
  <c r="CI11" i="1"/>
  <c r="CI12" i="1"/>
  <c r="CI15" i="1"/>
  <c r="CI17" i="1"/>
  <c r="CI27" i="1" a="1"/>
  <c r="CI27" i="1" s="1"/>
  <c r="CI28" i="1" a="1"/>
  <c r="CI28" i="1" s="1"/>
  <c r="CI52" i="1"/>
  <c r="CI56" i="1"/>
  <c r="CI51" i="1"/>
  <c r="CI154" i="1"/>
  <c r="CI201" i="1"/>
  <c r="CI207" i="1" s="1"/>
  <c r="CB79" i="1"/>
  <c r="CB89" i="1" s="1"/>
  <c r="CI206" i="1" l="1"/>
  <c r="CJ90" i="1"/>
  <c r="CE63" i="1"/>
  <c r="CE58" i="1"/>
  <c r="CE81" i="1" s="1"/>
  <c r="CE59" i="1"/>
  <c r="CE60" i="1"/>
  <c r="CE61" i="1"/>
  <c r="CE62" i="1"/>
  <c r="CI134" i="1"/>
  <c r="CI135" i="1" s="1"/>
  <c r="CI126" i="1"/>
  <c r="CI127" i="1" s="1"/>
  <c r="CH82" i="1"/>
  <c r="CI158" i="1"/>
  <c r="CH13" i="1"/>
  <c r="CH208" i="1" s="1"/>
  <c r="CA110" i="1"/>
  <c r="CI26" i="1" a="1"/>
  <c r="CI26" i="1" s="1"/>
  <c r="CI30" i="1" s="1"/>
  <c r="CI31" i="1" s="1" a="1"/>
  <c r="CI31" i="1" s="1"/>
  <c r="CF39" i="1"/>
  <c r="CG20" i="1"/>
  <c r="CG40" i="1" s="1"/>
  <c r="CK21" i="1"/>
  <c r="CJ44" i="1"/>
  <c r="CJ42" i="1"/>
  <c r="CJ49" i="1"/>
  <c r="CJ46" i="1"/>
  <c r="CJ48" i="1"/>
  <c r="CL22" i="1"/>
  <c r="CL45" i="1" s="1"/>
  <c r="CK43" i="1"/>
  <c r="CJ7" i="1"/>
  <c r="CJ8" i="1" s="1"/>
  <c r="CJ9" i="1" s="1"/>
  <c r="CK5" i="1"/>
  <c r="CK209" i="1" s="1"/>
  <c r="CJ11" i="1"/>
  <c r="CJ15" i="1"/>
  <c r="CJ12" i="1"/>
  <c r="CJ17" i="1"/>
  <c r="CJ27" i="1" a="1"/>
  <c r="CJ27" i="1" s="1"/>
  <c r="CJ28" i="1" a="1"/>
  <c r="CJ28" i="1" s="1"/>
  <c r="CJ52" i="1"/>
  <c r="CJ56" i="1"/>
  <c r="CJ51" i="1"/>
  <c r="CJ154" i="1"/>
  <c r="CJ201" i="1"/>
  <c r="CJ207" i="1" s="1"/>
  <c r="CF37" i="1"/>
  <c r="CF23" i="1"/>
  <c r="CF32" i="1" s="1"/>
  <c r="CF33" i="1" s="1"/>
  <c r="CF34" i="1" s="1"/>
  <c r="CF36" i="1" s="1"/>
  <c r="CG16" i="1"/>
  <c r="CC79" i="1"/>
  <c r="CC89" i="1" s="1"/>
  <c r="CI18" i="1" a="1"/>
  <c r="CI18" i="1" s="1"/>
  <c r="CD64" i="1"/>
  <c r="CJ206" i="1" l="1"/>
  <c r="CK90" i="1"/>
  <c r="CF60" i="1"/>
  <c r="CF59" i="1"/>
  <c r="CF61" i="1"/>
  <c r="CF62" i="1"/>
  <c r="CF58" i="1"/>
  <c r="CF81" i="1" s="1"/>
  <c r="CF63" i="1"/>
  <c r="CJ126" i="1"/>
  <c r="CJ127" i="1" s="1"/>
  <c r="CJ134" i="1"/>
  <c r="CJ135" i="1" s="1"/>
  <c r="CI82" i="1"/>
  <c r="CJ158" i="1"/>
  <c r="CI13" i="1"/>
  <c r="CI208" i="1" s="1"/>
  <c r="CB110" i="1"/>
  <c r="CJ26" i="1" a="1"/>
  <c r="CJ26" i="1" s="1"/>
  <c r="CJ30" i="1" s="1"/>
  <c r="CJ31" i="1" s="1" a="1"/>
  <c r="CJ31" i="1" s="1"/>
  <c r="CH20" i="1"/>
  <c r="CH40" i="1" s="1"/>
  <c r="CG39" i="1"/>
  <c r="CM22" i="1"/>
  <c r="CM45" i="1" s="1"/>
  <c r="CL43" i="1"/>
  <c r="CL21" i="1"/>
  <c r="CK42" i="1"/>
  <c r="CK44" i="1"/>
  <c r="CK49" i="1"/>
  <c r="CK46" i="1"/>
  <c r="CK48" i="1"/>
  <c r="CJ18" i="1" a="1"/>
  <c r="CJ18" i="1" s="1"/>
  <c r="CG37" i="1"/>
  <c r="CG23" i="1"/>
  <c r="CG32" i="1" s="1"/>
  <c r="CG33" i="1" s="1"/>
  <c r="CG34" i="1" s="1"/>
  <c r="CG36" i="1" s="1"/>
  <c r="CH16" i="1"/>
  <c r="CE64" i="1"/>
  <c r="CK7" i="1"/>
  <c r="CK8" i="1" s="1"/>
  <c r="CK9" i="1" s="1"/>
  <c r="CL5" i="1"/>
  <c r="CK11" i="1"/>
  <c r="CK15" i="1"/>
  <c r="CJ82" i="1" s="1"/>
  <c r="CK12" i="1"/>
  <c r="CK17" i="1"/>
  <c r="CK27" i="1" a="1"/>
  <c r="CK27" i="1" s="1"/>
  <c r="CK56" i="1"/>
  <c r="CK28" i="1" a="1"/>
  <c r="CK28" i="1" s="1"/>
  <c r="CK51" i="1"/>
  <c r="CK52" i="1"/>
  <c r="CK154" i="1"/>
  <c r="CK201" i="1"/>
  <c r="CK207" i="1" s="1"/>
  <c r="CD79" i="1"/>
  <c r="CD89" i="1" s="1"/>
  <c r="CK206" i="1" l="1"/>
  <c r="CL90" i="1"/>
  <c r="CL209" i="1"/>
  <c r="CG63" i="1"/>
  <c r="CG58" i="1"/>
  <c r="CG81" i="1" s="1"/>
  <c r="CG59" i="1"/>
  <c r="CG60" i="1"/>
  <c r="CG61" i="1"/>
  <c r="CG62" i="1"/>
  <c r="CK126" i="1"/>
  <c r="CK127" i="1" s="1"/>
  <c r="CK134" i="1"/>
  <c r="CK135" i="1" s="1"/>
  <c r="CK158" i="1"/>
  <c r="CJ13" i="1"/>
  <c r="CJ208" i="1" s="1"/>
  <c r="CC110" i="1"/>
  <c r="CK26" i="1" a="1"/>
  <c r="CK26" i="1" s="1"/>
  <c r="CK30" i="1" s="1"/>
  <c r="CK31" i="1" s="1" a="1"/>
  <c r="CK31" i="1" s="1"/>
  <c r="CI20" i="1"/>
  <c r="CI40" i="1" s="1"/>
  <c r="CH39" i="1"/>
  <c r="CM21" i="1"/>
  <c r="CL42" i="1"/>
  <c r="CL46" i="1"/>
  <c r="CL44" i="1"/>
  <c r="CL49" i="1"/>
  <c r="CL48" i="1"/>
  <c r="CN22" i="1"/>
  <c r="CN45" i="1" s="1"/>
  <c r="CM43" i="1"/>
  <c r="CK18" i="1" a="1"/>
  <c r="CK18" i="1" s="1"/>
  <c r="CE79" i="1"/>
  <c r="CE89" i="1" s="1"/>
  <c r="CH37" i="1"/>
  <c r="CH23" i="1"/>
  <c r="CH32" i="1" s="1"/>
  <c r="CH33" i="1" s="1"/>
  <c r="CH34" i="1" s="1"/>
  <c r="CH36" i="1" s="1"/>
  <c r="CI16" i="1"/>
  <c r="CF64" i="1"/>
  <c r="CL7" i="1"/>
  <c r="CL8" i="1" s="1"/>
  <c r="CL9" i="1" s="1"/>
  <c r="CM5" i="1"/>
  <c r="CL11" i="1"/>
  <c r="CL12" i="1"/>
  <c r="CL17" i="1"/>
  <c r="CL15" i="1"/>
  <c r="CL27" i="1" a="1"/>
  <c r="CL27" i="1" s="1"/>
  <c r="CL28" i="1" a="1"/>
  <c r="CL28" i="1" s="1"/>
  <c r="CL51" i="1"/>
  <c r="CL52" i="1"/>
  <c r="CL56" i="1"/>
  <c r="CL154" i="1"/>
  <c r="CL201" i="1"/>
  <c r="CL207" i="1" s="1"/>
  <c r="CL206" i="1" l="1"/>
  <c r="CM90" i="1"/>
  <c r="CM209" i="1"/>
  <c r="CH58" i="1"/>
  <c r="CH81" i="1" s="1"/>
  <c r="CH63" i="1"/>
  <c r="CH60" i="1"/>
  <c r="CH61" i="1"/>
  <c r="CH59" i="1"/>
  <c r="CH62" i="1"/>
  <c r="CK82" i="1"/>
  <c r="CL126" i="1"/>
  <c r="CL127" i="1" s="1"/>
  <c r="CL134" i="1"/>
  <c r="CL135" i="1" s="1"/>
  <c r="CL158" i="1"/>
  <c r="CK13" i="1"/>
  <c r="CK208" i="1" s="1"/>
  <c r="CD110" i="1"/>
  <c r="CL26" i="1" a="1"/>
  <c r="CL26" i="1" s="1"/>
  <c r="CL30" i="1" s="1"/>
  <c r="CL31" i="1" s="1" a="1"/>
  <c r="CL31" i="1" s="1"/>
  <c r="CI39" i="1"/>
  <c r="CJ20" i="1"/>
  <c r="CJ40" i="1" s="1"/>
  <c r="CO22" i="1"/>
  <c r="CO45" i="1" s="1"/>
  <c r="CN43" i="1"/>
  <c r="CN21" i="1"/>
  <c r="CM46" i="1"/>
  <c r="CM42" i="1"/>
  <c r="CM44" i="1"/>
  <c r="CM48" i="1"/>
  <c r="CM49" i="1"/>
  <c r="CL18" i="1" a="1"/>
  <c r="CL18" i="1" s="1"/>
  <c r="CF79" i="1"/>
  <c r="CF89" i="1" s="1"/>
  <c r="CI37" i="1"/>
  <c r="CI23" i="1"/>
  <c r="CI32" i="1" s="1"/>
  <c r="CI33" i="1" s="1"/>
  <c r="CI34" i="1" s="1"/>
  <c r="CI36" i="1" s="1"/>
  <c r="CJ16" i="1"/>
  <c r="CM7" i="1"/>
  <c r="CM8" i="1" s="1"/>
  <c r="CM9" i="1" s="1"/>
  <c r="CN5" i="1"/>
  <c r="CM11" i="1"/>
  <c r="CM12" i="1"/>
  <c r="CM15" i="1"/>
  <c r="CM17" i="1"/>
  <c r="CM27" i="1" a="1"/>
  <c r="CM27" i="1" s="1"/>
  <c r="CM28" i="1" a="1"/>
  <c r="CM28" i="1" s="1"/>
  <c r="CM51" i="1"/>
  <c r="CM52" i="1"/>
  <c r="CM56" i="1"/>
  <c r="CM154" i="1"/>
  <c r="CM201" i="1"/>
  <c r="CM207" i="1" s="1"/>
  <c r="CG64" i="1"/>
  <c r="CM206" i="1" l="1"/>
  <c r="CN90" i="1"/>
  <c r="CN209" i="1"/>
  <c r="CI63" i="1"/>
  <c r="CI58" i="1"/>
  <c r="CI81" i="1" s="1"/>
  <c r="CI60" i="1"/>
  <c r="CI61" i="1"/>
  <c r="CI59" i="1"/>
  <c r="CI62" i="1"/>
  <c r="CL82" i="1"/>
  <c r="CM126" i="1"/>
  <c r="CM127" i="1" s="1"/>
  <c r="CM134" i="1"/>
  <c r="CM135" i="1"/>
  <c r="CM158" i="1"/>
  <c r="CL13" i="1"/>
  <c r="CL208" i="1" s="1"/>
  <c r="CE110" i="1"/>
  <c r="CM26" i="1" a="1"/>
  <c r="CM26" i="1" s="1"/>
  <c r="CM30" i="1" s="1"/>
  <c r="CM31" i="1" s="1" a="1"/>
  <c r="CM31" i="1" s="1"/>
  <c r="CJ39" i="1"/>
  <c r="CK20" i="1"/>
  <c r="CK40" i="1" s="1"/>
  <c r="CO21" i="1"/>
  <c r="CN42" i="1"/>
  <c r="CN48" i="1"/>
  <c r="CN46" i="1"/>
  <c r="CN44" i="1"/>
  <c r="CN49" i="1"/>
  <c r="CP22" i="1"/>
  <c r="CP45" i="1" s="1"/>
  <c r="CO43" i="1"/>
  <c r="CN7" i="1"/>
  <c r="CN8" i="1" s="1"/>
  <c r="CN9" i="1" s="1"/>
  <c r="CO5" i="1"/>
  <c r="CO209" i="1" s="1"/>
  <c r="CN12" i="1"/>
  <c r="CN11" i="1"/>
  <c r="CN15" i="1"/>
  <c r="CM82" i="1" s="1"/>
  <c r="CN17" i="1"/>
  <c r="CN28" i="1" a="1"/>
  <c r="CN28" i="1" s="1"/>
  <c r="CN27" i="1" a="1"/>
  <c r="CN27" i="1" s="1"/>
  <c r="CN52" i="1"/>
  <c r="CN56" i="1"/>
  <c r="CN51" i="1"/>
  <c r="CN154" i="1"/>
  <c r="CN201" i="1"/>
  <c r="CN207" i="1" s="1"/>
  <c r="CJ37" i="1"/>
  <c r="CJ23" i="1"/>
  <c r="CJ32" i="1" s="1"/>
  <c r="CJ33" i="1" s="1"/>
  <c r="CJ34" i="1" s="1"/>
  <c r="CJ36" i="1" s="1"/>
  <c r="CK16" i="1"/>
  <c r="CM18" i="1" a="1"/>
  <c r="CM18" i="1" s="1"/>
  <c r="CG79" i="1"/>
  <c r="CG89" i="1" s="1"/>
  <c r="CH64" i="1"/>
  <c r="CN206" i="1" l="1"/>
  <c r="CO90" i="1"/>
  <c r="CN126" i="1"/>
  <c r="CN127" i="1" s="1"/>
  <c r="CN134" i="1"/>
  <c r="CN135" i="1" s="1"/>
  <c r="CJ61" i="1"/>
  <c r="CJ59" i="1"/>
  <c r="CJ60" i="1"/>
  <c r="CJ62" i="1"/>
  <c r="CJ63" i="1"/>
  <c r="CJ58" i="1"/>
  <c r="CJ81" i="1" s="1"/>
  <c r="CN158" i="1"/>
  <c r="CM13" i="1"/>
  <c r="CM208" i="1" s="1"/>
  <c r="CF110" i="1"/>
  <c r="CN26" i="1" a="1"/>
  <c r="CN26" i="1" s="1"/>
  <c r="CN30" i="1" s="1"/>
  <c r="CN31" i="1" s="1" a="1"/>
  <c r="CN31" i="1" s="1"/>
  <c r="CL20" i="1"/>
  <c r="CL40" i="1" s="1"/>
  <c r="CK39" i="1"/>
  <c r="CQ22" i="1"/>
  <c r="CQ45" i="1" s="1"/>
  <c r="CP43" i="1"/>
  <c r="CP21" i="1"/>
  <c r="CO42" i="1"/>
  <c r="CO44" i="1"/>
  <c r="CO48" i="1"/>
  <c r="CO46" i="1"/>
  <c r="CO49" i="1"/>
  <c r="CN18" i="1" a="1"/>
  <c r="CN18" i="1" s="1"/>
  <c r="CK37" i="1"/>
  <c r="CK23" i="1"/>
  <c r="CK32" i="1" s="1"/>
  <c r="CK33" i="1" s="1"/>
  <c r="CK34" i="1" s="1"/>
  <c r="CK36" i="1" s="1"/>
  <c r="CL16" i="1"/>
  <c r="CP5" i="1"/>
  <c r="CO7" i="1"/>
  <c r="CO8" i="1" s="1"/>
  <c r="CO9" i="1" s="1"/>
  <c r="CO11" i="1"/>
  <c r="CO12" i="1"/>
  <c r="CO15" i="1"/>
  <c r="CO17" i="1"/>
  <c r="CO27" i="1" a="1"/>
  <c r="CO27" i="1" s="1"/>
  <c r="CO28" i="1" a="1"/>
  <c r="CO28" i="1" s="1"/>
  <c r="CO56" i="1"/>
  <c r="CO52" i="1"/>
  <c r="CO51" i="1"/>
  <c r="CO154" i="1"/>
  <c r="CO201" i="1"/>
  <c r="CO207" i="1" s="1"/>
  <c r="CI64" i="1"/>
  <c r="CH79" i="1"/>
  <c r="CH89" i="1" s="1"/>
  <c r="CO206" i="1" l="1"/>
  <c r="CP90" i="1"/>
  <c r="CP209" i="1"/>
  <c r="CO134" i="1"/>
  <c r="CO135" i="1" s="1"/>
  <c r="CO126" i="1"/>
  <c r="CO127" i="1" s="1"/>
  <c r="CK63" i="1"/>
  <c r="CK58" i="1"/>
  <c r="CK81" i="1" s="1"/>
  <c r="CK61" i="1"/>
  <c r="CK59" i="1"/>
  <c r="CK60" i="1"/>
  <c r="CK62" i="1"/>
  <c r="CN82" i="1"/>
  <c r="CO158" i="1"/>
  <c r="CN13" i="1"/>
  <c r="CN208" i="1" s="1"/>
  <c r="CG110" i="1"/>
  <c r="CO26" i="1" a="1"/>
  <c r="CO26" i="1" s="1"/>
  <c r="CO30" i="1" s="1"/>
  <c r="CO31" i="1" s="1" a="1"/>
  <c r="CO31" i="1" s="1"/>
  <c r="CL39" i="1"/>
  <c r="CM20" i="1"/>
  <c r="CM40" i="1" s="1"/>
  <c r="CQ21" i="1"/>
  <c r="CP48" i="1"/>
  <c r="CP46" i="1"/>
  <c r="CP42" i="1"/>
  <c r="CP44" i="1"/>
  <c r="CP49" i="1"/>
  <c r="CR22" i="1"/>
  <c r="CR45" i="1" s="1"/>
  <c r="CQ43" i="1"/>
  <c r="CL37" i="1"/>
  <c r="CL23" i="1"/>
  <c r="CL32" i="1" s="1"/>
  <c r="CL33" i="1" s="1"/>
  <c r="CL34" i="1" s="1"/>
  <c r="CL36" i="1" s="1"/>
  <c r="CM16" i="1"/>
  <c r="CQ5" i="1"/>
  <c r="CP7" i="1"/>
  <c r="CP8" i="1" s="1"/>
  <c r="CP9" i="1" s="1"/>
  <c r="CP15" i="1"/>
  <c r="CO82" i="1" s="1"/>
  <c r="CP12" i="1"/>
  <c r="CP11" i="1"/>
  <c r="CP17" i="1"/>
  <c r="CP28" i="1" a="1"/>
  <c r="CP28" i="1" s="1"/>
  <c r="CP27" i="1" a="1"/>
  <c r="CP27" i="1" s="1"/>
  <c r="CP51" i="1"/>
  <c r="CP52" i="1"/>
  <c r="CP56" i="1"/>
  <c r="CP154" i="1"/>
  <c r="CP201" i="1"/>
  <c r="CP207" i="1" s="1"/>
  <c r="CJ64" i="1"/>
  <c r="CI79" i="1"/>
  <c r="CI89" i="1" s="1"/>
  <c r="CO18" i="1" a="1"/>
  <c r="CO18" i="1" s="1"/>
  <c r="CP206" i="1" l="1"/>
  <c r="CQ90" i="1"/>
  <c r="CQ209" i="1"/>
  <c r="CL59" i="1"/>
  <c r="CL60" i="1"/>
  <c r="CL61" i="1"/>
  <c r="CL62" i="1"/>
  <c r="CL63" i="1"/>
  <c r="CL58" i="1"/>
  <c r="CL81" i="1" s="1"/>
  <c r="CP126" i="1"/>
  <c r="CP127" i="1" s="1"/>
  <c r="CP134" i="1"/>
  <c r="CP135" i="1" s="1"/>
  <c r="CP158" i="1"/>
  <c r="CO13" i="1"/>
  <c r="CO208" i="1" s="1"/>
  <c r="CH110" i="1"/>
  <c r="CP26" i="1" a="1"/>
  <c r="CP26" i="1" s="1"/>
  <c r="CP30" i="1" s="1"/>
  <c r="CP31" i="1" s="1" a="1"/>
  <c r="CP31" i="1" s="1"/>
  <c r="CM39" i="1"/>
  <c r="CN20" i="1"/>
  <c r="CN40" i="1" s="1"/>
  <c r="CS22" i="1"/>
  <c r="CS45" i="1" s="1"/>
  <c r="CR43" i="1"/>
  <c r="CR21" i="1"/>
  <c r="CQ44" i="1"/>
  <c r="CQ48" i="1"/>
  <c r="CQ46" i="1"/>
  <c r="CQ42" i="1"/>
  <c r="CQ49" i="1"/>
  <c r="CM37" i="1"/>
  <c r="CM23" i="1"/>
  <c r="CM32" i="1" s="1"/>
  <c r="CM33" i="1" s="1"/>
  <c r="CM34" i="1" s="1"/>
  <c r="CM36" i="1" s="1"/>
  <c r="CN16" i="1"/>
  <c r="CQ7" i="1"/>
  <c r="CR5" i="1"/>
  <c r="CQ11" i="1"/>
  <c r="CQ12" i="1"/>
  <c r="CQ15" i="1"/>
  <c r="CP82" i="1" s="1"/>
  <c r="CQ17" i="1"/>
  <c r="CQ28" i="1" a="1"/>
  <c r="CQ28" i="1" s="1"/>
  <c r="CQ27" i="1" a="1"/>
  <c r="CQ27" i="1" s="1"/>
  <c r="CQ52" i="1"/>
  <c r="CQ56" i="1"/>
  <c r="CQ51" i="1"/>
  <c r="CQ154" i="1"/>
  <c r="CQ201" i="1"/>
  <c r="CQ207" i="1" s="1"/>
  <c r="CP18" i="1" a="1"/>
  <c r="CP18" i="1" s="1"/>
  <c r="CK64" i="1"/>
  <c r="CJ79" i="1"/>
  <c r="CJ89" i="1" s="1"/>
  <c r="CQ206" i="1" l="1"/>
  <c r="CR90" i="1"/>
  <c r="CR209" i="1"/>
  <c r="CQ134" i="1"/>
  <c r="CQ135" i="1" s="1"/>
  <c r="CQ126" i="1"/>
  <c r="CQ127" i="1" s="1"/>
  <c r="CM59" i="1"/>
  <c r="CM60" i="1"/>
  <c r="CM61" i="1"/>
  <c r="CM62" i="1"/>
  <c r="CM58" i="1"/>
  <c r="CM81" i="1" s="1"/>
  <c r="CM63" i="1"/>
  <c r="CQ158" i="1"/>
  <c r="CP13" i="1"/>
  <c r="CP208" i="1" s="1"/>
  <c r="CI110" i="1"/>
  <c r="CN39" i="1"/>
  <c r="CO20" i="1"/>
  <c r="CO40" i="1" s="1"/>
  <c r="CS21" i="1"/>
  <c r="CR44" i="1"/>
  <c r="CR42" i="1"/>
  <c r="CR49" i="1"/>
  <c r="CR48" i="1"/>
  <c r="CR46" i="1"/>
  <c r="CT22" i="1"/>
  <c r="CT45" i="1" s="1"/>
  <c r="CS43" i="1"/>
  <c r="CK79" i="1"/>
  <c r="CK89" i="1" s="1"/>
  <c r="CN37" i="1"/>
  <c r="CN23" i="1"/>
  <c r="CN32" i="1" s="1"/>
  <c r="CN33" i="1" s="1"/>
  <c r="CN34" i="1" s="1"/>
  <c r="CN36" i="1" s="1"/>
  <c r="CO16" i="1"/>
  <c r="CR7" i="1"/>
  <c r="CS5" i="1"/>
  <c r="CR12" i="1"/>
  <c r="CR15" i="1"/>
  <c r="CR11" i="1"/>
  <c r="CR17" i="1"/>
  <c r="CR28" i="1" a="1"/>
  <c r="CR28" i="1" s="1"/>
  <c r="CR27" i="1" a="1"/>
  <c r="CR27" i="1" s="1"/>
  <c r="CR52" i="1"/>
  <c r="CR56" i="1"/>
  <c r="CR51" i="1"/>
  <c r="CR154" i="1"/>
  <c r="CR201" i="1"/>
  <c r="CR207" i="1" s="1"/>
  <c r="CQ8" i="1"/>
  <c r="CQ9" i="1" s="1"/>
  <c r="CQ18" i="1" a="1"/>
  <c r="CQ18" i="1" s="1"/>
  <c r="CL64" i="1"/>
  <c r="CR206" i="1" l="1"/>
  <c r="CS90" i="1"/>
  <c r="CS209" i="1"/>
  <c r="CR126" i="1"/>
  <c r="CR127" i="1" s="1"/>
  <c r="CR134" i="1"/>
  <c r="CR135" i="1" s="1"/>
  <c r="CN63" i="1"/>
  <c r="CN58" i="1"/>
  <c r="CN81" i="1" s="1"/>
  <c r="CQ82" i="1"/>
  <c r="CN59" i="1"/>
  <c r="CN60" i="1"/>
  <c r="CN61" i="1"/>
  <c r="CN62" i="1"/>
  <c r="CR158" i="1"/>
  <c r="CQ13" i="1"/>
  <c r="CQ208" i="1" s="1"/>
  <c r="CJ110" i="1"/>
  <c r="CQ26" i="1" a="1"/>
  <c r="CQ26" i="1" s="1"/>
  <c r="CQ30" i="1" s="1"/>
  <c r="CQ31" i="1" s="1" a="1"/>
  <c r="CQ31" i="1" s="1"/>
  <c r="CO39" i="1"/>
  <c r="CP20" i="1"/>
  <c r="CP40" i="1" s="1"/>
  <c r="CU22" i="1"/>
  <c r="CU45" i="1" s="1"/>
  <c r="CT43" i="1"/>
  <c r="CT21" i="1"/>
  <c r="CS44" i="1"/>
  <c r="CS49" i="1"/>
  <c r="CS48" i="1"/>
  <c r="CS42" i="1"/>
  <c r="CS46" i="1"/>
  <c r="CS7" i="1"/>
  <c r="CS8" i="1" s="1"/>
  <c r="CT5" i="1"/>
  <c r="CS12" i="1"/>
  <c r="CS15" i="1"/>
  <c r="CS11" i="1"/>
  <c r="CS17" i="1"/>
  <c r="CS27" i="1" a="1"/>
  <c r="CS27" i="1" s="1"/>
  <c r="CS28" i="1" a="1"/>
  <c r="CS28" i="1" s="1"/>
  <c r="CS56" i="1"/>
  <c r="CS52" i="1"/>
  <c r="CS51" i="1"/>
  <c r="CS154" i="1"/>
  <c r="CS201" i="1"/>
  <c r="CS207" i="1" s="1"/>
  <c r="CR18" i="1" a="1"/>
  <c r="CR18" i="1" s="1"/>
  <c r="CO37" i="1"/>
  <c r="CO23" i="1"/>
  <c r="CO32" i="1" s="1"/>
  <c r="CO33" i="1" s="1"/>
  <c r="CO34" i="1" s="1"/>
  <c r="CO36" i="1" s="1"/>
  <c r="CP16" i="1"/>
  <c r="CR8" i="1"/>
  <c r="CR9" i="1" s="1"/>
  <c r="CM64" i="1"/>
  <c r="CL79" i="1"/>
  <c r="CL89" i="1" s="1"/>
  <c r="CS206" i="1" l="1"/>
  <c r="CT90" i="1"/>
  <c r="CT209" i="1"/>
  <c r="CS126" i="1"/>
  <c r="CS127" i="1" s="1"/>
  <c r="CS134" i="1"/>
  <c r="CS135" i="1" s="1"/>
  <c r="CR82" i="1"/>
  <c r="CO63" i="1"/>
  <c r="CO58" i="1"/>
  <c r="CO81" i="1" s="1"/>
  <c r="CO59" i="1"/>
  <c r="CO60" i="1"/>
  <c r="CO61" i="1"/>
  <c r="CO62" i="1"/>
  <c r="CS158" i="1"/>
  <c r="CR13" i="1"/>
  <c r="CR208" i="1" s="1"/>
  <c r="CK110" i="1"/>
  <c r="CR26" i="1" a="1"/>
  <c r="CR26" i="1" s="1"/>
  <c r="CR30" i="1" s="1"/>
  <c r="CR31" i="1" s="1" a="1"/>
  <c r="CR31" i="1" s="1"/>
  <c r="CP39" i="1"/>
  <c r="CQ20" i="1"/>
  <c r="CQ40" i="1" s="1"/>
  <c r="CU21" i="1"/>
  <c r="CT42" i="1"/>
  <c r="CT46" i="1"/>
  <c r="CT44" i="1"/>
  <c r="CT49" i="1"/>
  <c r="CT48" i="1"/>
  <c r="CV22" i="1"/>
  <c r="CV45" i="1" s="1"/>
  <c r="CU43" i="1"/>
  <c r="CM79" i="1"/>
  <c r="CM89" i="1" s="1"/>
  <c r="CP37" i="1"/>
  <c r="CP23" i="1"/>
  <c r="CP32" i="1" s="1"/>
  <c r="CP33" i="1" s="1"/>
  <c r="CP34" i="1" s="1"/>
  <c r="CP36" i="1" s="1"/>
  <c r="CQ16" i="1"/>
  <c r="CS9" i="1"/>
  <c r="CT7" i="1"/>
  <c r="CT8" i="1" s="1"/>
  <c r="CU5" i="1"/>
  <c r="CT11" i="1"/>
  <c r="CT12" i="1"/>
  <c r="CT17" i="1"/>
  <c r="CT15" i="1"/>
  <c r="CT27" i="1" a="1"/>
  <c r="CT27" i="1" s="1"/>
  <c r="CT28" i="1" a="1"/>
  <c r="CT28" i="1" s="1"/>
  <c r="CT51" i="1"/>
  <c r="CT52" i="1"/>
  <c r="CT56" i="1"/>
  <c r="CT154" i="1"/>
  <c r="CT201" i="1"/>
  <c r="CT207" i="1" s="1"/>
  <c r="CN64" i="1"/>
  <c r="CS18" i="1" a="1"/>
  <c r="CS18" i="1" s="1"/>
  <c r="CT206" i="1" l="1"/>
  <c r="CU90" i="1"/>
  <c r="CP58" i="1"/>
  <c r="CP81" i="1" s="1"/>
  <c r="CP63" i="1"/>
  <c r="CT126" i="1"/>
  <c r="CT127" i="1" s="1"/>
  <c r="CT134" i="1"/>
  <c r="CT135" i="1" s="1"/>
  <c r="CS82" i="1"/>
  <c r="CP61" i="1"/>
  <c r="CP60" i="1"/>
  <c r="CP59" i="1"/>
  <c r="CP62" i="1"/>
  <c r="CT158" i="1"/>
  <c r="CS13" i="1"/>
  <c r="CS208" i="1" s="1"/>
  <c r="CL110" i="1"/>
  <c r="CU53" i="1"/>
  <c r="CS26" i="1" a="1"/>
  <c r="CS26" i="1" s="1"/>
  <c r="CS30" i="1" s="1"/>
  <c r="CS31" i="1" s="1" a="1"/>
  <c r="CS31" i="1" s="1"/>
  <c r="CR20" i="1"/>
  <c r="CR40" i="1" s="1"/>
  <c r="CQ39" i="1"/>
  <c r="CT9" i="1"/>
  <c r="CW22" i="1"/>
  <c r="CW45" i="1" s="1"/>
  <c r="CV43" i="1"/>
  <c r="CV21" i="1"/>
  <c r="CU42" i="1"/>
  <c r="CU46" i="1"/>
  <c r="CU44" i="1"/>
  <c r="CU49" i="1"/>
  <c r="CU48" i="1"/>
  <c r="CT18" i="1" a="1"/>
  <c r="CT18" i="1" s="1"/>
  <c r="CN79" i="1"/>
  <c r="CN89" i="1" s="1"/>
  <c r="CU7" i="1"/>
  <c r="CV5" i="1"/>
  <c r="CU11" i="1"/>
  <c r="CU12" i="1"/>
  <c r="CU15" i="1"/>
  <c r="CU17" i="1"/>
  <c r="CU27" i="1" a="1"/>
  <c r="CU27" i="1" s="1"/>
  <c r="CU28" i="1" a="1"/>
  <c r="CU28" i="1" s="1"/>
  <c r="CU51" i="1"/>
  <c r="CU52" i="1"/>
  <c r="CU56" i="1"/>
  <c r="CU154" i="1"/>
  <c r="CU201" i="1"/>
  <c r="CU207" i="1" s="1"/>
  <c r="CQ37" i="1"/>
  <c r="CQ23" i="1"/>
  <c r="CQ32" i="1" s="1"/>
  <c r="CQ33" i="1" s="1"/>
  <c r="CQ34" i="1" s="1"/>
  <c r="CQ36" i="1" s="1"/>
  <c r="CR16" i="1"/>
  <c r="CO64" i="1"/>
  <c r="CV205" i="1" l="1"/>
  <c r="CV204" i="1"/>
  <c r="CV90" i="1"/>
  <c r="CV209" i="1"/>
  <c r="CQ63" i="1"/>
  <c r="CQ58" i="1"/>
  <c r="CQ81" i="1" s="1"/>
  <c r="CQ60" i="1"/>
  <c r="CQ61" i="1"/>
  <c r="CQ59" i="1"/>
  <c r="CQ62" i="1"/>
  <c r="CU126" i="1"/>
  <c r="CU127" i="1" s="1"/>
  <c r="CU134" i="1"/>
  <c r="CU135" i="1" s="1"/>
  <c r="CT82" i="1"/>
  <c r="CU158" i="1"/>
  <c r="CT13" i="1"/>
  <c r="CT208" i="1" s="1"/>
  <c r="CM110" i="1"/>
  <c r="CV53" i="1"/>
  <c r="CT26" i="1" a="1"/>
  <c r="CT26" i="1" s="1"/>
  <c r="CT30" i="1" s="1"/>
  <c r="CT31" i="1" s="1" a="1"/>
  <c r="CT31" i="1" s="1"/>
  <c r="CR39" i="1"/>
  <c r="CS20" i="1"/>
  <c r="CS40" i="1" s="1"/>
  <c r="CW21" i="1"/>
  <c r="CV42" i="1"/>
  <c r="CV48" i="1"/>
  <c r="CV46" i="1"/>
  <c r="CV44" i="1"/>
  <c r="CV49" i="1"/>
  <c r="CX22" i="1"/>
  <c r="CX45" i="1" s="1"/>
  <c r="CW43" i="1"/>
  <c r="CP64" i="1"/>
  <c r="CO79" i="1"/>
  <c r="CO89" i="1" s="1"/>
  <c r="CU18" i="1" a="1"/>
  <c r="CU18" i="1" s="1"/>
  <c r="CU67" i="1"/>
  <c r="CR37" i="1"/>
  <c r="CR23" i="1"/>
  <c r="CR32" i="1" s="1"/>
  <c r="CR33" i="1" s="1"/>
  <c r="CR34" i="1" s="1"/>
  <c r="CR36" i="1" s="1"/>
  <c r="CS16" i="1"/>
  <c r="CU8" i="1"/>
  <c r="CU9" i="1" s="1"/>
  <c r="CV7" i="1"/>
  <c r="CV8" i="1" s="1"/>
  <c r="CW5" i="1"/>
  <c r="CV12" i="1"/>
  <c r="CV15" i="1"/>
  <c r="CV11" i="1"/>
  <c r="CV17" i="1"/>
  <c r="CV28" i="1" a="1"/>
  <c r="CV28" i="1" s="1"/>
  <c r="CV27" i="1" a="1"/>
  <c r="CV27" i="1" s="1"/>
  <c r="CV52" i="1"/>
  <c r="CV56" i="1"/>
  <c r="CV51" i="1"/>
  <c r="CV154" i="1"/>
  <c r="CV201" i="1"/>
  <c r="CV207" i="1" s="1"/>
  <c r="CW209" i="1" l="1"/>
  <c r="CW205" i="1"/>
  <c r="CW204" i="1"/>
  <c r="CV206" i="1"/>
  <c r="CW90" i="1"/>
  <c r="CR61" i="1"/>
  <c r="CR59" i="1"/>
  <c r="CR60" i="1"/>
  <c r="CR62" i="1"/>
  <c r="CV126" i="1"/>
  <c r="CV127" i="1" s="1"/>
  <c r="CV134" i="1"/>
  <c r="CV135" i="1" s="1"/>
  <c r="CR58" i="1"/>
  <c r="CR81" i="1" s="1"/>
  <c r="CR63" i="1"/>
  <c r="CU82" i="1"/>
  <c r="CV158" i="1"/>
  <c r="CU13" i="1"/>
  <c r="CU208" i="1" s="1"/>
  <c r="CV141" i="1"/>
  <c r="CV142" i="1" s="1"/>
  <c r="CN110" i="1"/>
  <c r="CW53" i="1"/>
  <c r="CU26" i="1" a="1"/>
  <c r="CU26" i="1" s="1"/>
  <c r="CU30" i="1" s="1"/>
  <c r="CU31" i="1" s="1" a="1"/>
  <c r="CU31" i="1" s="1"/>
  <c r="CS39" i="1"/>
  <c r="CT20" i="1"/>
  <c r="CT40" i="1" s="1"/>
  <c r="CV9" i="1"/>
  <c r="CY22" i="1"/>
  <c r="CY45" i="1" s="1"/>
  <c r="CX43" i="1"/>
  <c r="CX21" i="1"/>
  <c r="CW42" i="1"/>
  <c r="CW44" i="1"/>
  <c r="CW48" i="1"/>
  <c r="CW46" i="1"/>
  <c r="CW49" i="1"/>
  <c r="CX5" i="1"/>
  <c r="CW7" i="1"/>
  <c r="CW8" i="1" s="1"/>
  <c r="CW11" i="1"/>
  <c r="CW12" i="1"/>
  <c r="CW15" i="1"/>
  <c r="CV82" i="1" s="1"/>
  <c r="CW17" i="1"/>
  <c r="CW27" i="1" a="1"/>
  <c r="CW27" i="1" s="1"/>
  <c r="CW28" i="1" a="1"/>
  <c r="CW28" i="1" s="1"/>
  <c r="CW56" i="1"/>
  <c r="CW52" i="1"/>
  <c r="CW51" i="1"/>
  <c r="CW154" i="1"/>
  <c r="CW201" i="1"/>
  <c r="CW207" i="1" s="1"/>
  <c r="CP79" i="1"/>
  <c r="CP89" i="1" s="1"/>
  <c r="CS37" i="1"/>
  <c r="CS23" i="1"/>
  <c r="CS32" i="1" s="1"/>
  <c r="CS33" i="1" s="1"/>
  <c r="CS34" i="1" s="1"/>
  <c r="CS36" i="1" s="1"/>
  <c r="CT16" i="1"/>
  <c r="CV18" i="1" a="1"/>
  <c r="CV18" i="1" s="1"/>
  <c r="CV67" i="1"/>
  <c r="CQ64" i="1"/>
  <c r="CX205" i="1" l="1"/>
  <c r="CX204" i="1"/>
  <c r="CW206" i="1"/>
  <c r="CX90" i="1"/>
  <c r="CX209" i="1"/>
  <c r="CW134" i="1"/>
  <c r="CW135" i="1" s="1"/>
  <c r="CW126" i="1"/>
  <c r="CW127" i="1" s="1"/>
  <c r="CS58" i="1"/>
  <c r="CS81" i="1" s="1"/>
  <c r="CS63" i="1"/>
  <c r="CS61" i="1"/>
  <c r="CS59" i="1"/>
  <c r="CS60" i="1"/>
  <c r="CS62" i="1"/>
  <c r="CW158" i="1"/>
  <c r="CV13" i="1"/>
  <c r="CV208" i="1" s="1"/>
  <c r="CV104" i="1"/>
  <c r="CV143" i="1"/>
  <c r="CV105" i="1" s="1"/>
  <c r="CW141" i="1"/>
  <c r="CW149" i="1" s="1"/>
  <c r="CW107" i="1" s="1"/>
  <c r="CO110" i="1"/>
  <c r="CX53" i="1"/>
  <c r="CV26" i="1" a="1"/>
  <c r="CV26" i="1" s="1"/>
  <c r="CV30" i="1" s="1"/>
  <c r="CV31" i="1" s="1" a="1"/>
  <c r="CV31" i="1" s="1"/>
  <c r="CW9" i="1"/>
  <c r="CT39" i="1"/>
  <c r="CU20" i="1"/>
  <c r="CU40" i="1" s="1"/>
  <c r="CY21" i="1"/>
  <c r="CX42" i="1"/>
  <c r="CX48" i="1"/>
  <c r="CX44" i="1"/>
  <c r="CX46" i="1"/>
  <c r="CX49" i="1"/>
  <c r="CZ22" i="1"/>
  <c r="CZ45" i="1" s="1"/>
  <c r="CY43" i="1"/>
  <c r="CY5" i="1"/>
  <c r="CX7" i="1"/>
  <c r="CX11" i="1"/>
  <c r="CX12" i="1"/>
  <c r="CX15" i="1"/>
  <c r="CW82" i="1" s="1"/>
  <c r="CX17" i="1"/>
  <c r="CX28" i="1" a="1"/>
  <c r="CX28" i="1" s="1"/>
  <c r="CX27" i="1" a="1"/>
  <c r="CX27" i="1" s="1"/>
  <c r="CX51" i="1"/>
  <c r="CX52" i="1"/>
  <c r="CX56" i="1"/>
  <c r="CX154" i="1"/>
  <c r="CX201" i="1"/>
  <c r="CX207" i="1" s="1"/>
  <c r="CR64" i="1"/>
  <c r="CT37" i="1"/>
  <c r="CT23" i="1"/>
  <c r="CT32" i="1" s="1"/>
  <c r="CT33" i="1" s="1"/>
  <c r="CT34" i="1" s="1"/>
  <c r="CT36" i="1" s="1"/>
  <c r="CU16" i="1"/>
  <c r="CW18" i="1" a="1"/>
  <c r="CW18" i="1" s="1"/>
  <c r="CW67" i="1"/>
  <c r="CQ79" i="1"/>
  <c r="CQ89" i="1" s="1"/>
  <c r="CY205" i="1" l="1"/>
  <c r="CY204" i="1"/>
  <c r="CX206" i="1"/>
  <c r="CY90" i="1"/>
  <c r="CY209" i="1"/>
  <c r="CT58" i="1"/>
  <c r="CT81" i="1" s="1"/>
  <c r="CT63" i="1"/>
  <c r="CT59" i="1"/>
  <c r="CT60" i="1"/>
  <c r="CT61" i="1"/>
  <c r="CT62" i="1"/>
  <c r="CX126" i="1"/>
  <c r="CX127" i="1" s="1"/>
  <c r="CX134" i="1"/>
  <c r="CX135" i="1" s="1"/>
  <c r="CX158" i="1"/>
  <c r="CW13" i="1"/>
  <c r="CW208" i="1" s="1"/>
  <c r="CV144" i="1"/>
  <c r="CV106" i="1" s="1"/>
  <c r="CW142" i="1"/>
  <c r="CX141" i="1"/>
  <c r="CX149" i="1" s="1"/>
  <c r="CX107" i="1" s="1"/>
  <c r="CP110" i="1"/>
  <c r="CY53" i="1"/>
  <c r="CW26" i="1" a="1"/>
  <c r="CW26" i="1" s="1"/>
  <c r="CW30" i="1" s="1"/>
  <c r="CW31" i="1" s="1" a="1"/>
  <c r="CW31" i="1" s="1"/>
  <c r="CU39" i="1"/>
  <c r="CV20" i="1"/>
  <c r="CV40" i="1" s="1"/>
  <c r="DA22" i="1"/>
  <c r="DA45" i="1" s="1"/>
  <c r="CZ43" i="1"/>
  <c r="CZ21" i="1"/>
  <c r="CY44" i="1"/>
  <c r="CY42" i="1"/>
  <c r="CY46" i="1"/>
  <c r="CY48" i="1"/>
  <c r="CY49" i="1"/>
  <c r="CU37" i="1"/>
  <c r="CU23" i="1"/>
  <c r="CU32" i="1" s="1"/>
  <c r="CU33" i="1" s="1"/>
  <c r="CU34" i="1" s="1"/>
  <c r="CU36" i="1" s="1"/>
  <c r="CV16" i="1"/>
  <c r="CX18" i="1" a="1"/>
  <c r="CX18" i="1" s="1"/>
  <c r="CX67" i="1"/>
  <c r="CR79" i="1"/>
  <c r="CR89" i="1" s="1"/>
  <c r="CY7" i="1"/>
  <c r="CZ5" i="1"/>
  <c r="CY11" i="1"/>
  <c r="CY12" i="1"/>
  <c r="CY15" i="1"/>
  <c r="CX82" i="1" s="1"/>
  <c r="CY17" i="1"/>
  <c r="CY27" i="1" a="1"/>
  <c r="CY27" i="1" s="1"/>
  <c r="CY28" i="1" a="1"/>
  <c r="CY28" i="1" s="1"/>
  <c r="CY51" i="1"/>
  <c r="CY52" i="1"/>
  <c r="CY56" i="1"/>
  <c r="CY154" i="1"/>
  <c r="CY201" i="1"/>
  <c r="CY207" i="1" s="1"/>
  <c r="CS64" i="1"/>
  <c r="CX8" i="1"/>
  <c r="CX9" i="1" s="1"/>
  <c r="CZ205" i="1" l="1"/>
  <c r="CZ204" i="1"/>
  <c r="CY206" i="1"/>
  <c r="CZ90" i="1"/>
  <c r="CZ209" i="1"/>
  <c r="CU59" i="1"/>
  <c r="CU60" i="1"/>
  <c r="CU61" i="1"/>
  <c r="CU62" i="1"/>
  <c r="CY134" i="1"/>
  <c r="CY135" i="1" s="1"/>
  <c r="CY126" i="1"/>
  <c r="CY127" i="1" s="1"/>
  <c r="CU58" i="1"/>
  <c r="CU81" i="1" s="1"/>
  <c r="CU63" i="1"/>
  <c r="CY158" i="1"/>
  <c r="CX13" i="1"/>
  <c r="CX208" i="1" s="1"/>
  <c r="CV148" i="1"/>
  <c r="CW104" i="1"/>
  <c r="CX142" i="1"/>
  <c r="CY141" i="1"/>
  <c r="CY149" i="1" s="1"/>
  <c r="CY107" i="1" s="1"/>
  <c r="CW143" i="1"/>
  <c r="CW105" i="1" s="1"/>
  <c r="CQ110" i="1"/>
  <c r="CZ53" i="1"/>
  <c r="CX26" i="1" a="1"/>
  <c r="CX26" i="1" s="1"/>
  <c r="CX30" i="1" s="1"/>
  <c r="CX31" i="1" s="1" a="1"/>
  <c r="CX31" i="1" s="1"/>
  <c r="CV39" i="1"/>
  <c r="CW20" i="1"/>
  <c r="CW40" i="1" s="1"/>
  <c r="DA21" i="1"/>
  <c r="CZ44" i="1"/>
  <c r="CZ42" i="1"/>
  <c r="CZ49" i="1"/>
  <c r="CZ46" i="1"/>
  <c r="CZ48" i="1"/>
  <c r="DB22" i="1"/>
  <c r="DB45" i="1" s="1"/>
  <c r="DA43" i="1"/>
  <c r="CZ7" i="1"/>
  <c r="CZ8" i="1" s="1"/>
  <c r="DA5" i="1"/>
  <c r="CZ11" i="1"/>
  <c r="CZ15" i="1"/>
  <c r="CY82" i="1" s="1"/>
  <c r="CZ12" i="1"/>
  <c r="CZ17" i="1"/>
  <c r="CZ27" i="1" a="1"/>
  <c r="CZ27" i="1" s="1"/>
  <c r="CZ28" i="1" a="1"/>
  <c r="CZ28" i="1" s="1"/>
  <c r="CZ52" i="1"/>
  <c r="CZ56" i="1"/>
  <c r="CZ51" i="1"/>
  <c r="CZ154" i="1"/>
  <c r="CZ201" i="1"/>
  <c r="CZ207" i="1" s="1"/>
  <c r="CT64" i="1"/>
  <c r="CY18" i="1" a="1"/>
  <c r="CY18" i="1" s="1"/>
  <c r="CY67" i="1"/>
  <c r="CS79" i="1"/>
  <c r="CS89" i="1" s="1"/>
  <c r="CY8" i="1"/>
  <c r="CY9" i="1" s="1"/>
  <c r="CV37" i="1"/>
  <c r="CV23" i="1"/>
  <c r="CV32" i="1" s="1"/>
  <c r="CV33" i="1" s="1"/>
  <c r="CV34" i="1" s="1"/>
  <c r="CV36" i="1" s="1"/>
  <c r="CW16" i="1"/>
  <c r="DA205" i="1" l="1"/>
  <c r="DA204" i="1"/>
  <c r="CZ206" i="1"/>
  <c r="DA90" i="1"/>
  <c r="DA209" i="1"/>
  <c r="CV63" i="1"/>
  <c r="CV58" i="1"/>
  <c r="CV81" i="1" s="1"/>
  <c r="CZ126" i="1"/>
  <c r="CZ127" i="1" s="1"/>
  <c r="CZ134" i="1"/>
  <c r="CZ135" i="1" s="1"/>
  <c r="CV59" i="1"/>
  <c r="CV60" i="1"/>
  <c r="CV61" i="1"/>
  <c r="CV62" i="1"/>
  <c r="CZ158" i="1"/>
  <c r="CY13" i="1"/>
  <c r="CY208" i="1" s="1"/>
  <c r="CX104" i="1"/>
  <c r="CW144" i="1"/>
  <c r="CW106" i="1" s="1"/>
  <c r="CZ141" i="1"/>
  <c r="CZ149" i="1" s="1"/>
  <c r="CZ107" i="1" s="1"/>
  <c r="CY142" i="1"/>
  <c r="CX143" i="1"/>
  <c r="CR110" i="1"/>
  <c r="DA53" i="1"/>
  <c r="CY26" i="1" a="1"/>
  <c r="CY26" i="1" s="1"/>
  <c r="CY30" i="1" s="1"/>
  <c r="CY31" i="1" s="1" a="1"/>
  <c r="CY31" i="1" s="1"/>
  <c r="CW39" i="1"/>
  <c r="CX20" i="1"/>
  <c r="CX40" i="1" s="1"/>
  <c r="DC22" i="1"/>
  <c r="DC45" i="1" s="1"/>
  <c r="DB43" i="1"/>
  <c r="DB21" i="1"/>
  <c r="DA42" i="1"/>
  <c r="DA44" i="1"/>
  <c r="DA46" i="1"/>
  <c r="DA48" i="1"/>
  <c r="DA49" i="1"/>
  <c r="DA7" i="1"/>
  <c r="DA8" i="1" s="1"/>
  <c r="DB5" i="1"/>
  <c r="DA11" i="1"/>
  <c r="DA15" i="1"/>
  <c r="CZ82" i="1" s="1"/>
  <c r="DA12" i="1"/>
  <c r="DA17" i="1"/>
  <c r="DA27" i="1" a="1"/>
  <c r="DA27" i="1" s="1"/>
  <c r="DA28" i="1" a="1"/>
  <c r="DA28" i="1" s="1"/>
  <c r="DA56" i="1"/>
  <c r="DA52" i="1"/>
  <c r="DA51" i="1"/>
  <c r="DA154" i="1"/>
  <c r="DA201" i="1"/>
  <c r="DA207" i="1" s="1"/>
  <c r="CT79" i="1"/>
  <c r="CT89" i="1" s="1"/>
  <c r="CZ9" i="1"/>
  <c r="CZ18" i="1" a="1"/>
  <c r="CZ18" i="1" s="1"/>
  <c r="CZ67" i="1"/>
  <c r="CW37" i="1"/>
  <c r="CW23" i="1"/>
  <c r="CW32" i="1" s="1"/>
  <c r="CW33" i="1" s="1"/>
  <c r="CW34" i="1" s="1"/>
  <c r="CW36" i="1" s="1"/>
  <c r="CX16" i="1"/>
  <c r="CU64" i="1"/>
  <c r="DB204" i="1" l="1"/>
  <c r="DB205" i="1"/>
  <c r="DA206" i="1"/>
  <c r="DB90" i="1"/>
  <c r="DB209" i="1"/>
  <c r="DA126" i="1"/>
  <c r="DA127" i="1" s="1"/>
  <c r="DA134" i="1"/>
  <c r="DA135" i="1" s="1"/>
  <c r="CW63" i="1"/>
  <c r="CW58" i="1"/>
  <c r="CW81" i="1" s="1"/>
  <c r="CW59" i="1"/>
  <c r="CW60" i="1"/>
  <c r="CW61" i="1"/>
  <c r="CW62" i="1"/>
  <c r="DA158" i="1"/>
  <c r="CZ13" i="1"/>
  <c r="CZ208" i="1" s="1"/>
  <c r="CY104" i="1"/>
  <c r="CX144" i="1"/>
  <c r="CX106" i="1" s="1"/>
  <c r="CX105" i="1"/>
  <c r="CY143" i="1"/>
  <c r="CY105" i="1" s="1"/>
  <c r="DA141" i="1"/>
  <c r="DA149" i="1" s="1"/>
  <c r="DA107" i="1" s="1"/>
  <c r="CZ142" i="1"/>
  <c r="CW148" i="1"/>
  <c r="CS110" i="1"/>
  <c r="DB53" i="1"/>
  <c r="CZ26" i="1" a="1"/>
  <c r="CZ26" i="1" s="1"/>
  <c r="CZ30" i="1" s="1"/>
  <c r="CZ31" i="1" s="1" a="1"/>
  <c r="CZ31" i="1" s="1"/>
  <c r="CX39" i="1"/>
  <c r="CY20" i="1"/>
  <c r="CY40" i="1" s="1"/>
  <c r="DC21" i="1"/>
  <c r="DB42" i="1"/>
  <c r="DB46" i="1"/>
  <c r="DB48" i="1"/>
  <c r="DB49" i="1"/>
  <c r="DB44" i="1"/>
  <c r="DD22" i="1"/>
  <c r="DD45" i="1" s="1"/>
  <c r="DC43" i="1"/>
  <c r="DA18" i="1" a="1"/>
  <c r="DA18" i="1" s="1"/>
  <c r="DA67" i="1"/>
  <c r="DA9" i="1"/>
  <c r="DB7" i="1"/>
  <c r="DB8" i="1" s="1"/>
  <c r="DC5" i="1"/>
  <c r="DB11" i="1"/>
  <c r="DB12" i="1"/>
  <c r="DB15" i="1"/>
  <c r="DA82" i="1" s="1"/>
  <c r="DB17" i="1"/>
  <c r="DB27" i="1" a="1"/>
  <c r="DB27" i="1" s="1"/>
  <c r="DB28" i="1" a="1"/>
  <c r="DB28" i="1" s="1"/>
  <c r="DB51" i="1"/>
  <c r="DB52" i="1"/>
  <c r="DB56" i="1"/>
  <c r="DB154" i="1"/>
  <c r="DB201" i="1"/>
  <c r="DB207" i="1" s="1"/>
  <c r="CV64" i="1"/>
  <c r="CU79" i="1"/>
  <c r="CU89" i="1" s="1"/>
  <c r="CX37" i="1"/>
  <c r="CX23" i="1"/>
  <c r="CX32" i="1" s="1"/>
  <c r="CX33" i="1" s="1"/>
  <c r="CX34" i="1" s="1"/>
  <c r="CX36" i="1" s="1"/>
  <c r="CY16" i="1"/>
  <c r="DC204" i="1" l="1"/>
  <c r="DC205" i="1"/>
  <c r="DB206" i="1"/>
  <c r="DC90" i="1"/>
  <c r="DC209" i="1"/>
  <c r="DB126" i="1"/>
  <c r="DB127" i="1" s="1"/>
  <c r="DB134" i="1"/>
  <c r="DB135" i="1" s="1"/>
  <c r="CX58" i="1"/>
  <c r="CX81" i="1" s="1"/>
  <c r="CX63" i="1"/>
  <c r="CX60" i="1"/>
  <c r="CX61" i="1"/>
  <c r="CX59" i="1"/>
  <c r="CX62" i="1"/>
  <c r="DB158" i="1"/>
  <c r="DA13" i="1"/>
  <c r="DA208" i="1" s="1"/>
  <c r="CZ104" i="1"/>
  <c r="CX148" i="1"/>
  <c r="DA142" i="1"/>
  <c r="CY144" i="1"/>
  <c r="CY106" i="1" s="1"/>
  <c r="DB141" i="1"/>
  <c r="DB149" i="1" s="1"/>
  <c r="DB107" i="1" s="1"/>
  <c r="CZ143" i="1"/>
  <c r="CZ105" i="1" s="1"/>
  <c r="CT110" i="1"/>
  <c r="DC53" i="1"/>
  <c r="DA26" i="1" a="1"/>
  <c r="DA26" i="1" s="1"/>
  <c r="DA30" i="1" s="1"/>
  <c r="DA31" i="1" s="1" a="1"/>
  <c r="DA31" i="1" s="1"/>
  <c r="CY39" i="1"/>
  <c r="CZ20" i="1"/>
  <c r="CZ40" i="1" s="1"/>
  <c r="DB9" i="1"/>
  <c r="DE22" i="1"/>
  <c r="DE45" i="1" s="1"/>
  <c r="DD43" i="1"/>
  <c r="DD21" i="1"/>
  <c r="DC46" i="1"/>
  <c r="DC42" i="1"/>
  <c r="DC49" i="1"/>
  <c r="DC48" i="1"/>
  <c r="DC44" i="1"/>
  <c r="CY37" i="1"/>
  <c r="CY23" i="1"/>
  <c r="CY32" i="1" s="1"/>
  <c r="CY33" i="1" s="1"/>
  <c r="CY34" i="1" s="1"/>
  <c r="CY36" i="1" s="1"/>
  <c r="CZ16" i="1"/>
  <c r="DC7" i="1"/>
  <c r="DC8" i="1" s="1"/>
  <c r="DC9" i="1" s="1"/>
  <c r="DD5" i="1"/>
  <c r="DC11" i="1"/>
  <c r="DC12" i="1"/>
  <c r="DC15" i="1"/>
  <c r="DB82" i="1" s="1"/>
  <c r="DC17" i="1"/>
  <c r="DC27" i="1" a="1"/>
  <c r="DC27" i="1" s="1"/>
  <c r="DC28" i="1" a="1"/>
  <c r="DC28" i="1" s="1"/>
  <c r="DC51" i="1"/>
  <c r="DC52" i="1"/>
  <c r="DC56" i="1"/>
  <c r="DC154" i="1"/>
  <c r="DC201" i="1"/>
  <c r="DC207" i="1" s="1"/>
  <c r="CV79" i="1"/>
  <c r="CV89" i="1" s="1"/>
  <c r="DB18" i="1" a="1"/>
  <c r="DB18" i="1" s="1"/>
  <c r="DB67" i="1"/>
  <c r="CW64" i="1"/>
  <c r="DD205" i="1" l="1"/>
  <c r="DD204" i="1"/>
  <c r="DC206" i="1"/>
  <c r="DD90" i="1"/>
  <c r="DD209" i="1"/>
  <c r="DC126" i="1"/>
  <c r="DC127" i="1" s="1"/>
  <c r="DC134" i="1"/>
  <c r="DC135" i="1" s="1"/>
  <c r="CY58" i="1"/>
  <c r="CY81" i="1" s="1"/>
  <c r="CY63" i="1"/>
  <c r="CY60" i="1"/>
  <c r="CY61" i="1"/>
  <c r="CY59" i="1"/>
  <c r="CY62" i="1"/>
  <c r="DC158" i="1"/>
  <c r="DB13" i="1"/>
  <c r="DB208" i="1" s="1"/>
  <c r="DA104" i="1"/>
  <c r="CZ144" i="1"/>
  <c r="CZ106" i="1" s="1"/>
  <c r="DC141" i="1"/>
  <c r="DC149" i="1" s="1"/>
  <c r="DC107" i="1" s="1"/>
  <c r="DB142" i="1"/>
  <c r="CY148" i="1"/>
  <c r="DA143" i="1"/>
  <c r="DA105" i="1" s="1"/>
  <c r="CU110" i="1"/>
  <c r="E174" i="1" s="1"/>
  <c r="D215" i="3" s="1"/>
  <c r="C237" i="3" s="1"/>
  <c r="DD53" i="1"/>
  <c r="DC26" i="1" a="1"/>
  <c r="DC26" i="1" s="1"/>
  <c r="DC30" i="1" s="1"/>
  <c r="DC31" i="1" s="1" a="1"/>
  <c r="DC31" i="1" s="1"/>
  <c r="DB26" i="1" a="1"/>
  <c r="DB26" i="1" s="1"/>
  <c r="DB30" i="1" s="1"/>
  <c r="DB31" i="1" s="1" a="1"/>
  <c r="DB31" i="1" s="1"/>
  <c r="CZ39" i="1"/>
  <c r="DA20" i="1"/>
  <c r="DA40" i="1" s="1"/>
  <c r="DE21" i="1"/>
  <c r="DD42" i="1"/>
  <c r="DD44" i="1"/>
  <c r="DD48" i="1"/>
  <c r="DD46" i="1"/>
  <c r="DD49" i="1"/>
  <c r="DF22" i="1"/>
  <c r="DF45" i="1" s="1"/>
  <c r="DE43" i="1"/>
  <c r="CW79" i="1"/>
  <c r="CW89" i="1" s="1"/>
  <c r="CZ37" i="1"/>
  <c r="CZ23" i="1"/>
  <c r="CZ32" i="1" s="1"/>
  <c r="CZ33" i="1" s="1"/>
  <c r="CZ34" i="1" s="1"/>
  <c r="CZ36" i="1" s="1"/>
  <c r="DA16" i="1"/>
  <c r="DD7" i="1"/>
  <c r="DE5" i="1"/>
  <c r="DD12" i="1"/>
  <c r="DD11" i="1"/>
  <c r="DD15" i="1"/>
  <c r="DC82" i="1" s="1"/>
  <c r="DD17" i="1"/>
  <c r="DD28" i="1" a="1"/>
  <c r="DD28" i="1" s="1"/>
  <c r="DD27" i="1" a="1"/>
  <c r="DD27" i="1" s="1"/>
  <c r="DD52" i="1"/>
  <c r="DD56" i="1"/>
  <c r="DD51" i="1"/>
  <c r="DD154" i="1"/>
  <c r="DD201" i="1"/>
  <c r="DD207" i="1" s="1"/>
  <c r="CX64" i="1"/>
  <c r="DC18" i="1" a="1"/>
  <c r="DC18" i="1" s="1"/>
  <c r="DC67" i="1"/>
  <c r="DE205" i="1" l="1"/>
  <c r="DE204" i="1"/>
  <c r="DD206" i="1"/>
  <c r="DE90" i="1"/>
  <c r="DE209" i="1"/>
  <c r="CZ63" i="1"/>
  <c r="CZ58" i="1"/>
  <c r="CZ81" i="1" s="1"/>
  <c r="CZ59" i="1"/>
  <c r="CZ61" i="1"/>
  <c r="CZ60" i="1"/>
  <c r="CZ62" i="1"/>
  <c r="DD126" i="1"/>
  <c r="DD127" i="1" s="1"/>
  <c r="DD134" i="1"/>
  <c r="DD135" i="1" s="1"/>
  <c r="CZ148" i="1"/>
  <c r="DD158" i="1"/>
  <c r="DC13" i="1"/>
  <c r="DC208" i="1" s="1"/>
  <c r="DA144" i="1"/>
  <c r="DA106" i="1" s="1"/>
  <c r="DB104" i="1"/>
  <c r="DB143" i="1"/>
  <c r="DB105" i="1" s="1"/>
  <c r="DC142" i="1"/>
  <c r="DD141" i="1"/>
  <c r="DD149" i="1" s="1"/>
  <c r="DD107" i="1" s="1"/>
  <c r="CV110" i="1"/>
  <c r="DE53" i="1"/>
  <c r="DB20" i="1"/>
  <c r="DB40" i="1" s="1"/>
  <c r="DA39" i="1"/>
  <c r="DG22" i="1"/>
  <c r="DG45" i="1" s="1"/>
  <c r="DF43" i="1"/>
  <c r="DF21" i="1"/>
  <c r="DE42" i="1"/>
  <c r="DE44" i="1"/>
  <c r="DE48" i="1"/>
  <c r="DE46" i="1"/>
  <c r="DE49" i="1"/>
  <c r="DF5" i="1"/>
  <c r="DE7" i="1"/>
  <c r="DE8" i="1" s="1"/>
  <c r="DE11" i="1"/>
  <c r="DE12" i="1"/>
  <c r="DE15" i="1"/>
  <c r="DE17" i="1"/>
  <c r="DE27" i="1" a="1"/>
  <c r="DE27" i="1" s="1"/>
  <c r="DE28" i="1" a="1"/>
  <c r="DE28" i="1" s="1"/>
  <c r="DE56" i="1"/>
  <c r="DE52" i="1"/>
  <c r="DE51" i="1"/>
  <c r="DE154" i="1"/>
  <c r="DE201" i="1"/>
  <c r="DE207" i="1" s="1"/>
  <c r="DA37" i="1"/>
  <c r="DA23" i="1"/>
  <c r="DA32" i="1" s="1"/>
  <c r="DA33" i="1" s="1"/>
  <c r="DA34" i="1" s="1"/>
  <c r="DA36" i="1" s="1"/>
  <c r="DB16" i="1"/>
  <c r="CX79" i="1"/>
  <c r="CX89" i="1" s="1"/>
  <c r="DD8" i="1"/>
  <c r="DD9" i="1" s="1"/>
  <c r="DD18" i="1" a="1"/>
  <c r="DD18" i="1" s="1"/>
  <c r="DD67" i="1"/>
  <c r="CY64" i="1"/>
  <c r="DF205" i="1" l="1"/>
  <c r="DF204" i="1"/>
  <c r="DE206" i="1"/>
  <c r="DF90" i="1"/>
  <c r="DF209" i="1"/>
  <c r="DA63" i="1"/>
  <c r="DA58" i="1"/>
  <c r="DA81" i="1" s="1"/>
  <c r="DD82" i="1"/>
  <c r="DA61" i="1"/>
  <c r="DA59" i="1"/>
  <c r="DA60" i="1"/>
  <c r="DA62" i="1"/>
  <c r="DE134" i="1"/>
  <c r="DE135" i="1" s="1"/>
  <c r="DE126" i="1"/>
  <c r="DE127" i="1" s="1"/>
  <c r="DE158" i="1"/>
  <c r="DD13" i="1"/>
  <c r="DD208" i="1" s="1"/>
  <c r="DA148" i="1"/>
  <c r="DC104" i="1"/>
  <c r="DD142" i="1"/>
  <c r="DB144" i="1"/>
  <c r="DB106" i="1" s="1"/>
  <c r="DE141" i="1"/>
  <c r="DE149" i="1" s="1"/>
  <c r="DE107" i="1" s="1"/>
  <c r="DC143" i="1"/>
  <c r="DC105" i="1" s="1"/>
  <c r="CW110" i="1"/>
  <c r="DF53" i="1"/>
  <c r="DD26" i="1" a="1"/>
  <c r="DD26" i="1" s="1"/>
  <c r="DD30" i="1" s="1"/>
  <c r="DD31" i="1" s="1" a="1"/>
  <c r="DD31" i="1" s="1"/>
  <c r="DB39" i="1"/>
  <c r="DC20" i="1"/>
  <c r="DC40" i="1" s="1"/>
  <c r="DE9" i="1"/>
  <c r="DG21" i="1"/>
  <c r="DF44" i="1"/>
  <c r="DF48" i="1"/>
  <c r="DF46" i="1"/>
  <c r="DF42" i="1"/>
  <c r="DF49" i="1"/>
  <c r="DH22" i="1"/>
  <c r="DH45" i="1" s="1"/>
  <c r="DG43" i="1"/>
  <c r="DB37" i="1"/>
  <c r="DB23" i="1"/>
  <c r="DB32" i="1" s="1"/>
  <c r="DB33" i="1" s="1"/>
  <c r="DB34" i="1" s="1"/>
  <c r="DB36" i="1" s="1"/>
  <c r="DC16" i="1"/>
  <c r="CY79" i="1"/>
  <c r="CY89" i="1" s="1"/>
  <c r="DG5" i="1"/>
  <c r="DF7" i="1"/>
  <c r="DF12" i="1"/>
  <c r="DF11" i="1"/>
  <c r="DF15" i="1"/>
  <c r="DE82" i="1" s="1"/>
  <c r="DF17" i="1"/>
  <c r="DF28" i="1" a="1"/>
  <c r="DF28" i="1" s="1"/>
  <c r="DF27" i="1" a="1"/>
  <c r="DF27" i="1" s="1"/>
  <c r="DF51" i="1"/>
  <c r="DF52" i="1"/>
  <c r="DF56" i="1"/>
  <c r="DF154" i="1"/>
  <c r="DF201" i="1"/>
  <c r="DF207" i="1" s="1"/>
  <c r="CZ64" i="1"/>
  <c r="DE18" i="1" a="1"/>
  <c r="DE18" i="1" s="1"/>
  <c r="DE67" i="1"/>
  <c r="DG205" i="1" l="1"/>
  <c r="DG204" i="1"/>
  <c r="DF206" i="1"/>
  <c r="DG90" i="1"/>
  <c r="DG209" i="1"/>
  <c r="DB58" i="1"/>
  <c r="DB81" i="1" s="1"/>
  <c r="DB63" i="1"/>
  <c r="DF126" i="1"/>
  <c r="DF127" i="1" s="1"/>
  <c r="DF134" i="1"/>
  <c r="DF135" i="1" s="1"/>
  <c r="DB60" i="1"/>
  <c r="DB59" i="1"/>
  <c r="DB61" i="1"/>
  <c r="DB62" i="1"/>
  <c r="DD143" i="1"/>
  <c r="DD105" i="1" s="1"/>
  <c r="DF158" i="1"/>
  <c r="DE13" i="1"/>
  <c r="DE208" i="1" s="1"/>
  <c r="DB148" i="1"/>
  <c r="DD104" i="1"/>
  <c r="DC144" i="1"/>
  <c r="DC106" i="1" s="1"/>
  <c r="DE142" i="1"/>
  <c r="DF141" i="1"/>
  <c r="DF149" i="1" s="1"/>
  <c r="DF107" i="1" s="1"/>
  <c r="CX110" i="1"/>
  <c r="DG53" i="1"/>
  <c r="DE26" i="1" a="1"/>
  <c r="DE26" i="1" s="1"/>
  <c r="DE30" i="1" s="1"/>
  <c r="DE31" i="1" s="1" a="1"/>
  <c r="DE31" i="1" s="1"/>
  <c r="DD20" i="1"/>
  <c r="DD40" i="1" s="1"/>
  <c r="DC39" i="1"/>
  <c r="DI22" i="1"/>
  <c r="DI45" i="1" s="1"/>
  <c r="DH43" i="1"/>
  <c r="DH21" i="1"/>
  <c r="DG44" i="1"/>
  <c r="DG46" i="1"/>
  <c r="DG48" i="1"/>
  <c r="DG42" i="1"/>
  <c r="DG49" i="1"/>
  <c r="DG7" i="1"/>
  <c r="DH5" i="1"/>
  <c r="DG11" i="1"/>
  <c r="DG12" i="1"/>
  <c r="DG15" i="1"/>
  <c r="DG17" i="1"/>
  <c r="DG27" i="1" a="1"/>
  <c r="DG27" i="1" s="1"/>
  <c r="DG28" i="1" a="1"/>
  <c r="DG28" i="1" s="1"/>
  <c r="DG52" i="1"/>
  <c r="DG56" i="1"/>
  <c r="DG51" i="1"/>
  <c r="DG154" i="1"/>
  <c r="DG201" i="1"/>
  <c r="DG207" i="1" s="1"/>
  <c r="DC37" i="1"/>
  <c r="DC23" i="1"/>
  <c r="DC32" i="1" s="1"/>
  <c r="DC33" i="1" s="1"/>
  <c r="DC34" i="1" s="1"/>
  <c r="DC36" i="1" s="1"/>
  <c r="DD16" i="1"/>
  <c r="DA64" i="1"/>
  <c r="DF18" i="1" a="1"/>
  <c r="DF18" i="1" s="1"/>
  <c r="DF67" i="1"/>
  <c r="CZ79" i="1"/>
  <c r="CZ89" i="1" s="1"/>
  <c r="DF8" i="1"/>
  <c r="DF9" i="1" s="1"/>
  <c r="DH205" i="1" l="1"/>
  <c r="DH204" i="1"/>
  <c r="DG206" i="1"/>
  <c r="DH90" i="1"/>
  <c r="DH209" i="1"/>
  <c r="DC59" i="1"/>
  <c r="DC60" i="1"/>
  <c r="DC61" i="1"/>
  <c r="DC62" i="1"/>
  <c r="DC58" i="1"/>
  <c r="DC81" i="1" s="1"/>
  <c r="DC63" i="1"/>
  <c r="DD144" i="1"/>
  <c r="DD106" i="1" s="1"/>
  <c r="DG134" i="1"/>
  <c r="DG135" i="1" s="1"/>
  <c r="DG126" i="1"/>
  <c r="DG127" i="1" s="1"/>
  <c r="DF82" i="1"/>
  <c r="DG158" i="1"/>
  <c r="DF13" i="1"/>
  <c r="DF208" i="1" s="1"/>
  <c r="DE104" i="1"/>
  <c r="DG141" i="1"/>
  <c r="DG149" i="1" s="1"/>
  <c r="DG107" i="1" s="1"/>
  <c r="DF142" i="1"/>
  <c r="DE143" i="1"/>
  <c r="DE105" i="1" s="1"/>
  <c r="DC148" i="1"/>
  <c r="CY110" i="1"/>
  <c r="DH53" i="1"/>
  <c r="DF26" i="1" a="1"/>
  <c r="DF26" i="1" s="1"/>
  <c r="DF30" i="1" s="1"/>
  <c r="DF31" i="1" s="1" a="1"/>
  <c r="DF31" i="1" s="1"/>
  <c r="DE20" i="1"/>
  <c r="DE40" i="1" s="1"/>
  <c r="DD39" i="1"/>
  <c r="DI21" i="1"/>
  <c r="DH44" i="1"/>
  <c r="DH42" i="1"/>
  <c r="DH49" i="1"/>
  <c r="DH46" i="1"/>
  <c r="DH48" i="1"/>
  <c r="DJ22" i="1"/>
  <c r="DJ45" i="1" s="1"/>
  <c r="DI43" i="1"/>
  <c r="DD37" i="1"/>
  <c r="DD23" i="1"/>
  <c r="DD32" i="1" s="1"/>
  <c r="DD33" i="1" s="1"/>
  <c r="DD34" i="1" s="1"/>
  <c r="DD36" i="1" s="1"/>
  <c r="DE16" i="1"/>
  <c r="DH7" i="1"/>
  <c r="DH8" i="1" s="1"/>
  <c r="DI5" i="1"/>
  <c r="DH15" i="1"/>
  <c r="DG82" i="1" s="1"/>
  <c r="DH12" i="1"/>
  <c r="DH11" i="1"/>
  <c r="DH17" i="1"/>
  <c r="DH28" i="1" a="1"/>
  <c r="DH28" i="1" s="1"/>
  <c r="DH27" i="1" a="1"/>
  <c r="DH27" i="1" s="1"/>
  <c r="DH52" i="1"/>
  <c r="DH56" i="1"/>
  <c r="DH51" i="1"/>
  <c r="DH154" i="1"/>
  <c r="DH201" i="1"/>
  <c r="DH207" i="1" s="1"/>
  <c r="DA79" i="1"/>
  <c r="DA89" i="1" s="1"/>
  <c r="DG8" i="1"/>
  <c r="DG9" i="1" s="1"/>
  <c r="DG18" i="1" a="1"/>
  <c r="DG18" i="1" s="1"/>
  <c r="DG67" i="1"/>
  <c r="DB64" i="1"/>
  <c r="DI205" i="1" l="1"/>
  <c r="DI204" i="1"/>
  <c r="DH206" i="1"/>
  <c r="DI90" i="1"/>
  <c r="DI209" i="1"/>
  <c r="DD148" i="1"/>
  <c r="DD60" i="1"/>
  <c r="DD59" i="1"/>
  <c r="DD61" i="1"/>
  <c r="DD62" i="1"/>
  <c r="DD58" i="1"/>
  <c r="DD81" i="1" s="1"/>
  <c r="DD63" i="1"/>
  <c r="DH126" i="1"/>
  <c r="DH127" i="1" s="1"/>
  <c r="DH134" i="1"/>
  <c r="DH135" i="1" s="1"/>
  <c r="DG13" i="1"/>
  <c r="DG208" i="1" s="1"/>
  <c r="DH158" i="1"/>
  <c r="DF104" i="1"/>
  <c r="DE144" i="1"/>
  <c r="DE106" i="1" s="1"/>
  <c r="DH141" i="1"/>
  <c r="DH149" i="1" s="1"/>
  <c r="DH107" i="1" s="1"/>
  <c r="DF143" i="1"/>
  <c r="DG142" i="1"/>
  <c r="CZ110" i="1"/>
  <c r="DI53" i="1"/>
  <c r="DG26" i="1" a="1"/>
  <c r="DG26" i="1" s="1"/>
  <c r="DG30" i="1" s="1"/>
  <c r="DG31" i="1" s="1" a="1"/>
  <c r="DG31" i="1" s="1"/>
  <c r="DF20" i="1"/>
  <c r="DF40" i="1" s="1"/>
  <c r="DE39" i="1"/>
  <c r="DK22" i="1"/>
  <c r="DK45" i="1" s="1"/>
  <c r="DJ43" i="1"/>
  <c r="DJ21" i="1"/>
  <c r="DI44" i="1"/>
  <c r="DI46" i="1"/>
  <c r="DI42" i="1"/>
  <c r="DI49" i="1"/>
  <c r="DI48" i="1"/>
  <c r="DH18" i="1" a="1"/>
  <c r="DH18" i="1" s="1"/>
  <c r="DH67" i="1"/>
  <c r="DB79" i="1"/>
  <c r="DB89" i="1" s="1"/>
  <c r="DI7" i="1"/>
  <c r="DI8" i="1" s="1"/>
  <c r="DJ5" i="1"/>
  <c r="DI15" i="1"/>
  <c r="DI12" i="1"/>
  <c r="DI11" i="1"/>
  <c r="DI17" i="1"/>
  <c r="DI27" i="1" a="1"/>
  <c r="DI27" i="1" s="1"/>
  <c r="DI28" i="1" a="1"/>
  <c r="DI28" i="1" s="1"/>
  <c r="DI56" i="1"/>
  <c r="DI52" i="1"/>
  <c r="DI51" i="1"/>
  <c r="DI154" i="1"/>
  <c r="DI201" i="1"/>
  <c r="DI207" i="1" s="1"/>
  <c r="DC64" i="1"/>
  <c r="DH9" i="1"/>
  <c r="DE37" i="1"/>
  <c r="DE23" i="1"/>
  <c r="DE32" i="1" s="1"/>
  <c r="DE33" i="1" s="1"/>
  <c r="DE34" i="1" s="1"/>
  <c r="DE36" i="1" s="1"/>
  <c r="DF16" i="1"/>
  <c r="DJ204" i="1" l="1"/>
  <c r="DJ205" i="1"/>
  <c r="DI206" i="1"/>
  <c r="DJ90" i="1"/>
  <c r="DJ209" i="1"/>
  <c r="DI126" i="1"/>
  <c r="DI127" i="1" s="1"/>
  <c r="DI134" i="1"/>
  <c r="DI135" i="1" s="1"/>
  <c r="DE63" i="1"/>
  <c r="DE58" i="1"/>
  <c r="DE81" i="1" s="1"/>
  <c r="DE59" i="1"/>
  <c r="DE60" i="1"/>
  <c r="DE61" i="1"/>
  <c r="DE62" i="1"/>
  <c r="DH82" i="1"/>
  <c r="DH13" i="1"/>
  <c r="DH208" i="1" s="1"/>
  <c r="DI158" i="1"/>
  <c r="DG104" i="1"/>
  <c r="DF144" i="1"/>
  <c r="DF106" i="1" s="1"/>
  <c r="DF105" i="1"/>
  <c r="DE148" i="1"/>
  <c r="DH142" i="1"/>
  <c r="DI141" i="1"/>
  <c r="DI149" i="1" s="1"/>
  <c r="DI107" i="1" s="1"/>
  <c r="DG143" i="1"/>
  <c r="DA110" i="1"/>
  <c r="DJ53" i="1"/>
  <c r="DH26" i="1" a="1"/>
  <c r="DH26" i="1" s="1"/>
  <c r="DH30" i="1" s="1"/>
  <c r="DH31" i="1" s="1" a="1"/>
  <c r="DH31" i="1" s="1"/>
  <c r="DF39" i="1"/>
  <c r="DG20" i="1"/>
  <c r="DG40" i="1" s="1"/>
  <c r="DI9" i="1"/>
  <c r="DK21" i="1"/>
  <c r="DJ42" i="1"/>
  <c r="DJ46" i="1"/>
  <c r="DJ44" i="1"/>
  <c r="DJ49" i="1"/>
  <c r="DJ48" i="1"/>
  <c r="DL22" i="1"/>
  <c r="DL45" i="1" s="1"/>
  <c r="DK43" i="1"/>
  <c r="DF37" i="1"/>
  <c r="DF23" i="1"/>
  <c r="DF32" i="1" s="1"/>
  <c r="DF33" i="1" s="1"/>
  <c r="DF34" i="1" s="1"/>
  <c r="DF36" i="1" s="1"/>
  <c r="DG16" i="1"/>
  <c r="DJ7" i="1"/>
  <c r="DK5" i="1"/>
  <c r="DJ11" i="1"/>
  <c r="DJ12" i="1"/>
  <c r="DJ15" i="1"/>
  <c r="DJ17" i="1"/>
  <c r="DJ27" i="1" a="1"/>
  <c r="DJ27" i="1" s="1"/>
  <c r="DJ28" i="1" a="1"/>
  <c r="DJ28" i="1" s="1"/>
  <c r="DJ51" i="1"/>
  <c r="DJ52" i="1"/>
  <c r="DJ56" i="1"/>
  <c r="DJ154" i="1"/>
  <c r="DJ201" i="1"/>
  <c r="DJ207" i="1" s="1"/>
  <c r="DC79" i="1"/>
  <c r="DC89" i="1" s="1"/>
  <c r="DD64" i="1"/>
  <c r="DI18" i="1" a="1"/>
  <c r="DI18" i="1" s="1"/>
  <c r="DI67" i="1"/>
  <c r="DK204" i="1" l="1"/>
  <c r="DK205" i="1"/>
  <c r="DJ206" i="1"/>
  <c r="DI13" i="1"/>
  <c r="DI208" i="1" s="1"/>
  <c r="DK90" i="1"/>
  <c r="DK209" i="1"/>
  <c r="DF63" i="1"/>
  <c r="DF58" i="1"/>
  <c r="DF81" i="1" s="1"/>
  <c r="DF60" i="1"/>
  <c r="DF61" i="1"/>
  <c r="DF59" i="1"/>
  <c r="DF62" i="1"/>
  <c r="DJ126" i="1"/>
  <c r="DJ127" i="1" s="1"/>
  <c r="DJ134" i="1"/>
  <c r="DJ135" i="1" s="1"/>
  <c r="DI82" i="1"/>
  <c r="DJ158" i="1"/>
  <c r="DH104" i="1"/>
  <c r="DF148" i="1"/>
  <c r="DG144" i="1"/>
  <c r="DG106" i="1" s="1"/>
  <c r="DG105" i="1"/>
  <c r="DJ141" i="1"/>
  <c r="DJ149" i="1" s="1"/>
  <c r="DJ107" i="1" s="1"/>
  <c r="DI142" i="1"/>
  <c r="DH143" i="1"/>
  <c r="DB110" i="1"/>
  <c r="DK53" i="1"/>
  <c r="DI26" i="1" a="1"/>
  <c r="DI26" i="1" s="1"/>
  <c r="DI30" i="1" s="1"/>
  <c r="DI31" i="1" s="1" a="1"/>
  <c r="DI31" i="1" s="1"/>
  <c r="DH20" i="1"/>
  <c r="DH40" i="1" s="1"/>
  <c r="DG39" i="1"/>
  <c r="DM22" i="1"/>
  <c r="DM45" i="1" s="1"/>
  <c r="DL43" i="1"/>
  <c r="DL21" i="1"/>
  <c r="DK42" i="1"/>
  <c r="DK46" i="1"/>
  <c r="DK44" i="1"/>
  <c r="DK49" i="1"/>
  <c r="DK48" i="1"/>
  <c r="DJ18" i="1" a="1"/>
  <c r="DJ18" i="1" s="1"/>
  <c r="DJ67" i="1"/>
  <c r="DE64" i="1"/>
  <c r="DD79" i="1"/>
  <c r="DD89" i="1" s="1"/>
  <c r="DG37" i="1"/>
  <c r="DG23" i="1"/>
  <c r="DG32" i="1" s="1"/>
  <c r="DG33" i="1" s="1"/>
  <c r="DG34" i="1" s="1"/>
  <c r="DG36" i="1" s="1"/>
  <c r="DH16" i="1"/>
  <c r="DJ8" i="1"/>
  <c r="DJ9" i="1" s="1"/>
  <c r="DK7" i="1"/>
  <c r="DK8" i="1" s="1"/>
  <c r="DK9" i="1" s="1"/>
  <c r="DL5" i="1"/>
  <c r="DK11" i="1"/>
  <c r="DK12" i="1"/>
  <c r="DK15" i="1"/>
  <c r="DK17" i="1"/>
  <c r="DK27" i="1" a="1"/>
  <c r="DK27" i="1" s="1"/>
  <c r="DK28" i="1" a="1"/>
  <c r="DK28" i="1" s="1"/>
  <c r="DK51" i="1"/>
  <c r="DK52" i="1"/>
  <c r="DK56" i="1"/>
  <c r="DK154" i="1"/>
  <c r="DK201" i="1"/>
  <c r="DK207" i="1" s="1"/>
  <c r="DJ13" i="1" l="1"/>
  <c r="DJ208" i="1" s="1"/>
  <c r="DL204" i="1"/>
  <c r="DL205" i="1"/>
  <c r="DK206" i="1"/>
  <c r="DL90" i="1"/>
  <c r="DL209" i="1"/>
  <c r="DG60" i="1"/>
  <c r="DG61" i="1"/>
  <c r="DG59" i="1"/>
  <c r="DG62" i="1"/>
  <c r="DJ82" i="1"/>
  <c r="DK126" i="1"/>
  <c r="DK134" i="1"/>
  <c r="DK135" i="1" s="1"/>
  <c r="DG58" i="1"/>
  <c r="DG81" i="1" s="1"/>
  <c r="DG63" i="1"/>
  <c r="DK158" i="1"/>
  <c r="DG148" i="1"/>
  <c r="DI104" i="1"/>
  <c r="DH144" i="1"/>
  <c r="DH106" i="1" s="1"/>
  <c r="DH105" i="1"/>
  <c r="DJ142" i="1"/>
  <c r="DI143" i="1"/>
  <c r="DK141" i="1"/>
  <c r="DK149" i="1" s="1"/>
  <c r="DK107" i="1" s="1"/>
  <c r="DC110" i="1"/>
  <c r="DL53" i="1"/>
  <c r="DK26" i="1" a="1"/>
  <c r="DK26" i="1" s="1"/>
  <c r="DK30" i="1" s="1"/>
  <c r="DK31" i="1" s="1" a="1"/>
  <c r="DK31" i="1" s="1"/>
  <c r="DJ26" i="1" a="1"/>
  <c r="DJ26" i="1" s="1"/>
  <c r="DJ30" i="1" s="1"/>
  <c r="DJ31" i="1" s="1" a="1"/>
  <c r="DJ31" i="1" s="1"/>
  <c r="DK127" i="1"/>
  <c r="DI20" i="1"/>
  <c r="DI40" i="1" s="1"/>
  <c r="DH39" i="1"/>
  <c r="DM21" i="1"/>
  <c r="DL42" i="1"/>
  <c r="DL48" i="1"/>
  <c r="DL46" i="1"/>
  <c r="DL44" i="1"/>
  <c r="DL49" i="1"/>
  <c r="DN22" i="1"/>
  <c r="DN45" i="1" s="1"/>
  <c r="DM43" i="1"/>
  <c r="DH37" i="1"/>
  <c r="DH23" i="1"/>
  <c r="DH32" i="1" s="1"/>
  <c r="DH33" i="1" s="1"/>
  <c r="DH34" i="1" s="1"/>
  <c r="DH36" i="1" s="1"/>
  <c r="DI16" i="1"/>
  <c r="DK13" i="1"/>
  <c r="DK208" i="1" s="1"/>
  <c r="DK18" i="1" a="1"/>
  <c r="DK18" i="1" s="1"/>
  <c r="DK67" i="1"/>
  <c r="DL7" i="1"/>
  <c r="DL8" i="1" s="1"/>
  <c r="DL9" i="1" s="1"/>
  <c r="DM5" i="1"/>
  <c r="DL12" i="1"/>
  <c r="DL15" i="1"/>
  <c r="DL11" i="1"/>
  <c r="DL17" i="1"/>
  <c r="DL28" i="1" a="1"/>
  <c r="DL28" i="1" s="1"/>
  <c r="DL27" i="1" a="1"/>
  <c r="DL27" i="1" s="1"/>
  <c r="DL51" i="1"/>
  <c r="DL52" i="1"/>
  <c r="DL56" i="1"/>
  <c r="DL154" i="1"/>
  <c r="DL201" i="1"/>
  <c r="DL207" i="1" s="1"/>
  <c r="DF64" i="1"/>
  <c r="DE79" i="1"/>
  <c r="DE89" i="1" s="1"/>
  <c r="DM205" i="1" l="1"/>
  <c r="DM204" i="1"/>
  <c r="DL206" i="1"/>
  <c r="DM90" i="1"/>
  <c r="DM209" i="1"/>
  <c r="DL126" i="1"/>
  <c r="DL127" i="1" s="1"/>
  <c r="DL134" i="1"/>
  <c r="DL135" i="1" s="1"/>
  <c r="DH61" i="1"/>
  <c r="DH59" i="1"/>
  <c r="DH60" i="1"/>
  <c r="DH62" i="1"/>
  <c r="DH58" i="1"/>
  <c r="DH81" i="1" s="1"/>
  <c r="DH63" i="1"/>
  <c r="DK82" i="1"/>
  <c r="DL158" i="1"/>
  <c r="DJ104" i="1"/>
  <c r="DI144" i="1"/>
  <c r="DI106" i="1" s="1"/>
  <c r="DI105" i="1"/>
  <c r="DH148" i="1"/>
  <c r="DL141" i="1"/>
  <c r="DL149" i="1" s="1"/>
  <c r="DL107" i="1" s="1"/>
  <c r="DJ143" i="1"/>
  <c r="DJ105" i="1" s="1"/>
  <c r="DK142" i="1"/>
  <c r="DD110" i="1"/>
  <c r="DM53" i="1"/>
  <c r="DL26" i="1" a="1"/>
  <c r="DL26" i="1" s="1"/>
  <c r="DL30" i="1" s="1"/>
  <c r="DL31" i="1" s="1" a="1"/>
  <c r="DL31" i="1" s="1"/>
  <c r="DJ20" i="1"/>
  <c r="DJ40" i="1" s="1"/>
  <c r="DI39" i="1"/>
  <c r="DO22" i="1"/>
  <c r="DO45" i="1" s="1"/>
  <c r="DN43" i="1"/>
  <c r="DN21" i="1"/>
  <c r="DM42" i="1"/>
  <c r="DM44" i="1"/>
  <c r="DM48" i="1"/>
  <c r="DM46" i="1"/>
  <c r="DM49" i="1"/>
  <c r="DF79" i="1"/>
  <c r="DF89" i="1" s="1"/>
  <c r="DN5" i="1"/>
  <c r="DM7" i="1"/>
  <c r="DM8" i="1" s="1"/>
  <c r="DM9" i="1" s="1"/>
  <c r="DM11" i="1"/>
  <c r="DM12" i="1"/>
  <c r="DM15" i="1"/>
  <c r="DM17" i="1"/>
  <c r="DM27" i="1" a="1"/>
  <c r="DM27" i="1" s="1"/>
  <c r="DM28" i="1" a="1"/>
  <c r="DM28" i="1" s="1"/>
  <c r="DM56" i="1"/>
  <c r="DM52" i="1"/>
  <c r="DM51" i="1"/>
  <c r="DM154" i="1"/>
  <c r="DM201" i="1"/>
  <c r="DM207" i="1" s="1"/>
  <c r="DL18" i="1" a="1"/>
  <c r="DL18" i="1" s="1"/>
  <c r="DL67" i="1"/>
  <c r="DG64" i="1"/>
  <c r="E207" i="1" s="1"/>
  <c r="D222" i="3" s="1"/>
  <c r="C261" i="3" s="1"/>
  <c r="DI37" i="1"/>
  <c r="DI23" i="1"/>
  <c r="DI32" i="1" s="1"/>
  <c r="DI33" i="1" s="1"/>
  <c r="DI34" i="1" s="1"/>
  <c r="DI36" i="1" s="1"/>
  <c r="DJ16" i="1"/>
  <c r="DL13" i="1"/>
  <c r="DL208" i="1" s="1"/>
  <c r="DN205" i="1" l="1"/>
  <c r="DN204" i="1"/>
  <c r="DM206" i="1"/>
  <c r="DN90" i="1"/>
  <c r="DN209" i="1"/>
  <c r="DL82" i="1"/>
  <c r="DM134" i="1"/>
  <c r="DM135" i="1" s="1"/>
  <c r="DM126" i="1"/>
  <c r="DM127" i="1" s="1"/>
  <c r="DI63" i="1"/>
  <c r="DI58" i="1"/>
  <c r="DI81" i="1" s="1"/>
  <c r="DI61" i="1"/>
  <c r="DI59" i="1"/>
  <c r="DI60" i="1"/>
  <c r="DI62" i="1"/>
  <c r="DM158" i="1"/>
  <c r="DK104" i="1"/>
  <c r="DJ144" i="1"/>
  <c r="DJ106" i="1" s="1"/>
  <c r="DI148" i="1"/>
  <c r="DL142" i="1"/>
  <c r="DM141" i="1"/>
  <c r="DM149" i="1" s="1"/>
  <c r="DM107" i="1" s="1"/>
  <c r="DK143" i="1"/>
  <c r="DE110" i="1"/>
  <c r="DN53" i="1"/>
  <c r="DM26" i="1" a="1"/>
  <c r="DM26" i="1" s="1"/>
  <c r="DM30" i="1" s="1"/>
  <c r="DM31" i="1" s="1" a="1"/>
  <c r="DM31" i="1" s="1"/>
  <c r="DJ39" i="1"/>
  <c r="DK20" i="1"/>
  <c r="DK40" i="1" s="1"/>
  <c r="DO21" i="1"/>
  <c r="DN42" i="1"/>
  <c r="DN48" i="1"/>
  <c r="DN46" i="1"/>
  <c r="DN49" i="1"/>
  <c r="DN44" i="1"/>
  <c r="DP22" i="1"/>
  <c r="DP45" i="1" s="1"/>
  <c r="DO43" i="1"/>
  <c r="DG79" i="1"/>
  <c r="DG89" i="1" s="1"/>
  <c r="DM18" i="1" a="1"/>
  <c r="DM18" i="1" s="1"/>
  <c r="DM67" i="1"/>
  <c r="DM13" i="1"/>
  <c r="DM208" i="1" s="1"/>
  <c r="DJ37" i="1"/>
  <c r="DJ23" i="1"/>
  <c r="DJ32" i="1" s="1"/>
  <c r="DJ33" i="1" s="1"/>
  <c r="DJ34" i="1" s="1"/>
  <c r="DJ36" i="1" s="1"/>
  <c r="DK16" i="1"/>
  <c r="DH64" i="1"/>
  <c r="DO5" i="1"/>
  <c r="DN11" i="1"/>
  <c r="DN7" i="1"/>
  <c r="DN8" i="1" s="1"/>
  <c r="DN9" i="1" s="1"/>
  <c r="DN12" i="1"/>
  <c r="DN15" i="1"/>
  <c r="DN17" i="1"/>
  <c r="DN28" i="1" a="1"/>
  <c r="DN28" i="1" s="1"/>
  <c r="DN51" i="1"/>
  <c r="DN52" i="1"/>
  <c r="DN27" i="1" a="1"/>
  <c r="DN27" i="1" s="1"/>
  <c r="DN56" i="1"/>
  <c r="DN154" i="1"/>
  <c r="DN201" i="1"/>
  <c r="DN207" i="1" s="1"/>
  <c r="DO205" i="1" l="1"/>
  <c r="DO204" i="1"/>
  <c r="DN206" i="1"/>
  <c r="DO90" i="1"/>
  <c r="DO209" i="1"/>
  <c r="DJ58" i="1"/>
  <c r="DJ81" i="1" s="1"/>
  <c r="DJ63" i="1"/>
  <c r="DJ59" i="1"/>
  <c r="DJ60" i="1"/>
  <c r="DJ61" i="1"/>
  <c r="DJ62" i="1"/>
  <c r="DN126" i="1"/>
  <c r="DN127" i="1" s="1"/>
  <c r="DN134" i="1"/>
  <c r="DN135" i="1" s="1"/>
  <c r="DM82" i="1"/>
  <c r="DN158" i="1"/>
  <c r="DJ148" i="1"/>
  <c r="DL104" i="1"/>
  <c r="DK144" i="1"/>
  <c r="DK106" i="1" s="1"/>
  <c r="DK105" i="1"/>
  <c r="DN141" i="1"/>
  <c r="DN149" i="1" s="1"/>
  <c r="DN107" i="1" s="1"/>
  <c r="DM142" i="1"/>
  <c r="DL143" i="1"/>
  <c r="DF110" i="1"/>
  <c r="DO53" i="1"/>
  <c r="DN26" i="1" a="1"/>
  <c r="DN26" i="1" s="1"/>
  <c r="DN30" i="1" s="1"/>
  <c r="DN31" i="1" s="1" a="1"/>
  <c r="DN31" i="1" s="1"/>
  <c r="DK39" i="1"/>
  <c r="DL20" i="1"/>
  <c r="DL40" i="1" s="1"/>
  <c r="DQ22" i="1"/>
  <c r="DQ45" i="1" s="1"/>
  <c r="DP43" i="1"/>
  <c r="DP21" i="1"/>
  <c r="DO44" i="1"/>
  <c r="DO42" i="1"/>
  <c r="DO48" i="1"/>
  <c r="DO46" i="1"/>
  <c r="DO49" i="1"/>
  <c r="DH79" i="1"/>
  <c r="DH89" i="1" s="1"/>
  <c r="DN18" i="1" a="1"/>
  <c r="DN18" i="1" s="1"/>
  <c r="DN67" i="1"/>
  <c r="DK37" i="1"/>
  <c r="DK23" i="1"/>
  <c r="DK32" i="1" s="1"/>
  <c r="DK33" i="1" s="1"/>
  <c r="DK34" i="1" s="1"/>
  <c r="DK36" i="1" s="1"/>
  <c r="DL16" i="1"/>
  <c r="DN13" i="1"/>
  <c r="DN208" i="1" s="1"/>
  <c r="DI64" i="1"/>
  <c r="DO7" i="1"/>
  <c r="DO8" i="1" s="1"/>
  <c r="DO9" i="1" s="1"/>
  <c r="DP5" i="1"/>
  <c r="DO11" i="1"/>
  <c r="DO12" i="1"/>
  <c r="DO15" i="1"/>
  <c r="DO17" i="1"/>
  <c r="DO27" i="1" a="1"/>
  <c r="DO27" i="1" s="1"/>
  <c r="DO28" i="1" a="1"/>
  <c r="DO28" i="1" s="1"/>
  <c r="DO52" i="1"/>
  <c r="DO56" i="1"/>
  <c r="DO51" i="1"/>
  <c r="DO154" i="1"/>
  <c r="DO201" i="1"/>
  <c r="DO207" i="1" s="1"/>
  <c r="DP204" i="1" l="1"/>
  <c r="DP205" i="1"/>
  <c r="DO206" i="1"/>
  <c r="DP90" i="1"/>
  <c r="DP209" i="1"/>
  <c r="DK58" i="1"/>
  <c r="DK81" i="1" s="1"/>
  <c r="DK63" i="1"/>
  <c r="DO134" i="1"/>
  <c r="DO135" i="1" s="1"/>
  <c r="DO126" i="1"/>
  <c r="DO127" i="1" s="1"/>
  <c r="DK59" i="1"/>
  <c r="DK60" i="1"/>
  <c r="DK61" i="1"/>
  <c r="DK62" i="1"/>
  <c r="DN82" i="1"/>
  <c r="DO158" i="1"/>
  <c r="DM104" i="1"/>
  <c r="DL144" i="1"/>
  <c r="DL106" i="1" s="1"/>
  <c r="DL105" i="1"/>
  <c r="DK148" i="1"/>
  <c r="DO141" i="1"/>
  <c r="DO149" i="1" s="1"/>
  <c r="DO107" i="1" s="1"/>
  <c r="DM143" i="1"/>
  <c r="DM105" i="1" s="1"/>
  <c r="DN142" i="1"/>
  <c r="DG110" i="1"/>
  <c r="DP53" i="1"/>
  <c r="DO26" i="1" a="1"/>
  <c r="DO26" i="1" s="1"/>
  <c r="DO30" i="1" s="1"/>
  <c r="DO31" i="1" s="1" a="1"/>
  <c r="DO31" i="1" s="1"/>
  <c r="DM20" i="1"/>
  <c r="DM40" i="1" s="1"/>
  <c r="DL39" i="1"/>
  <c r="DQ21" i="1"/>
  <c r="DP44" i="1"/>
  <c r="DP42" i="1"/>
  <c r="DP49" i="1"/>
  <c r="DP48" i="1"/>
  <c r="DP46" i="1"/>
  <c r="DR22" i="1"/>
  <c r="DR45" i="1" s="1"/>
  <c r="DQ43" i="1"/>
  <c r="DO13" i="1"/>
  <c r="DO208" i="1" s="1"/>
  <c r="DI79" i="1"/>
  <c r="DI89" i="1" s="1"/>
  <c r="DL37" i="1"/>
  <c r="DL23" i="1"/>
  <c r="DL32" i="1" s="1"/>
  <c r="DL33" i="1" s="1"/>
  <c r="DL34" i="1" s="1"/>
  <c r="DL36" i="1" s="1"/>
  <c r="DM16" i="1"/>
  <c r="DJ64" i="1"/>
  <c r="DP7" i="1"/>
  <c r="DQ5" i="1"/>
  <c r="DP11" i="1"/>
  <c r="DP15" i="1"/>
  <c r="DO82" i="1" s="1"/>
  <c r="DP12" i="1"/>
  <c r="DP17" i="1"/>
  <c r="DP27" i="1" a="1"/>
  <c r="DP27" i="1" s="1"/>
  <c r="DP28" i="1" a="1"/>
  <c r="DP28" i="1" s="1"/>
  <c r="DP52" i="1"/>
  <c r="DP56" i="1"/>
  <c r="DP51" i="1"/>
  <c r="DP154" i="1"/>
  <c r="DP201" i="1"/>
  <c r="DP207" i="1" s="1"/>
  <c r="DO18" i="1" a="1"/>
  <c r="DO18" i="1" s="1"/>
  <c r="DO67" i="1"/>
  <c r="DQ205" i="1" l="1"/>
  <c r="DQ204" i="1"/>
  <c r="DP206" i="1"/>
  <c r="DQ90" i="1"/>
  <c r="DQ209" i="1"/>
  <c r="DL63" i="1"/>
  <c r="DL58" i="1"/>
  <c r="DL81" i="1" s="1"/>
  <c r="DL59" i="1"/>
  <c r="DL60" i="1"/>
  <c r="DL61" i="1"/>
  <c r="DL62" i="1"/>
  <c r="DP126" i="1"/>
  <c r="DP127" i="1" s="1"/>
  <c r="DP134" i="1"/>
  <c r="DP135" i="1" s="1"/>
  <c r="DP158" i="1"/>
  <c r="DM144" i="1"/>
  <c r="DM106" i="1" s="1"/>
  <c r="DN104" i="1"/>
  <c r="DL148" i="1"/>
  <c r="DO142" i="1"/>
  <c r="DP141" i="1"/>
  <c r="DP149" i="1" s="1"/>
  <c r="DP107" i="1" s="1"/>
  <c r="DN143" i="1"/>
  <c r="DN105" i="1" s="1"/>
  <c r="DH110" i="1"/>
  <c r="DQ53" i="1"/>
  <c r="DN20" i="1"/>
  <c r="DN40" i="1" s="1"/>
  <c r="DM39" i="1"/>
  <c r="DS22" i="1"/>
  <c r="DS45" i="1" s="1"/>
  <c r="DR43" i="1"/>
  <c r="DR21" i="1"/>
  <c r="DQ42" i="1"/>
  <c r="DQ44" i="1"/>
  <c r="DQ49" i="1"/>
  <c r="DQ48" i="1"/>
  <c r="DQ46" i="1"/>
  <c r="DP18" i="1" a="1"/>
  <c r="DP18" i="1" s="1"/>
  <c r="DP67" i="1"/>
  <c r="DP13" i="1"/>
  <c r="DP208" i="1" s="1"/>
  <c r="DJ79" i="1"/>
  <c r="DJ89" i="1" s="1"/>
  <c r="DM37" i="1"/>
  <c r="DM23" i="1"/>
  <c r="DM32" i="1" s="1"/>
  <c r="DM33" i="1" s="1"/>
  <c r="DM34" i="1" s="1"/>
  <c r="DM36" i="1" s="1"/>
  <c r="DN16" i="1"/>
  <c r="DK64" i="1"/>
  <c r="DQ7" i="1"/>
  <c r="DQ8" i="1" s="1"/>
  <c r="DR5" i="1"/>
  <c r="DQ11" i="1"/>
  <c r="DQ15" i="1"/>
  <c r="DP82" i="1" s="1"/>
  <c r="DQ12" i="1"/>
  <c r="DQ17" i="1"/>
  <c r="DQ27" i="1" a="1"/>
  <c r="DQ27" i="1" s="1"/>
  <c r="DQ28" i="1" a="1"/>
  <c r="DQ28" i="1" s="1"/>
  <c r="DQ56" i="1"/>
  <c r="DQ52" i="1"/>
  <c r="DQ51" i="1"/>
  <c r="DQ154" i="1"/>
  <c r="DQ201" i="1"/>
  <c r="DQ207" i="1" s="1"/>
  <c r="DP8" i="1"/>
  <c r="DP9" i="1" s="1"/>
  <c r="DR204" i="1" l="1"/>
  <c r="DR205" i="1"/>
  <c r="DQ206" i="1"/>
  <c r="DR90" i="1"/>
  <c r="DR209" i="1"/>
  <c r="DM63" i="1"/>
  <c r="DM58" i="1"/>
  <c r="DM81" i="1" s="1"/>
  <c r="DM59" i="1"/>
  <c r="DM60" i="1"/>
  <c r="DM61" i="1"/>
  <c r="DM62" i="1"/>
  <c r="DQ126" i="1"/>
  <c r="DQ127" i="1" s="1"/>
  <c r="DQ134" i="1"/>
  <c r="DQ135" i="1" s="1"/>
  <c r="DQ158" i="1"/>
  <c r="DM148" i="1"/>
  <c r="DO104" i="1"/>
  <c r="DP142" i="1"/>
  <c r="DN144" i="1"/>
  <c r="DN106" i="1" s="1"/>
  <c r="DQ141" i="1"/>
  <c r="DQ149" i="1" s="1"/>
  <c r="DQ107" i="1" s="1"/>
  <c r="DO143" i="1"/>
  <c r="DO105" i="1" s="1"/>
  <c r="DI110" i="1"/>
  <c r="DR53" i="1"/>
  <c r="DP26" i="1" a="1"/>
  <c r="DP26" i="1" s="1"/>
  <c r="DP30" i="1" s="1"/>
  <c r="DP31" i="1" s="1" a="1"/>
  <c r="DP31" i="1" s="1"/>
  <c r="DO20" i="1"/>
  <c r="DO40" i="1" s="1"/>
  <c r="DN39" i="1"/>
  <c r="DS21" i="1"/>
  <c r="DR42" i="1"/>
  <c r="DR44" i="1"/>
  <c r="DR46" i="1"/>
  <c r="DR48" i="1"/>
  <c r="DR49" i="1"/>
  <c r="DQ9" i="1"/>
  <c r="DT22" i="1"/>
  <c r="DT45" i="1" s="1"/>
  <c r="DS43" i="1"/>
  <c r="DK79" i="1"/>
  <c r="DK89" i="1" s="1"/>
  <c r="DQ18" i="1" a="1"/>
  <c r="DQ18" i="1" s="1"/>
  <c r="DQ67" i="1"/>
  <c r="DN37" i="1"/>
  <c r="DN23" i="1"/>
  <c r="DN32" i="1" s="1"/>
  <c r="DN33" i="1" s="1"/>
  <c r="DN34" i="1" s="1"/>
  <c r="DN36" i="1" s="1"/>
  <c r="DO16" i="1"/>
  <c r="DQ13" i="1"/>
  <c r="DQ208" i="1" s="1"/>
  <c r="DL64" i="1"/>
  <c r="DR7" i="1"/>
  <c r="DR8" i="1" s="1"/>
  <c r="DS5" i="1"/>
  <c r="DR11" i="1"/>
  <c r="DR12" i="1"/>
  <c r="DR15" i="1"/>
  <c r="DQ82" i="1" s="1"/>
  <c r="DR17" i="1"/>
  <c r="DR27" i="1" a="1"/>
  <c r="DR27" i="1" s="1"/>
  <c r="DR28" i="1" a="1"/>
  <c r="DR28" i="1" s="1"/>
  <c r="DR51" i="1"/>
  <c r="DR52" i="1"/>
  <c r="DR56" i="1"/>
  <c r="DR154" i="1"/>
  <c r="DR201" i="1"/>
  <c r="DR207" i="1" s="1"/>
  <c r="DS204" i="1" l="1"/>
  <c r="DS205" i="1"/>
  <c r="DR206" i="1"/>
  <c r="DS90" i="1"/>
  <c r="DS209" i="1"/>
  <c r="DN58" i="1"/>
  <c r="DN81" i="1" s="1"/>
  <c r="DN63" i="1"/>
  <c r="DR126" i="1"/>
  <c r="DR127" i="1" s="1"/>
  <c r="DR134" i="1"/>
  <c r="DR135" i="1" s="1"/>
  <c r="DN61" i="1"/>
  <c r="DN60" i="1"/>
  <c r="DN59" i="1"/>
  <c r="DN62" i="1"/>
  <c r="DR158" i="1"/>
  <c r="DP104" i="1"/>
  <c r="DO144" i="1"/>
  <c r="DO106" i="1" s="1"/>
  <c r="DQ142" i="1"/>
  <c r="DR141" i="1"/>
  <c r="DR149" i="1" s="1"/>
  <c r="DR107" i="1" s="1"/>
  <c r="DN148" i="1"/>
  <c r="DP143" i="1"/>
  <c r="DP105" i="1" s="1"/>
  <c r="DJ110" i="1"/>
  <c r="DS53" i="1"/>
  <c r="DQ26" i="1" a="1"/>
  <c r="DQ26" i="1" s="1"/>
  <c r="DQ30" i="1" s="1"/>
  <c r="DQ31" i="1" s="1" a="1"/>
  <c r="DQ31" i="1" s="1"/>
  <c r="DR9" i="1"/>
  <c r="DP20" i="1"/>
  <c r="DP40" i="1" s="1"/>
  <c r="DO39" i="1"/>
  <c r="DU22" i="1"/>
  <c r="DU45" i="1" s="1"/>
  <c r="DT43" i="1"/>
  <c r="DT21" i="1"/>
  <c r="DS44" i="1"/>
  <c r="DS46" i="1"/>
  <c r="DS42" i="1"/>
  <c r="DS49" i="1"/>
  <c r="DS48" i="1"/>
  <c r="DR18" i="1" a="1"/>
  <c r="DR18" i="1" s="1"/>
  <c r="DR67" i="1"/>
  <c r="DR13" i="1"/>
  <c r="DR208" i="1" s="1"/>
  <c r="DM64" i="1"/>
  <c r="DS7" i="1"/>
  <c r="DS8" i="1" s="1"/>
  <c r="DS9" i="1" s="1"/>
  <c r="DT5" i="1"/>
  <c r="DS11" i="1"/>
  <c r="DS12" i="1"/>
  <c r="DS15" i="1"/>
  <c r="DR82" i="1" s="1"/>
  <c r="DS17" i="1"/>
  <c r="DS27" i="1" a="1"/>
  <c r="DS27" i="1" s="1"/>
  <c r="DS28" i="1" a="1"/>
  <c r="DS28" i="1" s="1"/>
  <c r="DS51" i="1"/>
  <c r="DS52" i="1"/>
  <c r="DS56" i="1"/>
  <c r="DS154" i="1"/>
  <c r="DS201" i="1"/>
  <c r="DS207" i="1" s="1"/>
  <c r="DO37" i="1"/>
  <c r="DO23" i="1"/>
  <c r="DO32" i="1" s="1"/>
  <c r="DO33" i="1" s="1"/>
  <c r="DO34" i="1" s="1"/>
  <c r="DO36" i="1" s="1"/>
  <c r="DP16" i="1"/>
  <c r="DL79" i="1"/>
  <c r="DL89" i="1" s="1"/>
  <c r="DT204" i="1" l="1"/>
  <c r="DT205" i="1"/>
  <c r="DS206" i="1"/>
  <c r="DT90" i="1"/>
  <c r="DT209" i="1"/>
  <c r="DS126" i="1"/>
  <c r="DS127" i="1" s="1"/>
  <c r="DS134" i="1"/>
  <c r="DS135" i="1" s="1"/>
  <c r="DO63" i="1"/>
  <c r="DO58" i="1"/>
  <c r="DO81" i="1" s="1"/>
  <c r="DO60" i="1"/>
  <c r="DO61" i="1"/>
  <c r="DO59" i="1"/>
  <c r="DO62" i="1"/>
  <c r="DS158" i="1"/>
  <c r="DQ104" i="1"/>
  <c r="DO148" i="1"/>
  <c r="DS141" i="1"/>
  <c r="DS149" i="1" s="1"/>
  <c r="DS107" i="1" s="1"/>
  <c r="DR142" i="1"/>
  <c r="DP144" i="1"/>
  <c r="DP106" i="1" s="1"/>
  <c r="DQ143" i="1"/>
  <c r="DQ105" i="1" s="1"/>
  <c r="DK110" i="1"/>
  <c r="DT53" i="1"/>
  <c r="DR26" i="1" a="1"/>
  <c r="DR26" i="1" s="1"/>
  <c r="DR30" i="1" s="1"/>
  <c r="DR31" i="1" s="1" a="1"/>
  <c r="DR31" i="1" s="1"/>
  <c r="DS26" i="1" a="1"/>
  <c r="DS26" i="1" s="1"/>
  <c r="DS30" i="1" s="1"/>
  <c r="DS31" i="1" s="1" a="1"/>
  <c r="DS31" i="1" s="1"/>
  <c r="DQ20" i="1"/>
  <c r="DQ40" i="1" s="1"/>
  <c r="DP39" i="1"/>
  <c r="DU21" i="1"/>
  <c r="DT42" i="1"/>
  <c r="DT48" i="1"/>
  <c r="DT44" i="1"/>
  <c r="DT46" i="1"/>
  <c r="DT49" i="1"/>
  <c r="DV22" i="1"/>
  <c r="DV45" i="1" s="1"/>
  <c r="DU43" i="1"/>
  <c r="DS13" i="1"/>
  <c r="DS208" i="1" s="1"/>
  <c r="DP37" i="1"/>
  <c r="DP23" i="1"/>
  <c r="DP32" i="1" s="1"/>
  <c r="DP33" i="1" s="1"/>
  <c r="DP34" i="1" s="1"/>
  <c r="DP36" i="1" s="1"/>
  <c r="DQ16" i="1"/>
  <c r="DT7" i="1"/>
  <c r="DT8" i="1" s="1"/>
  <c r="DT9" i="1" s="1"/>
  <c r="DU5" i="1"/>
  <c r="DT12" i="1"/>
  <c r="DT11" i="1"/>
  <c r="DT15" i="1"/>
  <c r="DS82" i="1" s="1"/>
  <c r="DT17" i="1"/>
  <c r="DT28" i="1" a="1"/>
  <c r="DT28" i="1" s="1"/>
  <c r="DT27" i="1" a="1"/>
  <c r="DT27" i="1" s="1"/>
  <c r="DT52" i="1"/>
  <c r="DT56" i="1"/>
  <c r="DT51" i="1"/>
  <c r="DT154" i="1"/>
  <c r="DT201" i="1"/>
  <c r="DT207" i="1" s="1"/>
  <c r="DN64" i="1"/>
  <c r="DM79" i="1"/>
  <c r="DM89" i="1" s="1"/>
  <c r="DS18" i="1" a="1"/>
  <c r="DS18" i="1" s="1"/>
  <c r="DS67" i="1"/>
  <c r="DU205" i="1" l="1"/>
  <c r="DU204" i="1"/>
  <c r="DT206" i="1"/>
  <c r="DU90" i="1"/>
  <c r="DU209" i="1"/>
  <c r="DT126" i="1"/>
  <c r="DT127" i="1" s="1"/>
  <c r="DT134" i="1"/>
  <c r="DT135" i="1" s="1"/>
  <c r="DP63" i="1"/>
  <c r="DP58" i="1"/>
  <c r="DP81" i="1" s="1"/>
  <c r="DP61" i="1"/>
  <c r="DP59" i="1"/>
  <c r="DP60" i="1"/>
  <c r="DP62" i="1"/>
  <c r="DT158" i="1"/>
  <c r="DR104" i="1"/>
  <c r="DQ144" i="1"/>
  <c r="DQ106" i="1" s="1"/>
  <c r="DT141" i="1"/>
  <c r="DT149" i="1" s="1"/>
  <c r="DT107" i="1" s="1"/>
  <c r="DP148" i="1"/>
  <c r="DR143" i="1"/>
  <c r="DR105" i="1" s="1"/>
  <c r="DS142" i="1"/>
  <c r="DL110" i="1"/>
  <c r="DU53" i="1"/>
  <c r="DT26" i="1" a="1"/>
  <c r="DT26" i="1" s="1"/>
  <c r="DT30" i="1" s="1"/>
  <c r="DT31" i="1" s="1" a="1"/>
  <c r="DT31" i="1" s="1"/>
  <c r="DR20" i="1"/>
  <c r="DR40" i="1" s="1"/>
  <c r="DQ39" i="1"/>
  <c r="DW22" i="1"/>
  <c r="DW45" i="1" s="1"/>
  <c r="DV43" i="1"/>
  <c r="DV21" i="1"/>
  <c r="DU42" i="1"/>
  <c r="DU44" i="1"/>
  <c r="DU48" i="1"/>
  <c r="DU46" i="1"/>
  <c r="DU49" i="1"/>
  <c r="DV5" i="1"/>
  <c r="DU7" i="1"/>
  <c r="DU11" i="1"/>
  <c r="DU12" i="1"/>
  <c r="DU15" i="1"/>
  <c r="DU17" i="1"/>
  <c r="DU27" i="1" a="1"/>
  <c r="DU27" i="1" s="1"/>
  <c r="DU28" i="1" a="1"/>
  <c r="DU28" i="1" s="1"/>
  <c r="DU52" i="1"/>
  <c r="DU56" i="1"/>
  <c r="DU51" i="1"/>
  <c r="DU154" i="1"/>
  <c r="DU201" i="1"/>
  <c r="DU207" i="1" s="1"/>
  <c r="DN79" i="1"/>
  <c r="DN89" i="1" s="1"/>
  <c r="DT18" i="1" a="1"/>
  <c r="DT18" i="1" s="1"/>
  <c r="DT67" i="1"/>
  <c r="DQ37" i="1"/>
  <c r="DQ23" i="1"/>
  <c r="DQ32" i="1" s="1"/>
  <c r="DQ33" i="1" s="1"/>
  <c r="DQ34" i="1" s="1"/>
  <c r="DQ36" i="1" s="1"/>
  <c r="DR16" i="1"/>
  <c r="DO64" i="1"/>
  <c r="DT13" i="1"/>
  <c r="DT208" i="1" s="1"/>
  <c r="DV205" i="1" l="1"/>
  <c r="DV204" i="1"/>
  <c r="DU206" i="1"/>
  <c r="DV90" i="1"/>
  <c r="DV209" i="1"/>
  <c r="DQ63" i="1"/>
  <c r="DQ58" i="1"/>
  <c r="DQ81" i="1" s="1"/>
  <c r="DQ61" i="1"/>
  <c r="DQ59" i="1"/>
  <c r="DQ60" i="1"/>
  <c r="DQ62" i="1"/>
  <c r="DT82" i="1"/>
  <c r="DU134" i="1"/>
  <c r="DU135" i="1" s="1"/>
  <c r="DU126" i="1"/>
  <c r="DU127" i="1" s="1"/>
  <c r="DU158" i="1"/>
  <c r="DQ148" i="1"/>
  <c r="DS104" i="1"/>
  <c r="DR144" i="1"/>
  <c r="DR106" i="1" s="1"/>
  <c r="DU141" i="1"/>
  <c r="DU149" i="1" s="1"/>
  <c r="DU107" i="1" s="1"/>
  <c r="DS143" i="1"/>
  <c r="DS105" i="1" s="1"/>
  <c r="DT142" i="1"/>
  <c r="DM110" i="1"/>
  <c r="DV53" i="1"/>
  <c r="DS20" i="1"/>
  <c r="DS40" i="1" s="1"/>
  <c r="DR39" i="1"/>
  <c r="DW21" i="1"/>
  <c r="DV44" i="1"/>
  <c r="DV48" i="1"/>
  <c r="DV46" i="1"/>
  <c r="DV42" i="1"/>
  <c r="DV49" i="1"/>
  <c r="DX22" i="1"/>
  <c r="DX45" i="1" s="1"/>
  <c r="DW43" i="1"/>
  <c r="DR37" i="1"/>
  <c r="DR23" i="1"/>
  <c r="DR32" i="1" s="1"/>
  <c r="DR33" i="1" s="1"/>
  <c r="DR34" i="1" s="1"/>
  <c r="DR36" i="1" s="1"/>
  <c r="DS16" i="1"/>
  <c r="DW5" i="1"/>
  <c r="DV7" i="1"/>
  <c r="DV8" i="1" s="1"/>
  <c r="DV12" i="1"/>
  <c r="DV11" i="1"/>
  <c r="DV15" i="1"/>
  <c r="DV17" i="1"/>
  <c r="DV28" i="1" a="1"/>
  <c r="DV28" i="1" s="1"/>
  <c r="DV27" i="1" a="1"/>
  <c r="DV27" i="1" s="1"/>
  <c r="DV51" i="1"/>
  <c r="DV52" i="1"/>
  <c r="DV56" i="1"/>
  <c r="DV154" i="1"/>
  <c r="DV201" i="1"/>
  <c r="DV207" i="1" s="1"/>
  <c r="DP64" i="1"/>
  <c r="DU8" i="1"/>
  <c r="DU9" i="1" s="1"/>
  <c r="DU18" i="1" a="1"/>
  <c r="DU18" i="1" s="1"/>
  <c r="DU67" i="1"/>
  <c r="DO79" i="1"/>
  <c r="DO89" i="1" s="1"/>
  <c r="DU13" i="1"/>
  <c r="DU208" i="1" s="1"/>
  <c r="DW205" i="1" l="1"/>
  <c r="DW204" i="1"/>
  <c r="DV206" i="1"/>
  <c r="DW90" i="1"/>
  <c r="DW209" i="1"/>
  <c r="DR60" i="1"/>
  <c r="DR59" i="1"/>
  <c r="DR61" i="1"/>
  <c r="DR62" i="1"/>
  <c r="DV126" i="1"/>
  <c r="DV127" i="1" s="1"/>
  <c r="DV134" i="1"/>
  <c r="DV135" i="1" s="1"/>
  <c r="DR58" i="1"/>
  <c r="DR81" i="1" s="1"/>
  <c r="DR63" i="1"/>
  <c r="DU82" i="1"/>
  <c r="DV158" i="1"/>
  <c r="DT104" i="1"/>
  <c r="DR148" i="1"/>
  <c r="DS144" i="1"/>
  <c r="DS106" i="1" s="1"/>
  <c r="DV141" i="1"/>
  <c r="DV149" i="1" s="1"/>
  <c r="DV107" i="1" s="1"/>
  <c r="DU142" i="1"/>
  <c r="DT143" i="1"/>
  <c r="DN110" i="1"/>
  <c r="DW53" i="1"/>
  <c r="DU26" i="1" a="1"/>
  <c r="DU26" i="1" s="1"/>
  <c r="DU30" i="1" s="1"/>
  <c r="DU31" i="1" s="1" a="1"/>
  <c r="DU31" i="1" s="1"/>
  <c r="DS39" i="1"/>
  <c r="DT20" i="1"/>
  <c r="DT40" i="1" s="1"/>
  <c r="DY22" i="1"/>
  <c r="DY45" i="1" s="1"/>
  <c r="DX43" i="1"/>
  <c r="DV9" i="1"/>
  <c r="DX21" i="1"/>
  <c r="DW44" i="1"/>
  <c r="DW42" i="1"/>
  <c r="DW48" i="1"/>
  <c r="DW49" i="1"/>
  <c r="DW46" i="1"/>
  <c r="DV18" i="1" a="1"/>
  <c r="DV18" i="1" s="1"/>
  <c r="DV67" i="1"/>
  <c r="DV13" i="1"/>
  <c r="DV208" i="1" s="1"/>
  <c r="DQ64" i="1"/>
  <c r="DW7" i="1"/>
  <c r="DW8" i="1" s="1"/>
  <c r="DW9" i="1" s="1"/>
  <c r="DX5" i="1"/>
  <c r="DW11" i="1"/>
  <c r="DW12" i="1"/>
  <c r="DW15" i="1"/>
  <c r="DV82" i="1" s="1"/>
  <c r="DW17" i="1"/>
  <c r="DW27" i="1" a="1"/>
  <c r="DW27" i="1" s="1"/>
  <c r="DW28" i="1" a="1"/>
  <c r="DW28" i="1" s="1"/>
  <c r="DW52" i="1"/>
  <c r="DW56" i="1"/>
  <c r="DW51" i="1"/>
  <c r="DW154" i="1"/>
  <c r="DW201" i="1"/>
  <c r="DW207" i="1" s="1"/>
  <c r="DP79" i="1"/>
  <c r="DP89" i="1" s="1"/>
  <c r="DS37" i="1"/>
  <c r="DS23" i="1"/>
  <c r="DS32" i="1" s="1"/>
  <c r="DS33" i="1" s="1"/>
  <c r="DS34" i="1" s="1"/>
  <c r="DS36" i="1" s="1"/>
  <c r="DT16" i="1"/>
  <c r="DX205" i="1" l="1"/>
  <c r="DX204" i="1"/>
  <c r="DW206" i="1"/>
  <c r="DX90" i="1"/>
  <c r="DX209" i="1"/>
  <c r="DS58" i="1"/>
  <c r="DS81" i="1" s="1"/>
  <c r="DS63" i="1"/>
  <c r="DS59" i="1"/>
  <c r="DS60" i="1"/>
  <c r="DS61" i="1"/>
  <c r="DS62" i="1"/>
  <c r="DW134" i="1"/>
  <c r="DW135" i="1" s="1"/>
  <c r="DW126" i="1"/>
  <c r="DW127" i="1" s="1"/>
  <c r="DW158" i="1"/>
  <c r="DU104" i="1"/>
  <c r="DT144" i="1"/>
  <c r="DT106" i="1" s="1"/>
  <c r="DT105" i="1"/>
  <c r="DW141" i="1"/>
  <c r="DW149" i="1" s="1"/>
  <c r="DW107" i="1" s="1"/>
  <c r="DV142" i="1"/>
  <c r="DU143" i="1"/>
  <c r="DS148" i="1"/>
  <c r="DO110" i="1"/>
  <c r="DX53" i="1"/>
  <c r="DV26" i="1" a="1"/>
  <c r="DV26" i="1" s="1"/>
  <c r="DV30" i="1" s="1"/>
  <c r="DV31" i="1" s="1" a="1"/>
  <c r="DV31" i="1" s="1"/>
  <c r="DW26" i="1" a="1"/>
  <c r="DW26" i="1" s="1"/>
  <c r="DW30" i="1" s="1"/>
  <c r="DW31" i="1" s="1" a="1"/>
  <c r="DW31" i="1" s="1"/>
  <c r="DU20" i="1"/>
  <c r="DU40" i="1" s="1"/>
  <c r="DT39" i="1"/>
  <c r="DY21" i="1"/>
  <c r="DX44" i="1"/>
  <c r="DX42" i="1"/>
  <c r="DX46" i="1"/>
  <c r="DX49" i="1"/>
  <c r="DX48" i="1"/>
  <c r="DZ22" i="1"/>
  <c r="DZ45" i="1" s="1"/>
  <c r="DY43" i="1"/>
  <c r="DW18" i="1" a="1"/>
  <c r="DW18" i="1" s="1"/>
  <c r="DW67" i="1"/>
  <c r="DQ79" i="1"/>
  <c r="DQ89" i="1" s="1"/>
  <c r="DT37" i="1"/>
  <c r="DT23" i="1"/>
  <c r="DT32" i="1" s="1"/>
  <c r="DT33" i="1" s="1"/>
  <c r="DT34" i="1" s="1"/>
  <c r="DT36" i="1" s="1"/>
  <c r="DU16" i="1"/>
  <c r="DW13" i="1"/>
  <c r="DW208" i="1" s="1"/>
  <c r="DR64" i="1"/>
  <c r="DX7" i="1"/>
  <c r="DY5" i="1"/>
  <c r="DX15" i="1"/>
  <c r="DX12" i="1"/>
  <c r="DX11" i="1"/>
  <c r="DX17" i="1"/>
  <c r="DX28" i="1" a="1"/>
  <c r="DX28" i="1" s="1"/>
  <c r="DX27" i="1" a="1"/>
  <c r="DX27" i="1" s="1"/>
  <c r="DX51" i="1"/>
  <c r="DX56" i="1"/>
  <c r="DX52" i="1"/>
  <c r="DX154" i="1"/>
  <c r="DX201" i="1"/>
  <c r="DX207" i="1" s="1"/>
  <c r="DY205" i="1" l="1"/>
  <c r="DY204" i="1"/>
  <c r="DX206" i="1"/>
  <c r="DY90" i="1"/>
  <c r="DY209" i="1"/>
  <c r="DX126" i="1"/>
  <c r="DX127" i="1" s="1"/>
  <c r="DX134" i="1"/>
  <c r="DX135" i="1" s="1"/>
  <c r="DT58" i="1"/>
  <c r="DT81" i="1" s="1"/>
  <c r="DT63" i="1"/>
  <c r="DT60" i="1"/>
  <c r="DT59" i="1"/>
  <c r="DT61" i="1"/>
  <c r="DT62" i="1"/>
  <c r="DW82" i="1"/>
  <c r="DX158" i="1"/>
  <c r="DV104" i="1"/>
  <c r="DU144" i="1"/>
  <c r="DU106" i="1" s="1"/>
  <c r="DU105" i="1"/>
  <c r="DT148" i="1"/>
  <c r="DX141" i="1"/>
  <c r="DX149" i="1" s="1"/>
  <c r="DX107" i="1" s="1"/>
  <c r="DV143" i="1"/>
  <c r="DV105" i="1" s="1"/>
  <c r="DW142" i="1"/>
  <c r="DP110" i="1"/>
  <c r="DY53" i="1"/>
  <c r="DU39" i="1"/>
  <c r="DV20" i="1"/>
  <c r="DV40" i="1" s="1"/>
  <c r="EA22" i="1"/>
  <c r="EA45" i="1" s="1"/>
  <c r="DZ43" i="1"/>
  <c r="DZ21" i="1"/>
  <c r="DY44" i="1"/>
  <c r="DY42" i="1"/>
  <c r="DY46" i="1"/>
  <c r="DY49" i="1"/>
  <c r="DY48" i="1"/>
  <c r="DX8" i="1"/>
  <c r="DX9" i="1" s="1"/>
  <c r="DS64" i="1"/>
  <c r="DR79" i="1"/>
  <c r="DR89" i="1" s="1"/>
  <c r="DX18" i="1" a="1"/>
  <c r="DX18" i="1" s="1"/>
  <c r="DX67" i="1"/>
  <c r="DU37" i="1"/>
  <c r="DU23" i="1"/>
  <c r="DU32" i="1" s="1"/>
  <c r="DU33" i="1" s="1"/>
  <c r="DU34" i="1" s="1"/>
  <c r="DU36" i="1" s="1"/>
  <c r="DV16" i="1"/>
  <c r="DX13" i="1"/>
  <c r="DX208" i="1" s="1"/>
  <c r="DY7" i="1"/>
  <c r="DY8" i="1" s="1"/>
  <c r="DZ5" i="1"/>
  <c r="DY15" i="1"/>
  <c r="DX82" i="1" s="1"/>
  <c r="DY12" i="1"/>
  <c r="DY11" i="1"/>
  <c r="DY17" i="1"/>
  <c r="DY28" i="1" a="1"/>
  <c r="DY28" i="1" s="1"/>
  <c r="DY27" i="1" a="1"/>
  <c r="DY27" i="1" s="1"/>
  <c r="DY56" i="1"/>
  <c r="DY52" i="1"/>
  <c r="DY51" i="1"/>
  <c r="DY154" i="1"/>
  <c r="DY201" i="1"/>
  <c r="DY207" i="1" s="1"/>
  <c r="DZ204" i="1" l="1"/>
  <c r="DZ205" i="1"/>
  <c r="DY206" i="1"/>
  <c r="DZ90" i="1"/>
  <c r="DZ209" i="1"/>
  <c r="DU63" i="1"/>
  <c r="DU58" i="1"/>
  <c r="DU81" i="1" s="1"/>
  <c r="DY126" i="1"/>
  <c r="DY127" i="1" s="1"/>
  <c r="DY134" i="1"/>
  <c r="DY135" i="1" s="1"/>
  <c r="DU59" i="1"/>
  <c r="DU60" i="1"/>
  <c r="DU61" i="1"/>
  <c r="DU62" i="1"/>
  <c r="DY158" i="1"/>
  <c r="DU148" i="1"/>
  <c r="DW104" i="1"/>
  <c r="DV144" i="1"/>
  <c r="DV106" i="1" s="1"/>
  <c r="DY141" i="1"/>
  <c r="DY149" i="1" s="1"/>
  <c r="DY107" i="1" s="1"/>
  <c r="DX142" i="1"/>
  <c r="DW143" i="1"/>
  <c r="DW105" i="1" s="1"/>
  <c r="DQ110" i="1"/>
  <c r="DZ53" i="1"/>
  <c r="DX26" i="1" a="1"/>
  <c r="DX26" i="1" s="1"/>
  <c r="DX30" i="1" s="1"/>
  <c r="DX31" i="1" s="1" a="1"/>
  <c r="DX31" i="1" s="1"/>
  <c r="DW20" i="1"/>
  <c r="DW40" i="1" s="1"/>
  <c r="DV39" i="1"/>
  <c r="DY9" i="1"/>
  <c r="EA21" i="1"/>
  <c r="DZ42" i="1"/>
  <c r="DZ46" i="1"/>
  <c r="DZ44" i="1"/>
  <c r="DZ48" i="1"/>
  <c r="DZ49" i="1"/>
  <c r="EB22" i="1"/>
  <c r="EB45" i="1" s="1"/>
  <c r="EA43" i="1"/>
  <c r="DS79" i="1"/>
  <c r="DS89" i="1" s="1"/>
  <c r="DY18" i="1" a="1"/>
  <c r="DY18" i="1" s="1"/>
  <c r="DY67" i="1"/>
  <c r="DY13" i="1"/>
  <c r="DY208" i="1" s="1"/>
  <c r="DT64" i="1"/>
  <c r="DV37" i="1"/>
  <c r="DV23" i="1"/>
  <c r="DV32" i="1" s="1"/>
  <c r="DV33" i="1" s="1"/>
  <c r="DV34" i="1" s="1"/>
  <c r="DV36" i="1" s="1"/>
  <c r="DW16" i="1"/>
  <c r="DZ7" i="1"/>
  <c r="DZ8" i="1" s="1"/>
  <c r="EA5" i="1"/>
  <c r="DZ11" i="1"/>
  <c r="DZ12" i="1"/>
  <c r="DZ15" i="1"/>
  <c r="DZ17" i="1"/>
  <c r="DZ27" i="1" a="1"/>
  <c r="DZ27" i="1" s="1"/>
  <c r="DZ28" i="1" a="1"/>
  <c r="DZ28" i="1" s="1"/>
  <c r="DZ51" i="1"/>
  <c r="DZ52" i="1"/>
  <c r="DZ56" i="1"/>
  <c r="DZ154" i="1"/>
  <c r="DZ201" i="1"/>
  <c r="DZ207" i="1" s="1"/>
  <c r="EA204" i="1" l="1"/>
  <c r="EA205" i="1"/>
  <c r="DZ206" i="1"/>
  <c r="EA90" i="1"/>
  <c r="EA209" i="1"/>
  <c r="DV58" i="1"/>
  <c r="DV81" i="1" s="1"/>
  <c r="DV63" i="1"/>
  <c r="DZ126" i="1"/>
  <c r="DZ127" i="1" s="1"/>
  <c r="DZ134" i="1"/>
  <c r="DZ135" i="1" s="1"/>
  <c r="DV60" i="1"/>
  <c r="DV61" i="1"/>
  <c r="DV59" i="1"/>
  <c r="DV62" i="1"/>
  <c r="DY82" i="1"/>
  <c r="DZ158" i="1"/>
  <c r="DX104" i="1"/>
  <c r="DW144" i="1"/>
  <c r="DW106" i="1" s="1"/>
  <c r="DZ141" i="1"/>
  <c r="DZ149" i="1" s="1"/>
  <c r="DZ107" i="1" s="1"/>
  <c r="DX143" i="1"/>
  <c r="DX105" i="1" s="1"/>
  <c r="DY142" i="1"/>
  <c r="DV148" i="1"/>
  <c r="DR110" i="1"/>
  <c r="EA53" i="1"/>
  <c r="DY26" i="1" a="1"/>
  <c r="DY26" i="1" s="1"/>
  <c r="DY30" i="1" s="1"/>
  <c r="DY31" i="1" s="1" a="1"/>
  <c r="DY31" i="1" s="1"/>
  <c r="DZ9" i="1"/>
  <c r="DW39" i="1"/>
  <c r="DX20" i="1"/>
  <c r="DX40" i="1" s="1"/>
  <c r="EC22" i="1"/>
  <c r="EC45" i="1" s="1"/>
  <c r="EB43" i="1"/>
  <c r="EB21" i="1"/>
  <c r="EA42" i="1"/>
  <c r="EA46" i="1"/>
  <c r="EA44" i="1"/>
  <c r="EA48" i="1"/>
  <c r="EA49" i="1"/>
  <c r="DT79" i="1"/>
  <c r="DT89" i="1" s="1"/>
  <c r="DZ18" i="1" a="1"/>
  <c r="DZ18" i="1" s="1"/>
  <c r="DZ67" i="1"/>
  <c r="DZ13" i="1"/>
  <c r="DZ208" i="1" s="1"/>
  <c r="DW37" i="1"/>
  <c r="DW23" i="1"/>
  <c r="DW32" i="1" s="1"/>
  <c r="DW33" i="1" s="1"/>
  <c r="DW34" i="1" s="1"/>
  <c r="DW36" i="1" s="1"/>
  <c r="DX16" i="1"/>
  <c r="DU64" i="1"/>
  <c r="EA7" i="1"/>
  <c r="EB5" i="1"/>
  <c r="EA11" i="1"/>
  <c r="EA12" i="1"/>
  <c r="EA15" i="1"/>
  <c r="EA17" i="1"/>
  <c r="EA27" i="1" a="1"/>
  <c r="EA27" i="1" s="1"/>
  <c r="EA28" i="1" a="1"/>
  <c r="EA28" i="1" s="1"/>
  <c r="EA51" i="1"/>
  <c r="EA52" i="1"/>
  <c r="EA56" i="1"/>
  <c r="EA154" i="1"/>
  <c r="EA201" i="1"/>
  <c r="EA207" i="1" s="1"/>
  <c r="EB204" i="1" l="1"/>
  <c r="EB205" i="1"/>
  <c r="EA206" i="1"/>
  <c r="EB90" i="1"/>
  <c r="EB209" i="1"/>
  <c r="DW58" i="1"/>
  <c r="DW81" i="1" s="1"/>
  <c r="DW63" i="1"/>
  <c r="DW60" i="1"/>
  <c r="DW61" i="1"/>
  <c r="DW59" i="1"/>
  <c r="DW62" i="1"/>
  <c r="EA126" i="1"/>
  <c r="EA127" i="1" s="1"/>
  <c r="EA134" i="1"/>
  <c r="EA135" i="1" s="1"/>
  <c r="DZ82" i="1"/>
  <c r="EA158" i="1"/>
  <c r="DX144" i="1"/>
  <c r="DX106" i="1" s="1"/>
  <c r="DW148" i="1"/>
  <c r="DY104" i="1"/>
  <c r="DZ142" i="1"/>
  <c r="EA141" i="1"/>
  <c r="EA149" i="1" s="1"/>
  <c r="EA107" i="1" s="1"/>
  <c r="DY143" i="1"/>
  <c r="DS110" i="1"/>
  <c r="EB53" i="1"/>
  <c r="DZ26" i="1" a="1"/>
  <c r="DZ26" i="1" s="1"/>
  <c r="DZ30" i="1" s="1"/>
  <c r="DZ31" i="1" s="1" a="1"/>
  <c r="DZ31" i="1" s="1"/>
  <c r="DX39" i="1"/>
  <c r="DY20" i="1"/>
  <c r="DY40" i="1" s="1"/>
  <c r="EC21" i="1"/>
  <c r="EB42" i="1"/>
  <c r="EB48" i="1"/>
  <c r="EB46" i="1"/>
  <c r="EB44" i="1"/>
  <c r="EB49" i="1"/>
  <c r="ED22" i="1"/>
  <c r="ED45" i="1" s="1"/>
  <c r="EC43" i="1"/>
  <c r="EA13" i="1"/>
  <c r="EA208" i="1" s="1"/>
  <c r="DU79" i="1"/>
  <c r="DU89" i="1" s="1"/>
  <c r="EB7" i="1"/>
  <c r="EB8" i="1" s="1"/>
  <c r="EC5" i="1"/>
  <c r="EB12" i="1"/>
  <c r="EB15" i="1"/>
  <c r="EB11" i="1"/>
  <c r="EB17" i="1"/>
  <c r="EB28" i="1" a="1"/>
  <c r="EB28" i="1" s="1"/>
  <c r="EB27" i="1" a="1"/>
  <c r="EB27" i="1" s="1"/>
  <c r="EB52" i="1"/>
  <c r="EB51" i="1"/>
  <c r="EB56" i="1"/>
  <c r="EB154" i="1"/>
  <c r="EB201" i="1"/>
  <c r="EB207" i="1" s="1"/>
  <c r="DX37" i="1"/>
  <c r="DX23" i="1"/>
  <c r="DX32" i="1" s="1"/>
  <c r="DX33" i="1" s="1"/>
  <c r="DX34" i="1" s="1"/>
  <c r="DX36" i="1" s="1"/>
  <c r="DY16" i="1"/>
  <c r="EA8" i="1"/>
  <c r="EA9" i="1" s="1"/>
  <c r="EA18" i="1" a="1"/>
  <c r="EA18" i="1" s="1"/>
  <c r="EA67" i="1"/>
  <c r="DV64" i="1"/>
  <c r="EC205" i="1" l="1"/>
  <c r="EC204" i="1"/>
  <c r="EB206" i="1"/>
  <c r="EC90" i="1"/>
  <c r="EC209" i="1"/>
  <c r="DX59" i="1"/>
  <c r="DX61" i="1"/>
  <c r="DX60" i="1"/>
  <c r="DX62" i="1"/>
  <c r="EA82" i="1"/>
  <c r="EB126" i="1"/>
  <c r="EB127" i="1" s="1"/>
  <c r="EB134" i="1"/>
  <c r="EB135" i="1" s="1"/>
  <c r="DX63" i="1"/>
  <c r="DX58" i="1"/>
  <c r="DX81" i="1" s="1"/>
  <c r="EB158" i="1"/>
  <c r="DX148" i="1"/>
  <c r="DZ104" i="1"/>
  <c r="DY144" i="1"/>
  <c r="DY106" i="1" s="1"/>
  <c r="DY105" i="1"/>
  <c r="EA142" i="1"/>
  <c r="EB141" i="1"/>
  <c r="EB149" i="1" s="1"/>
  <c r="EB107" i="1" s="1"/>
  <c r="DZ143" i="1"/>
  <c r="DT110" i="1"/>
  <c r="EC53" i="1"/>
  <c r="EA26" i="1" a="1"/>
  <c r="EA26" i="1" s="1"/>
  <c r="EA30" i="1" s="1"/>
  <c r="EA31" i="1" s="1" a="1"/>
  <c r="EA31" i="1" s="1"/>
  <c r="DY39" i="1"/>
  <c r="DZ20" i="1"/>
  <c r="DZ40" i="1" s="1"/>
  <c r="EB9" i="1"/>
  <c r="EE22" i="1"/>
  <c r="EE45" i="1" s="1"/>
  <c r="ED43" i="1"/>
  <c r="ED21" i="1"/>
  <c r="EC42" i="1"/>
  <c r="EC44" i="1"/>
  <c r="EC46" i="1"/>
  <c r="EC48" i="1"/>
  <c r="EC49" i="1"/>
  <c r="EB18" i="1" a="1"/>
  <c r="EB18" i="1" s="1"/>
  <c r="EB67" i="1"/>
  <c r="DV79" i="1"/>
  <c r="DV89" i="1" s="1"/>
  <c r="DY37" i="1"/>
  <c r="DY23" i="1"/>
  <c r="DY32" i="1" s="1"/>
  <c r="DY33" i="1" s="1"/>
  <c r="DY34" i="1" s="1"/>
  <c r="DY36" i="1" s="1"/>
  <c r="DZ16" i="1"/>
  <c r="EB13" i="1"/>
  <c r="EB208" i="1" s="1"/>
  <c r="ED5" i="1"/>
  <c r="EC7" i="1"/>
  <c r="EC8" i="1" s="1"/>
  <c r="EC11" i="1"/>
  <c r="EC12" i="1"/>
  <c r="EC15" i="1"/>
  <c r="EB82" i="1" s="1"/>
  <c r="EC17" i="1"/>
  <c r="EC27" i="1" a="1"/>
  <c r="EC27" i="1" s="1"/>
  <c r="EC28" i="1" a="1"/>
  <c r="EC28" i="1" s="1"/>
  <c r="EC52" i="1"/>
  <c r="EC51" i="1"/>
  <c r="EC56" i="1"/>
  <c r="EC154" i="1"/>
  <c r="EC201" i="1"/>
  <c r="EC207" i="1" s="1"/>
  <c r="DW64" i="1"/>
  <c r="ED205" i="1" l="1"/>
  <c r="ED204" i="1"/>
  <c r="EC206" i="1"/>
  <c r="ED90" i="1"/>
  <c r="ED209" i="1"/>
  <c r="DY63" i="1"/>
  <c r="DY58" i="1"/>
  <c r="DY81" i="1" s="1"/>
  <c r="DY61" i="1"/>
  <c r="DY59" i="1"/>
  <c r="DY60" i="1"/>
  <c r="DY62" i="1"/>
  <c r="EC134" i="1"/>
  <c r="EC135" i="1" s="1"/>
  <c r="EC126" i="1"/>
  <c r="EC127" i="1" s="1"/>
  <c r="EC158" i="1"/>
  <c r="EA104" i="1"/>
  <c r="DZ144" i="1"/>
  <c r="DZ106" i="1" s="1"/>
  <c r="DZ105" i="1"/>
  <c r="DY148" i="1"/>
  <c r="EB142" i="1"/>
  <c r="EA143" i="1"/>
  <c r="EA105" i="1" s="1"/>
  <c r="EC141" i="1"/>
  <c r="EC149" i="1" s="1"/>
  <c r="EC107" i="1" s="1"/>
  <c r="DU110" i="1"/>
  <c r="ED53" i="1"/>
  <c r="EB26" i="1" a="1"/>
  <c r="EB26" i="1" s="1"/>
  <c r="EB30" i="1" s="1"/>
  <c r="EB31" i="1" s="1" a="1"/>
  <c r="EB31" i="1" s="1"/>
  <c r="EC9" i="1"/>
  <c r="DZ39" i="1"/>
  <c r="EA20" i="1"/>
  <c r="EA40" i="1" s="1"/>
  <c r="EE21" i="1"/>
  <c r="ED44" i="1"/>
  <c r="ED42" i="1"/>
  <c r="ED48" i="1"/>
  <c r="ED46" i="1"/>
  <c r="ED49" i="1"/>
  <c r="EF22" i="1"/>
  <c r="EF45" i="1" s="1"/>
  <c r="EE43" i="1"/>
  <c r="DZ37" i="1"/>
  <c r="DZ23" i="1"/>
  <c r="DZ32" i="1" s="1"/>
  <c r="DZ33" i="1" s="1"/>
  <c r="DZ34" i="1" s="1"/>
  <c r="DZ36" i="1" s="1"/>
  <c r="EA16" i="1"/>
  <c r="EC18" i="1" a="1"/>
  <c r="EC18" i="1" s="1"/>
  <c r="EC67" i="1"/>
  <c r="DW79" i="1"/>
  <c r="DW89" i="1" s="1"/>
  <c r="DX64" i="1"/>
  <c r="EC13" i="1"/>
  <c r="EC208" i="1" s="1"/>
  <c r="EE5" i="1"/>
  <c r="ED11" i="1"/>
  <c r="ED7" i="1"/>
  <c r="ED12" i="1"/>
  <c r="ED15" i="1"/>
  <c r="EC82" i="1" s="1"/>
  <c r="ED17" i="1"/>
  <c r="ED28" i="1" a="1"/>
  <c r="ED28" i="1" s="1"/>
  <c r="ED27" i="1" a="1"/>
  <c r="ED27" i="1" s="1"/>
  <c r="ED51" i="1"/>
  <c r="ED52" i="1"/>
  <c r="ED56" i="1"/>
  <c r="ED154" i="1"/>
  <c r="ED201" i="1"/>
  <c r="ED207" i="1" s="1"/>
  <c r="EE205" i="1" l="1"/>
  <c r="EE204" i="1"/>
  <c r="ED206" i="1"/>
  <c r="EE90" i="1"/>
  <c r="EE209" i="1"/>
  <c r="ED126" i="1"/>
  <c r="ED127" i="1" s="1"/>
  <c r="ED134" i="1"/>
  <c r="ED135" i="1" s="1"/>
  <c r="DZ58" i="1"/>
  <c r="DZ81" i="1" s="1"/>
  <c r="DZ63" i="1"/>
  <c r="DZ59" i="1"/>
  <c r="DZ60" i="1"/>
  <c r="DZ61" i="1"/>
  <c r="DZ62" i="1"/>
  <c r="ED158" i="1"/>
  <c r="DZ148" i="1"/>
  <c r="EB104" i="1"/>
  <c r="EA144" i="1"/>
  <c r="EA106" i="1" s="1"/>
  <c r="EC142" i="1"/>
  <c r="EB143" i="1"/>
  <c r="EB105" i="1" s="1"/>
  <c r="ED141" i="1"/>
  <c r="ED149" i="1" s="1"/>
  <c r="ED107" i="1" s="1"/>
  <c r="DV110" i="1"/>
  <c r="EE53" i="1"/>
  <c r="EC26" i="1" a="1"/>
  <c r="EC26" i="1" s="1"/>
  <c r="EC30" i="1" s="1"/>
  <c r="EC31" i="1" s="1" a="1"/>
  <c r="EC31" i="1" s="1"/>
  <c r="EA39" i="1"/>
  <c r="EB20" i="1"/>
  <c r="EB40" i="1" s="1"/>
  <c r="EG22" i="1"/>
  <c r="EG45" i="1" s="1"/>
  <c r="EF43" i="1"/>
  <c r="EF21" i="1"/>
  <c r="EE44" i="1"/>
  <c r="EE42" i="1"/>
  <c r="EE48" i="1"/>
  <c r="EE46" i="1"/>
  <c r="EE49" i="1"/>
  <c r="EA37" i="1"/>
  <c r="EA23" i="1"/>
  <c r="EA32" i="1" s="1"/>
  <c r="EA33" i="1" s="1"/>
  <c r="EA34" i="1" s="1"/>
  <c r="EA36" i="1" s="1"/>
  <c r="EB16" i="1"/>
  <c r="DX79" i="1"/>
  <c r="DX89" i="1" s="1"/>
  <c r="ED18" i="1" a="1"/>
  <c r="ED18" i="1" s="1"/>
  <c r="ED67" i="1"/>
  <c r="ED13" i="1"/>
  <c r="ED208" i="1" s="1"/>
  <c r="DY64" i="1"/>
  <c r="ED8" i="1"/>
  <c r="ED9" i="1" s="1"/>
  <c r="EE7" i="1"/>
  <c r="EF5" i="1"/>
  <c r="EE11" i="1"/>
  <c r="EE12" i="1"/>
  <c r="EE15" i="1"/>
  <c r="EE17" i="1"/>
  <c r="EE27" i="1" a="1"/>
  <c r="EE27" i="1" s="1"/>
  <c r="EE28" i="1" a="1"/>
  <c r="EE28" i="1" s="1"/>
  <c r="EE52" i="1"/>
  <c r="EE51" i="1"/>
  <c r="EE56" i="1"/>
  <c r="EE154" i="1"/>
  <c r="EE201" i="1"/>
  <c r="EE207" i="1" s="1"/>
  <c r="EF205" i="1" l="1"/>
  <c r="EF204" i="1"/>
  <c r="EE206" i="1"/>
  <c r="EF90" i="1"/>
  <c r="EF209" i="1"/>
  <c r="EE134" i="1"/>
  <c r="EE135" i="1" s="1"/>
  <c r="EE126" i="1"/>
  <c r="EE127" i="1" s="1"/>
  <c r="EA59" i="1"/>
  <c r="EA60" i="1"/>
  <c r="EA61" i="1"/>
  <c r="EA62" i="1"/>
  <c r="ED82" i="1"/>
  <c r="EA63" i="1"/>
  <c r="EA58" i="1"/>
  <c r="EA81" i="1" s="1"/>
  <c r="EE158" i="1"/>
  <c r="EA148" i="1"/>
  <c r="EC104" i="1"/>
  <c r="EB144" i="1"/>
  <c r="EB106" i="1" s="1"/>
  <c r="EE141" i="1"/>
  <c r="EE149" i="1" s="1"/>
  <c r="EE107" i="1" s="1"/>
  <c r="ED142" i="1"/>
  <c r="EC143" i="1"/>
  <c r="EC105" i="1" s="1"/>
  <c r="DW110" i="1"/>
  <c r="EF53" i="1"/>
  <c r="ED26" i="1" a="1"/>
  <c r="ED26" i="1" s="1"/>
  <c r="ED30" i="1" s="1"/>
  <c r="ED31" i="1" s="1" a="1"/>
  <c r="ED31" i="1" s="1"/>
  <c r="EC20" i="1"/>
  <c r="EC40" i="1" s="1"/>
  <c r="EB39" i="1"/>
  <c r="EG21" i="1"/>
  <c r="EF44" i="1"/>
  <c r="EF42" i="1"/>
  <c r="EF49" i="1"/>
  <c r="EF46" i="1"/>
  <c r="EF48" i="1"/>
  <c r="EH22" i="1"/>
  <c r="EH45" i="1" s="1"/>
  <c r="EG43" i="1"/>
  <c r="DY79" i="1"/>
  <c r="DY89" i="1" s="1"/>
  <c r="EE18" i="1" a="1"/>
  <c r="EE18" i="1" s="1"/>
  <c r="EE67" i="1"/>
  <c r="EB37" i="1"/>
  <c r="EB23" i="1"/>
  <c r="EB32" i="1" s="1"/>
  <c r="EB33" i="1" s="1"/>
  <c r="EB34" i="1" s="1"/>
  <c r="EB36" i="1" s="1"/>
  <c r="EC16" i="1"/>
  <c r="EE13" i="1"/>
  <c r="EE208" i="1" s="1"/>
  <c r="EF7" i="1"/>
  <c r="EF8" i="1" s="1"/>
  <c r="EG5" i="1"/>
  <c r="EF11" i="1"/>
  <c r="EF15" i="1"/>
  <c r="EE82" i="1" s="1"/>
  <c r="EF12" i="1"/>
  <c r="EF17" i="1"/>
  <c r="EF28" i="1" a="1"/>
  <c r="EF28" i="1" s="1"/>
  <c r="EF27" i="1" a="1"/>
  <c r="EF27" i="1" s="1"/>
  <c r="EF52" i="1"/>
  <c r="EF51" i="1"/>
  <c r="EF56" i="1"/>
  <c r="EF154" i="1"/>
  <c r="EF201" i="1"/>
  <c r="EF207" i="1" s="1"/>
  <c r="DZ64" i="1"/>
  <c r="EE8" i="1"/>
  <c r="EE9" i="1" s="1"/>
  <c r="EG205" i="1" l="1"/>
  <c r="EG204" i="1"/>
  <c r="EF206" i="1"/>
  <c r="EG90" i="1"/>
  <c r="EG209" i="1"/>
  <c r="EB63" i="1"/>
  <c r="EB58" i="1"/>
  <c r="EB81" i="1" s="1"/>
  <c r="EB59" i="1"/>
  <c r="EB60" i="1"/>
  <c r="EB61" i="1"/>
  <c r="EB62" i="1"/>
  <c r="EF126" i="1"/>
  <c r="EF127" i="1" s="1"/>
  <c r="EF134" i="1"/>
  <c r="EF135" i="1" s="1"/>
  <c r="EF158" i="1"/>
  <c r="ED104" i="1"/>
  <c r="EC144" i="1"/>
  <c r="EC106" i="1" s="1"/>
  <c r="ED143" i="1"/>
  <c r="ED105" i="1" s="1"/>
  <c r="EE142" i="1"/>
  <c r="EF141" i="1"/>
  <c r="EF149" i="1" s="1"/>
  <c r="EF107" i="1" s="1"/>
  <c r="EB148" i="1"/>
  <c r="DX110" i="1"/>
  <c r="EG53" i="1"/>
  <c r="EE26" i="1" a="1"/>
  <c r="EE26" i="1" s="1"/>
  <c r="EE30" i="1" s="1"/>
  <c r="EE31" i="1" s="1" a="1"/>
  <c r="EE31" i="1" s="1"/>
  <c r="ED20" i="1"/>
  <c r="ED40" i="1" s="1"/>
  <c r="EC39" i="1"/>
  <c r="EI22" i="1"/>
  <c r="EI45" i="1" s="1"/>
  <c r="EH43" i="1"/>
  <c r="EH21" i="1"/>
  <c r="EG44" i="1"/>
  <c r="EG42" i="1"/>
  <c r="EG49" i="1"/>
  <c r="EG46" i="1"/>
  <c r="EG48" i="1"/>
  <c r="EF13" i="1"/>
  <c r="EF208" i="1" s="1"/>
  <c r="DZ79" i="1"/>
  <c r="DZ89" i="1" s="1"/>
  <c r="EC37" i="1"/>
  <c r="EC23" i="1"/>
  <c r="EC32" i="1" s="1"/>
  <c r="EC33" i="1" s="1"/>
  <c r="EC34" i="1" s="1"/>
  <c r="EC36" i="1" s="1"/>
  <c r="ED16" i="1"/>
  <c r="EF9" i="1"/>
  <c r="EG7" i="1"/>
  <c r="EG8" i="1" s="1"/>
  <c r="EH5" i="1"/>
  <c r="EG11" i="1"/>
  <c r="EG15" i="1"/>
  <c r="EF82" i="1" s="1"/>
  <c r="EG12" i="1"/>
  <c r="EG17" i="1"/>
  <c r="EG27" i="1" a="1"/>
  <c r="EG27" i="1" s="1"/>
  <c r="EG28" i="1" a="1"/>
  <c r="EG28" i="1" s="1"/>
  <c r="EG56" i="1"/>
  <c r="EG52" i="1"/>
  <c r="EG51" i="1"/>
  <c r="EG154" i="1"/>
  <c r="EG201" i="1"/>
  <c r="EG207" i="1" s="1"/>
  <c r="EF18" i="1" a="1"/>
  <c r="EF18" i="1" s="1"/>
  <c r="EF67" i="1"/>
  <c r="EA64" i="1"/>
  <c r="EH204" i="1" l="1"/>
  <c r="EH205" i="1"/>
  <c r="EG206" i="1"/>
  <c r="EH90" i="1"/>
  <c r="EH209" i="1"/>
  <c r="EC63" i="1"/>
  <c r="EC58" i="1"/>
  <c r="EC81" i="1" s="1"/>
  <c r="EC59" i="1"/>
  <c r="EC60" i="1"/>
  <c r="EC61" i="1"/>
  <c r="EC62" i="1"/>
  <c r="EG126" i="1"/>
  <c r="EG127" i="1" s="1"/>
  <c r="EG134" i="1"/>
  <c r="EG135" i="1" s="1"/>
  <c r="EG158" i="1"/>
  <c r="EC148" i="1"/>
  <c r="EE104" i="1"/>
  <c r="EF142" i="1"/>
  <c r="EG141" i="1"/>
  <c r="EG149" i="1" s="1"/>
  <c r="EG107" i="1" s="1"/>
  <c r="EE143" i="1"/>
  <c r="EE105" i="1" s="1"/>
  <c r="ED144" i="1"/>
  <c r="ED106" i="1" s="1"/>
  <c r="DY110" i="1"/>
  <c r="EH53" i="1"/>
  <c r="EF26" i="1" a="1"/>
  <c r="EF26" i="1" s="1"/>
  <c r="EF30" i="1" s="1"/>
  <c r="EF31" i="1" s="1" a="1"/>
  <c r="EF31" i="1" s="1"/>
  <c r="EG9" i="1"/>
  <c r="ED39" i="1"/>
  <c r="EE20" i="1"/>
  <c r="EE40" i="1" s="1"/>
  <c r="EI21" i="1"/>
  <c r="EH42" i="1"/>
  <c r="EH46" i="1"/>
  <c r="EH44" i="1"/>
  <c r="EH49" i="1"/>
  <c r="EH48" i="1"/>
  <c r="EJ22" i="1"/>
  <c r="EJ45" i="1" s="1"/>
  <c r="EI43" i="1"/>
  <c r="EG18" i="1" a="1"/>
  <c r="EG18" i="1" s="1"/>
  <c r="EG67" i="1"/>
  <c r="EG13" i="1"/>
  <c r="EG208" i="1" s="1"/>
  <c r="EA79" i="1"/>
  <c r="EA89" i="1" s="1"/>
  <c r="EH7" i="1"/>
  <c r="EH8" i="1" s="1"/>
  <c r="EI5" i="1"/>
  <c r="EH11" i="1"/>
  <c r="EH12" i="1"/>
  <c r="EH15" i="1"/>
  <c r="EG82" i="1" s="1"/>
  <c r="EH17" i="1"/>
  <c r="EH28" i="1" a="1"/>
  <c r="EH28" i="1" s="1"/>
  <c r="EH27" i="1" a="1"/>
  <c r="EH27" i="1" s="1"/>
  <c r="EH51" i="1"/>
  <c r="EH52" i="1"/>
  <c r="EH56" i="1"/>
  <c r="EH154" i="1"/>
  <c r="EH201" i="1"/>
  <c r="EH207" i="1" s="1"/>
  <c r="ED37" i="1"/>
  <c r="ED23" i="1"/>
  <c r="ED32" i="1" s="1"/>
  <c r="ED33" i="1" s="1"/>
  <c r="ED34" i="1" s="1"/>
  <c r="ED36" i="1" s="1"/>
  <c r="EE16" i="1"/>
  <c r="EB64" i="1"/>
  <c r="EI204" i="1" l="1"/>
  <c r="EI205" i="1"/>
  <c r="EH206" i="1"/>
  <c r="EI90" i="1"/>
  <c r="EI209" i="1"/>
  <c r="EH126" i="1"/>
  <c r="EH127" i="1" s="1"/>
  <c r="EH134" i="1"/>
  <c r="EH135" i="1" s="1"/>
  <c r="ED63" i="1"/>
  <c r="ED58" i="1"/>
  <c r="ED81" i="1" s="1"/>
  <c r="ED60" i="1"/>
  <c r="ED61" i="1"/>
  <c r="ED59" i="1"/>
  <c r="ED62" i="1"/>
  <c r="EF143" i="1"/>
  <c r="EH158" i="1"/>
  <c r="EF104" i="1"/>
  <c r="EE144" i="1"/>
  <c r="EE106" i="1" s="1"/>
  <c r="EH141" i="1"/>
  <c r="EH149" i="1" s="1"/>
  <c r="EH107" i="1" s="1"/>
  <c r="EG142" i="1"/>
  <c r="ED148" i="1"/>
  <c r="DZ110" i="1"/>
  <c r="EI53" i="1"/>
  <c r="EG26" i="1" a="1"/>
  <c r="EG26" i="1" s="1"/>
  <c r="EG30" i="1" s="1"/>
  <c r="EG31" i="1" s="1" a="1"/>
  <c r="EG31" i="1" s="1"/>
  <c r="EH9" i="1"/>
  <c r="EE39" i="1"/>
  <c r="EF20" i="1"/>
  <c r="EF40" i="1" s="1"/>
  <c r="EK22" i="1"/>
  <c r="EK45" i="1" s="1"/>
  <c r="EJ43" i="1"/>
  <c r="EJ21" i="1"/>
  <c r="EI46" i="1"/>
  <c r="EI44" i="1"/>
  <c r="EI42" i="1"/>
  <c r="EI49" i="1"/>
  <c r="EI48" i="1"/>
  <c r="EB79" i="1"/>
  <c r="EB89" i="1" s="1"/>
  <c r="EH13" i="1"/>
  <c r="EH208" i="1" s="1"/>
  <c r="EH18" i="1" a="1"/>
  <c r="EH18" i="1" s="1"/>
  <c r="EH67" i="1"/>
  <c r="EE37" i="1"/>
  <c r="EE23" i="1"/>
  <c r="EE32" i="1" s="1"/>
  <c r="EE33" i="1" s="1"/>
  <c r="EE34" i="1" s="1"/>
  <c r="EE36" i="1" s="1"/>
  <c r="EF16" i="1"/>
  <c r="EI7" i="1"/>
  <c r="EJ5" i="1"/>
  <c r="EI11" i="1"/>
  <c r="EI12" i="1"/>
  <c r="EI15" i="1"/>
  <c r="EH82" i="1" s="1"/>
  <c r="EI17" i="1"/>
  <c r="EI27" i="1" a="1"/>
  <c r="EI27" i="1" s="1"/>
  <c r="EI28" i="1" a="1"/>
  <c r="EI28" i="1" s="1"/>
  <c r="EI51" i="1"/>
  <c r="EI52" i="1"/>
  <c r="EI56" i="1"/>
  <c r="EI154" i="1"/>
  <c r="EI201" i="1"/>
  <c r="EI207" i="1" s="1"/>
  <c r="EC64" i="1"/>
  <c r="EJ204" i="1" l="1"/>
  <c r="EJ205" i="1"/>
  <c r="EI206" i="1"/>
  <c r="EJ90" i="1"/>
  <c r="EJ209" i="1"/>
  <c r="EE63" i="1"/>
  <c r="EE58" i="1"/>
  <c r="EE81" i="1" s="1"/>
  <c r="EE60" i="1"/>
  <c r="EE61" i="1"/>
  <c r="EE59" i="1"/>
  <c r="EE62" i="1"/>
  <c r="EI126" i="1"/>
  <c r="EI127" i="1" s="1"/>
  <c r="EI134" i="1"/>
  <c r="EI135" i="1" s="1"/>
  <c r="EF105" i="1"/>
  <c r="EF144" i="1"/>
  <c r="EF106" i="1" s="1"/>
  <c r="EI158" i="1"/>
  <c r="EG104" i="1"/>
  <c r="EE148" i="1"/>
  <c r="EI141" i="1"/>
  <c r="EI149" i="1" s="1"/>
  <c r="EI107" i="1" s="1"/>
  <c r="EG143" i="1"/>
  <c r="EG105" i="1" s="1"/>
  <c r="EH142" i="1"/>
  <c r="EA110" i="1"/>
  <c r="EJ53" i="1"/>
  <c r="EH26" i="1" a="1"/>
  <c r="EH26" i="1" s="1"/>
  <c r="EH30" i="1" s="1"/>
  <c r="EH31" i="1" s="1" a="1"/>
  <c r="EH31" i="1" s="1"/>
  <c r="EF39" i="1"/>
  <c r="EG20" i="1"/>
  <c r="EG40" i="1" s="1"/>
  <c r="EK21" i="1"/>
  <c r="EJ42" i="1"/>
  <c r="EJ48" i="1"/>
  <c r="EJ46" i="1"/>
  <c r="EJ44" i="1"/>
  <c r="EJ49" i="1"/>
  <c r="EL22" i="1"/>
  <c r="EL45" i="1" s="1"/>
  <c r="EK43" i="1"/>
  <c r="EF37" i="1"/>
  <c r="EF23" i="1"/>
  <c r="EF32" i="1" s="1"/>
  <c r="EF33" i="1" s="1"/>
  <c r="EF34" i="1" s="1"/>
  <c r="EF36" i="1" s="1"/>
  <c r="EG16" i="1"/>
  <c r="EI18" i="1" a="1"/>
  <c r="EI18" i="1" s="1"/>
  <c r="EI67" i="1"/>
  <c r="E17" i="1"/>
  <c r="EI13" i="1"/>
  <c r="EI208" i="1" s="1"/>
  <c r="E12" i="1"/>
  <c r="EC79" i="1"/>
  <c r="EC89" i="1" s="1"/>
  <c r="EI8" i="1"/>
  <c r="EI9" i="1" s="1"/>
  <c r="E11" i="1"/>
  <c r="ED64" i="1"/>
  <c r="E15" i="1"/>
  <c r="EJ7" i="1"/>
  <c r="EJ8" i="1" s="1"/>
  <c r="EK5" i="1"/>
  <c r="EJ12" i="1"/>
  <c r="EJ11" i="1"/>
  <c r="EJ15" i="1"/>
  <c r="EI82" i="1" s="1"/>
  <c r="EJ17" i="1"/>
  <c r="EJ23" i="1"/>
  <c r="EJ28" i="1" a="1"/>
  <c r="EJ28" i="1" s="1"/>
  <c r="EJ27" i="1" a="1"/>
  <c r="EJ27" i="1" s="1"/>
  <c r="EJ56" i="1"/>
  <c r="EJ52" i="1"/>
  <c r="EJ51" i="1"/>
  <c r="EJ154" i="1"/>
  <c r="EJ201" i="1"/>
  <c r="EJ207" i="1" s="1"/>
  <c r="EK205" i="1" l="1"/>
  <c r="EK204" i="1"/>
  <c r="EJ206" i="1"/>
  <c r="EK90" i="1"/>
  <c r="EK209" i="1"/>
  <c r="EJ126" i="1"/>
  <c r="EJ127" i="1" s="1"/>
  <c r="EJ134" i="1"/>
  <c r="EJ135" i="1" s="1"/>
  <c r="EF63" i="1"/>
  <c r="EF58" i="1"/>
  <c r="EF81" i="1" s="1"/>
  <c r="EF61" i="1"/>
  <c r="EF59" i="1"/>
  <c r="EF60" i="1"/>
  <c r="EF62" i="1"/>
  <c r="EF148" i="1"/>
  <c r="EJ158" i="1"/>
  <c r="EG144" i="1"/>
  <c r="EG106" i="1" s="1"/>
  <c r="EH104" i="1"/>
  <c r="EH143" i="1"/>
  <c r="EH105" i="1" s="1"/>
  <c r="EI142" i="1"/>
  <c r="EJ141" i="1"/>
  <c r="EJ149" i="1" s="1"/>
  <c r="EJ107" i="1" s="1"/>
  <c r="EB110" i="1"/>
  <c r="EK53" i="1"/>
  <c r="EI26" i="1" a="1"/>
  <c r="EI26" i="1" s="1"/>
  <c r="EI30" i="1" s="1"/>
  <c r="EI31" i="1" s="1" a="1"/>
  <c r="EI31" i="1" s="1"/>
  <c r="E13" i="1"/>
  <c r="EG39" i="1"/>
  <c r="EH20" i="1"/>
  <c r="EH40" i="1" s="1"/>
  <c r="EJ9" i="1"/>
  <c r="EM22" i="1"/>
  <c r="EM45" i="1" s="1"/>
  <c r="EL43" i="1"/>
  <c r="EL21" i="1"/>
  <c r="EK42" i="1"/>
  <c r="EK44" i="1"/>
  <c r="EK46" i="1"/>
  <c r="EK48" i="1"/>
  <c r="EK49" i="1"/>
  <c r="EJ13" i="1"/>
  <c r="EJ208" i="1" s="1"/>
  <c r="EL5" i="1"/>
  <c r="EK7" i="1"/>
  <c r="EK8" i="1" s="1"/>
  <c r="EK11" i="1"/>
  <c r="EK12" i="1"/>
  <c r="EK15" i="1"/>
  <c r="EK17" i="1"/>
  <c r="EK23" i="1"/>
  <c r="EK27" i="1" a="1"/>
  <c r="EK27" i="1" s="1"/>
  <c r="EK28" i="1" a="1"/>
  <c r="EK28" i="1" s="1"/>
  <c r="EK51" i="1"/>
  <c r="EK56" i="1"/>
  <c r="EK52" i="1"/>
  <c r="EK154" i="1"/>
  <c r="EK201" i="1"/>
  <c r="EK207" i="1" s="1"/>
  <c r="EE64" i="1"/>
  <c r="EJ18" i="1" a="1"/>
  <c r="EJ18" i="1" s="1"/>
  <c r="EJ65" i="1"/>
  <c r="EJ66" i="1"/>
  <c r="EJ67" i="1"/>
  <c r="ED79" i="1"/>
  <c r="ED89" i="1" s="1"/>
  <c r="EG37" i="1"/>
  <c r="EG23" i="1"/>
  <c r="EG32" i="1" s="1"/>
  <c r="EG33" i="1" s="1"/>
  <c r="EG34" i="1" s="1"/>
  <c r="EG36" i="1" s="1"/>
  <c r="EH16" i="1"/>
  <c r="EL205" i="1" l="1"/>
  <c r="EL204" i="1"/>
  <c r="EK206" i="1"/>
  <c r="EL90" i="1"/>
  <c r="EL209" i="1"/>
  <c r="EG61" i="1"/>
  <c r="EG59" i="1"/>
  <c r="EG60" i="1"/>
  <c r="EG62" i="1"/>
  <c r="EK134" i="1"/>
  <c r="EK135" i="1" s="1"/>
  <c r="EK126" i="1"/>
  <c r="EK127" i="1" s="1"/>
  <c r="EG58" i="1"/>
  <c r="EG81" i="1" s="1"/>
  <c r="EG63" i="1"/>
  <c r="EJ82" i="1"/>
  <c r="EK158" i="1"/>
  <c r="EG148" i="1"/>
  <c r="EH144" i="1"/>
  <c r="EH106" i="1" s="1"/>
  <c r="EI104" i="1"/>
  <c r="EJ142" i="1"/>
  <c r="EK141" i="1"/>
  <c r="EK149" i="1" s="1"/>
  <c r="EK107" i="1" s="1"/>
  <c r="EI143" i="1"/>
  <c r="EI105" i="1" s="1"/>
  <c r="EC110" i="1"/>
  <c r="EL53" i="1"/>
  <c r="EJ26" i="1" a="1"/>
  <c r="EJ26" i="1" s="1"/>
  <c r="EJ30" i="1" s="1"/>
  <c r="EJ31" i="1" s="1" a="1"/>
  <c r="EJ31" i="1" s="1"/>
  <c r="EJ32" i="1" s="1"/>
  <c r="EJ33" i="1" s="1"/>
  <c r="EJ34" i="1" s="1"/>
  <c r="EH39" i="1"/>
  <c r="EI20" i="1"/>
  <c r="EI40" i="1" s="1"/>
  <c r="EK9" i="1"/>
  <c r="EM21" i="1"/>
  <c r="EL48" i="1"/>
  <c r="EL46" i="1"/>
  <c r="EL42" i="1"/>
  <c r="EL44" i="1"/>
  <c r="EL49" i="1"/>
  <c r="EN22" i="1"/>
  <c r="EN45" i="1" s="1"/>
  <c r="EM43" i="1"/>
  <c r="EK18" i="1" a="1"/>
  <c r="EK18" i="1" s="1"/>
  <c r="EK65" i="1"/>
  <c r="EK66" i="1"/>
  <c r="EK67" i="1"/>
  <c r="EK13" i="1"/>
  <c r="EK208" i="1" s="1"/>
  <c r="EF64" i="1"/>
  <c r="EH37" i="1"/>
  <c r="EH23" i="1"/>
  <c r="EH32" i="1" s="1"/>
  <c r="EH33" i="1" s="1"/>
  <c r="EH34" i="1" s="1"/>
  <c r="EH36" i="1" s="1"/>
  <c r="EI16" i="1"/>
  <c r="EE79" i="1"/>
  <c r="EE89" i="1" s="1"/>
  <c r="EM5" i="1"/>
  <c r="EL7" i="1"/>
  <c r="EL8" i="1" s="1"/>
  <c r="EL12" i="1"/>
  <c r="EL11" i="1"/>
  <c r="EL15" i="1"/>
  <c r="EK82" i="1" s="1"/>
  <c r="EL17" i="1"/>
  <c r="EL23" i="1"/>
  <c r="EL28" i="1" a="1"/>
  <c r="EL28" i="1" s="1"/>
  <c r="EL27" i="1" a="1"/>
  <c r="EL27" i="1" s="1"/>
  <c r="EL51" i="1"/>
  <c r="EL52" i="1"/>
  <c r="EL56" i="1"/>
  <c r="EL154" i="1"/>
  <c r="EL201" i="1"/>
  <c r="EL207" i="1" s="1"/>
  <c r="EM205" i="1" l="1"/>
  <c r="EM204" i="1"/>
  <c r="EL206" i="1"/>
  <c r="EM90" i="1"/>
  <c r="EM209" i="1"/>
  <c r="EL126" i="1"/>
  <c r="EL127" i="1" s="1"/>
  <c r="EL134" i="1"/>
  <c r="EL135" i="1" s="1"/>
  <c r="EH59" i="1"/>
  <c r="EH60" i="1"/>
  <c r="EH61" i="1"/>
  <c r="EH62" i="1"/>
  <c r="EH58" i="1"/>
  <c r="EH81" i="1" s="1"/>
  <c r="EH63" i="1"/>
  <c r="EL158" i="1"/>
  <c r="EH148" i="1"/>
  <c r="EI144" i="1"/>
  <c r="EI106" i="1" s="1"/>
  <c r="EJ104" i="1"/>
  <c r="EJ143" i="1"/>
  <c r="EL141" i="1"/>
  <c r="EL149" i="1" s="1"/>
  <c r="EL107" i="1" s="1"/>
  <c r="EK142" i="1"/>
  <c r="ED110" i="1"/>
  <c r="EM53" i="1"/>
  <c r="EK26" i="1" a="1"/>
  <c r="EK26" i="1" s="1"/>
  <c r="EK30" i="1" s="1"/>
  <c r="EK31" i="1" s="1" a="1"/>
  <c r="EK31" i="1" s="1"/>
  <c r="EK32" i="1" s="1"/>
  <c r="EK33" i="1" s="1"/>
  <c r="EK34" i="1" s="1"/>
  <c r="EL9" i="1"/>
  <c r="EJ20" i="1"/>
  <c r="EJ40" i="1" s="1"/>
  <c r="EI39" i="1"/>
  <c r="EO22" i="1"/>
  <c r="EO45" i="1" s="1"/>
  <c r="EN43" i="1"/>
  <c r="EN21" i="1"/>
  <c r="EM44" i="1"/>
  <c r="EM48" i="1"/>
  <c r="EM42" i="1"/>
  <c r="EM46" i="1"/>
  <c r="EM49" i="1"/>
  <c r="EM7" i="1"/>
  <c r="EM8" i="1" s="1"/>
  <c r="EM9" i="1" s="1"/>
  <c r="EN5" i="1"/>
  <c r="EM11" i="1"/>
  <c r="EM12" i="1"/>
  <c r="EM15" i="1"/>
  <c r="EM17" i="1"/>
  <c r="EM27" i="1" a="1"/>
  <c r="EM27" i="1" s="1"/>
  <c r="EM23" i="1"/>
  <c r="EM28" i="1" a="1"/>
  <c r="EM28" i="1" s="1"/>
  <c r="EM52" i="1"/>
  <c r="EM51" i="1"/>
  <c r="EM56" i="1"/>
  <c r="EM154" i="1"/>
  <c r="EM201" i="1"/>
  <c r="EM207" i="1" s="1"/>
  <c r="EI37" i="1"/>
  <c r="E16" i="1"/>
  <c r="EI23" i="1"/>
  <c r="EI32" i="1" s="1"/>
  <c r="EI33" i="1" s="1"/>
  <c r="EI34" i="1" s="1"/>
  <c r="EI36" i="1" s="1"/>
  <c r="EJ16" i="1"/>
  <c r="EF79" i="1"/>
  <c r="EF89" i="1" s="1"/>
  <c r="EL18" i="1" a="1"/>
  <c r="EL18" i="1" s="1"/>
  <c r="EL65" i="1"/>
  <c r="EL66" i="1"/>
  <c r="EL67" i="1"/>
  <c r="EG64" i="1"/>
  <c r="EL13" i="1"/>
  <c r="EL208" i="1" s="1"/>
  <c r="EN204" i="1" l="1"/>
  <c r="EN205" i="1"/>
  <c r="EM206" i="1"/>
  <c r="EN90" i="1"/>
  <c r="EN209" i="1"/>
  <c r="EI59" i="1"/>
  <c r="EI60" i="1"/>
  <c r="EI61" i="1"/>
  <c r="EI62" i="1"/>
  <c r="EM134" i="1"/>
  <c r="EM135" i="1" s="1"/>
  <c r="EM126" i="1"/>
  <c r="EM127" i="1" s="1"/>
  <c r="EI58" i="1"/>
  <c r="EI81" i="1" s="1"/>
  <c r="EI63" i="1"/>
  <c r="EL82" i="1"/>
  <c r="EM158" i="1"/>
  <c r="EI148" i="1"/>
  <c r="EJ105" i="1"/>
  <c r="EJ144" i="1"/>
  <c r="EJ106" i="1" s="1"/>
  <c r="EK104" i="1"/>
  <c r="EL142" i="1"/>
  <c r="EM141" i="1"/>
  <c r="EM149" i="1" s="1"/>
  <c r="EM107" i="1" s="1"/>
  <c r="EK143" i="1"/>
  <c r="EK105" i="1" s="1"/>
  <c r="EE110" i="1"/>
  <c r="EN53" i="1"/>
  <c r="EM26" i="1" a="1"/>
  <c r="EM26" i="1" s="1"/>
  <c r="EM30" i="1" s="1"/>
  <c r="EM31" i="1" s="1" a="1"/>
  <c r="EM31" i="1" s="1"/>
  <c r="EM32" i="1" s="1"/>
  <c r="EM33" i="1" s="1"/>
  <c r="EM34" i="1" s="1"/>
  <c r="EL26" i="1" a="1"/>
  <c r="EL26" i="1" s="1"/>
  <c r="EL30" i="1" s="1"/>
  <c r="EL31" i="1" s="1" a="1"/>
  <c r="EL31" i="1" s="1"/>
  <c r="EL32" i="1" s="1"/>
  <c r="EL33" i="1" s="1"/>
  <c r="EL34" i="1" s="1"/>
  <c r="EJ39" i="1"/>
  <c r="EK20" i="1"/>
  <c r="EK40" i="1" s="1"/>
  <c r="EO21" i="1"/>
  <c r="EN44" i="1"/>
  <c r="EN42" i="1"/>
  <c r="EN49" i="1"/>
  <c r="EN48" i="1"/>
  <c r="EN46" i="1"/>
  <c r="EP22" i="1"/>
  <c r="EP45" i="1" s="1"/>
  <c r="EO43" i="1"/>
  <c r="EN7" i="1"/>
  <c r="EN8" i="1" s="1"/>
  <c r="EN9" i="1" s="1"/>
  <c r="EO5" i="1"/>
  <c r="EN15" i="1"/>
  <c r="EM82" i="1" s="1"/>
  <c r="EN12" i="1"/>
  <c r="EN11" i="1"/>
  <c r="EN17" i="1"/>
  <c r="EN23" i="1"/>
  <c r="EN28" i="1" a="1"/>
  <c r="EN28" i="1" s="1"/>
  <c r="EN27" i="1" a="1"/>
  <c r="EN27" i="1" s="1"/>
  <c r="EN52" i="1"/>
  <c r="EN51" i="1"/>
  <c r="EN56" i="1"/>
  <c r="EN154" i="1"/>
  <c r="EN201" i="1"/>
  <c r="EN207" i="1" s="1"/>
  <c r="EJ37" i="1"/>
  <c r="EJ36" i="1"/>
  <c r="EK16" i="1"/>
  <c r="EH64" i="1"/>
  <c r="EM18" i="1" a="1"/>
  <c r="EM18" i="1" s="1"/>
  <c r="EM65" i="1"/>
  <c r="EM66" i="1"/>
  <c r="EM67" i="1"/>
  <c r="EG79" i="1"/>
  <c r="EG89" i="1" s="1"/>
  <c r="EM13" i="1"/>
  <c r="EM208" i="1" s="1"/>
  <c r="EO205" i="1" l="1"/>
  <c r="EO204" i="1"/>
  <c r="EN206" i="1"/>
  <c r="EO90" i="1"/>
  <c r="EO209" i="1"/>
  <c r="EN126" i="1"/>
  <c r="EN127" i="1" s="1"/>
  <c r="EN134" i="1"/>
  <c r="EN135" i="1" s="1"/>
  <c r="EJ58" i="1"/>
  <c r="EJ81" i="1" s="1"/>
  <c r="EJ63" i="1"/>
  <c r="EJ59" i="1"/>
  <c r="EJ60" i="1"/>
  <c r="EJ61" i="1"/>
  <c r="EJ62" i="1"/>
  <c r="EN158" i="1"/>
  <c r="EJ148" i="1"/>
  <c r="EK144" i="1"/>
  <c r="EK106" i="1" s="1"/>
  <c r="EL104" i="1"/>
  <c r="EN141" i="1"/>
  <c r="EN149" i="1" s="1"/>
  <c r="EN107" i="1" s="1"/>
  <c r="EM142" i="1"/>
  <c r="EL143" i="1"/>
  <c r="EF110" i="1"/>
  <c r="EO53" i="1"/>
  <c r="EN26" i="1" a="1"/>
  <c r="EN26" i="1" s="1"/>
  <c r="EN30" i="1" s="1"/>
  <c r="EN31" i="1" s="1" a="1"/>
  <c r="EN31" i="1" s="1"/>
  <c r="EN32" i="1" s="1"/>
  <c r="EN33" i="1" s="1"/>
  <c r="EN34" i="1" s="1"/>
  <c r="EL20" i="1"/>
  <c r="EL40" i="1" s="1"/>
  <c r="EK39" i="1"/>
  <c r="EQ22" i="1"/>
  <c r="EQ45" i="1" s="1"/>
  <c r="EP43" i="1"/>
  <c r="EP21" i="1"/>
  <c r="EO49" i="1"/>
  <c r="EO42" i="1"/>
  <c r="EO44" i="1"/>
  <c r="EO48" i="1"/>
  <c r="EO46" i="1"/>
  <c r="EO7" i="1"/>
  <c r="EO8" i="1" s="1"/>
  <c r="EO9" i="1" s="1"/>
  <c r="EP5" i="1"/>
  <c r="EO15" i="1"/>
  <c r="EN82" i="1" s="1"/>
  <c r="EO12" i="1"/>
  <c r="EO11" i="1"/>
  <c r="EO17" i="1"/>
  <c r="EO23" i="1"/>
  <c r="EO27" i="1" a="1"/>
  <c r="EO27" i="1" s="1"/>
  <c r="EO28" i="1" a="1"/>
  <c r="EO28" i="1" s="1"/>
  <c r="EO56" i="1"/>
  <c r="EO52" i="1"/>
  <c r="EO51" i="1"/>
  <c r="EO154" i="1"/>
  <c r="EO201" i="1"/>
  <c r="EO207" i="1" s="1"/>
  <c r="EK37" i="1"/>
  <c r="EK36" i="1"/>
  <c r="EL16" i="1"/>
  <c r="EN13" i="1"/>
  <c r="EN208" i="1" s="1"/>
  <c r="EH79" i="1"/>
  <c r="EH89" i="1" s="1"/>
  <c r="EN18" i="1" a="1"/>
  <c r="EN18" i="1" s="1"/>
  <c r="EN65" i="1"/>
  <c r="EN66" i="1"/>
  <c r="EN67" i="1"/>
  <c r="EI64" i="1"/>
  <c r="EP209" i="1" l="1"/>
  <c r="EP204" i="1"/>
  <c r="EP205" i="1"/>
  <c r="EO206" i="1"/>
  <c r="EP90" i="1"/>
  <c r="EK59" i="1"/>
  <c r="EK60" i="1"/>
  <c r="EK61" i="1"/>
  <c r="EK62" i="1"/>
  <c r="EO126" i="1"/>
  <c r="EO127" i="1" s="1"/>
  <c r="EO134" i="1"/>
  <c r="EO135" i="1" s="1"/>
  <c r="EK63" i="1"/>
  <c r="EK58" i="1"/>
  <c r="EK81" i="1" s="1"/>
  <c r="EO158" i="1"/>
  <c r="EK148" i="1"/>
  <c r="EM104" i="1"/>
  <c r="EL144" i="1"/>
  <c r="EL106" i="1" s="1"/>
  <c r="EL105" i="1"/>
  <c r="EM143" i="1"/>
  <c r="EM105" i="1" s="1"/>
  <c r="EN142" i="1"/>
  <c r="EO141" i="1"/>
  <c r="EO149" i="1" s="1"/>
  <c r="EO107" i="1" s="1"/>
  <c r="EG110" i="1"/>
  <c r="EP53" i="1"/>
  <c r="EO26" i="1" a="1"/>
  <c r="EO26" i="1" s="1"/>
  <c r="EO30" i="1" s="1"/>
  <c r="EO31" i="1" s="1" a="1"/>
  <c r="EO31" i="1" s="1"/>
  <c r="EO32" i="1" s="1"/>
  <c r="EO33" i="1" s="1"/>
  <c r="EO34" i="1" s="1"/>
  <c r="EL39" i="1"/>
  <c r="EM20" i="1"/>
  <c r="EM40" i="1" s="1"/>
  <c r="EQ21" i="1"/>
  <c r="EP42" i="1"/>
  <c r="EP46" i="1"/>
  <c r="EP44" i="1"/>
  <c r="EP49" i="1"/>
  <c r="EP48" i="1"/>
  <c r="ER22" i="1"/>
  <c r="ER45" i="1" s="1"/>
  <c r="EQ43" i="1"/>
  <c r="EJ64" i="1"/>
  <c r="EI79" i="1"/>
  <c r="EI89" i="1" s="1"/>
  <c r="EL37" i="1"/>
  <c r="EL36" i="1"/>
  <c r="EM16" i="1"/>
  <c r="EO18" i="1" a="1"/>
  <c r="EO18" i="1" s="1"/>
  <c r="EO65" i="1"/>
  <c r="EO66" i="1"/>
  <c r="EO67" i="1"/>
  <c r="EO13" i="1"/>
  <c r="EO208" i="1" s="1"/>
  <c r="EP7" i="1"/>
  <c r="EQ5" i="1"/>
  <c r="EP11" i="1"/>
  <c r="EP12" i="1"/>
  <c r="EP15" i="1"/>
  <c r="EO82" i="1" s="1"/>
  <c r="EP17" i="1"/>
  <c r="EP23" i="1"/>
  <c r="EP28" i="1" a="1"/>
  <c r="EP28" i="1" s="1"/>
  <c r="EP27" i="1" a="1"/>
  <c r="EP27" i="1" s="1"/>
  <c r="EP51" i="1"/>
  <c r="EP52" i="1"/>
  <c r="EP56" i="1"/>
  <c r="EP154" i="1"/>
  <c r="EP201" i="1"/>
  <c r="EP207" i="1" s="1"/>
  <c r="EQ204" i="1" l="1"/>
  <c r="EQ205" i="1"/>
  <c r="EP206" i="1"/>
  <c r="EQ90" i="1"/>
  <c r="EQ209" i="1"/>
  <c r="EP126" i="1"/>
  <c r="EP127" i="1" s="1"/>
  <c r="EP134" i="1"/>
  <c r="EP135" i="1" s="1"/>
  <c r="EL63" i="1"/>
  <c r="EL58" i="1"/>
  <c r="EL81" i="1" s="1"/>
  <c r="EL61" i="1"/>
  <c r="EL60" i="1"/>
  <c r="EL59" i="1"/>
  <c r="EL62" i="1"/>
  <c r="EP158" i="1"/>
  <c r="EN104" i="1"/>
  <c r="EM144" i="1"/>
  <c r="EM106" i="1" s="1"/>
  <c r="EL148" i="1"/>
  <c r="EN143" i="1"/>
  <c r="EN105" i="1" s="1"/>
  <c r="EP141" i="1"/>
  <c r="EP149" i="1" s="1"/>
  <c r="EP107" i="1" s="1"/>
  <c r="EO142" i="1"/>
  <c r="EH110" i="1"/>
  <c r="EQ53" i="1"/>
  <c r="EM39" i="1"/>
  <c r="EN20" i="1"/>
  <c r="EN40" i="1" s="1"/>
  <c r="ES22" i="1"/>
  <c r="ES45" i="1" s="1"/>
  <c r="ER43" i="1"/>
  <c r="ER21" i="1"/>
  <c r="EQ42" i="1"/>
  <c r="EQ44" i="1"/>
  <c r="EQ46" i="1"/>
  <c r="EQ49" i="1"/>
  <c r="EQ48" i="1"/>
  <c r="EQ7" i="1"/>
  <c r="EQ8" i="1" s="1"/>
  <c r="EQ9" i="1" s="1"/>
  <c r="ER5" i="1"/>
  <c r="EQ11" i="1"/>
  <c r="EQ12" i="1"/>
  <c r="EQ15" i="1"/>
  <c r="EP82" i="1" s="1"/>
  <c r="EQ17" i="1"/>
  <c r="EQ23" i="1"/>
  <c r="EQ27" i="1" a="1"/>
  <c r="EQ27" i="1" s="1"/>
  <c r="EQ28" i="1" a="1"/>
  <c r="EQ28" i="1" s="1"/>
  <c r="EQ51" i="1"/>
  <c r="EQ52" i="1"/>
  <c r="EQ56" i="1"/>
  <c r="EQ154" i="1"/>
  <c r="EQ201" i="1"/>
  <c r="EQ207" i="1" s="1"/>
  <c r="EK64" i="1"/>
  <c r="EJ79" i="1"/>
  <c r="EJ89" i="1" s="1"/>
  <c r="EP13" i="1"/>
  <c r="EP208" i="1" s="1"/>
  <c r="EP18" i="1" a="1"/>
  <c r="EP18" i="1" s="1"/>
  <c r="EP66" i="1"/>
  <c r="EP67" i="1"/>
  <c r="EP65" i="1"/>
  <c r="EP8" i="1"/>
  <c r="EP9" i="1" s="1"/>
  <c r="EM37" i="1"/>
  <c r="EM36" i="1"/>
  <c r="EN16" i="1"/>
  <c r="ER204" i="1" l="1"/>
  <c r="ER205" i="1"/>
  <c r="EQ206" i="1"/>
  <c r="ER90" i="1"/>
  <c r="ER209" i="1"/>
  <c r="EQ126" i="1"/>
  <c r="EQ127" i="1" s="1"/>
  <c r="EQ134" i="1"/>
  <c r="EQ135" i="1" s="1"/>
  <c r="EM58" i="1"/>
  <c r="EM81" i="1" s="1"/>
  <c r="EM63" i="1"/>
  <c r="EM60" i="1"/>
  <c r="EM61" i="1"/>
  <c r="EM59" i="1"/>
  <c r="EM62" i="1"/>
  <c r="EQ158" i="1"/>
  <c r="EO104" i="1"/>
  <c r="EM148" i="1"/>
  <c r="EP142" i="1"/>
  <c r="EQ141" i="1"/>
  <c r="EQ149" i="1" s="1"/>
  <c r="EQ107" i="1" s="1"/>
  <c r="EN144" i="1"/>
  <c r="EN106" i="1" s="1"/>
  <c r="EO143" i="1"/>
  <c r="EO105" i="1" s="1"/>
  <c r="EI110" i="1"/>
  <c r="ER53" i="1"/>
  <c r="EQ26" i="1" a="1"/>
  <c r="EQ26" i="1" s="1"/>
  <c r="EQ30" i="1" s="1"/>
  <c r="EQ31" i="1" s="1" a="1"/>
  <c r="EQ31" i="1" s="1"/>
  <c r="EQ32" i="1" s="1"/>
  <c r="EQ33" i="1" s="1"/>
  <c r="EQ34" i="1" s="1"/>
  <c r="EP26" i="1" a="1"/>
  <c r="EP26" i="1" s="1"/>
  <c r="EP30" i="1" s="1"/>
  <c r="EP31" i="1" s="1" a="1"/>
  <c r="EP31" i="1" s="1"/>
  <c r="EP32" i="1" s="1"/>
  <c r="EP33" i="1" s="1"/>
  <c r="EP34" i="1" s="1"/>
  <c r="EO20" i="1"/>
  <c r="EO40" i="1" s="1"/>
  <c r="EN39" i="1"/>
  <c r="ES21" i="1"/>
  <c r="ER42" i="1"/>
  <c r="ER44" i="1"/>
  <c r="ER46" i="1"/>
  <c r="ER49" i="1"/>
  <c r="ER48" i="1"/>
  <c r="ET22" i="1"/>
  <c r="ET45" i="1" s="1"/>
  <c r="ES43" i="1"/>
  <c r="EK79" i="1"/>
  <c r="EK89" i="1" s="1"/>
  <c r="EN37" i="1"/>
  <c r="EN36" i="1"/>
  <c r="EO16" i="1"/>
  <c r="EQ18" i="1" a="1"/>
  <c r="EQ18" i="1" s="1"/>
  <c r="EQ65" i="1"/>
  <c r="EQ66" i="1"/>
  <c r="EQ67" i="1"/>
  <c r="EQ13" i="1"/>
  <c r="EQ208" i="1" s="1"/>
  <c r="EL64" i="1"/>
  <c r="ER7" i="1"/>
  <c r="ER8" i="1" s="1"/>
  <c r="ER9" i="1" s="1"/>
  <c r="ES5" i="1"/>
  <c r="ER12" i="1"/>
  <c r="ER15" i="1"/>
  <c r="EQ82" i="1" s="1"/>
  <c r="ER11" i="1"/>
  <c r="ER17" i="1"/>
  <c r="ER23" i="1"/>
  <c r="ER28" i="1" a="1"/>
  <c r="ER28" i="1" s="1"/>
  <c r="ER27" i="1" a="1"/>
  <c r="ER27" i="1" s="1"/>
  <c r="ER52" i="1"/>
  <c r="ER51" i="1"/>
  <c r="ER56" i="1"/>
  <c r="ER154" i="1"/>
  <c r="ER201" i="1"/>
  <c r="ER207" i="1" s="1"/>
  <c r="ES205" i="1" l="1"/>
  <c r="ES204" i="1"/>
  <c r="ER206" i="1"/>
  <c r="ES90" i="1"/>
  <c r="ES209" i="1"/>
  <c r="ER126" i="1"/>
  <c r="ER127" i="1" s="1"/>
  <c r="ER134" i="1"/>
  <c r="ER135" i="1" s="1"/>
  <c r="EN58" i="1"/>
  <c r="EN81" i="1" s="1"/>
  <c r="EN63" i="1"/>
  <c r="EN61" i="1"/>
  <c r="EN59" i="1"/>
  <c r="EN60" i="1"/>
  <c r="EN62" i="1"/>
  <c r="ER158" i="1"/>
  <c r="EP104" i="1"/>
  <c r="EO144" i="1"/>
  <c r="EO106" i="1" s="1"/>
  <c r="EN148" i="1"/>
  <c r="EQ142" i="1"/>
  <c r="ER141" i="1"/>
  <c r="ER149" i="1" s="1"/>
  <c r="ER107" i="1" s="1"/>
  <c r="EP143" i="1"/>
  <c r="EP105" i="1" s="1"/>
  <c r="EJ110" i="1"/>
  <c r="ES53" i="1"/>
  <c r="ER26" i="1" a="1"/>
  <c r="ER26" i="1" s="1"/>
  <c r="ER30" i="1" s="1"/>
  <c r="ER31" i="1" s="1" a="1"/>
  <c r="ER31" i="1" s="1"/>
  <c r="ER32" i="1" s="1"/>
  <c r="ER33" i="1" s="1"/>
  <c r="ER34" i="1" s="1"/>
  <c r="EO39" i="1"/>
  <c r="EP20" i="1"/>
  <c r="EP40" i="1" s="1"/>
  <c r="EU22" i="1"/>
  <c r="EU45" i="1" s="1"/>
  <c r="ET43" i="1"/>
  <c r="ET21" i="1"/>
  <c r="ES42" i="1"/>
  <c r="ES44" i="1"/>
  <c r="ES46" i="1"/>
  <c r="ES49" i="1"/>
  <c r="ES48" i="1"/>
  <c r="ER13" i="1"/>
  <c r="ER208" i="1" s="1"/>
  <c r="EL79" i="1"/>
  <c r="EL89" i="1" s="1"/>
  <c r="ET5" i="1"/>
  <c r="ES7" i="1"/>
  <c r="ES8" i="1" s="1"/>
  <c r="ES9" i="1" s="1"/>
  <c r="ES11" i="1"/>
  <c r="ES12" i="1"/>
  <c r="ES15" i="1"/>
  <c r="ER82" i="1" s="1"/>
  <c r="ES17" i="1"/>
  <c r="ES23" i="1"/>
  <c r="ES27" i="1" a="1"/>
  <c r="ES27" i="1" s="1"/>
  <c r="ES28" i="1" a="1"/>
  <c r="ES28" i="1" s="1"/>
  <c r="ES52" i="1"/>
  <c r="ES51" i="1"/>
  <c r="ES56" i="1"/>
  <c r="ES154" i="1"/>
  <c r="ES201" i="1"/>
  <c r="ES207" i="1" s="1"/>
  <c r="EM64" i="1"/>
  <c r="ER18" i="1" a="1"/>
  <c r="ER18" i="1" s="1"/>
  <c r="ER66" i="1"/>
  <c r="ER67" i="1"/>
  <c r="ER65" i="1"/>
  <c r="EO37" i="1"/>
  <c r="EO36" i="1"/>
  <c r="EP16" i="1"/>
  <c r="ET205" i="1" l="1"/>
  <c r="ET204" i="1"/>
  <c r="ES206" i="1"/>
  <c r="ET90" i="1"/>
  <c r="ET209" i="1"/>
  <c r="ES134" i="1"/>
  <c r="ES135" i="1" s="1"/>
  <c r="ES126" i="1"/>
  <c r="ES127" i="1" s="1"/>
  <c r="EO61" i="1"/>
  <c r="EO59" i="1"/>
  <c r="EO60" i="1"/>
  <c r="EO62" i="1"/>
  <c r="EO58" i="1"/>
  <c r="EO81" i="1" s="1"/>
  <c r="EO63" i="1"/>
  <c r="ES158" i="1"/>
  <c r="EO148" i="1"/>
  <c r="EP144" i="1"/>
  <c r="EP106" i="1" s="1"/>
  <c r="EQ104" i="1"/>
  <c r="ER142" i="1"/>
  <c r="ES141" i="1"/>
  <c r="ES149" i="1" s="1"/>
  <c r="ES107" i="1" s="1"/>
  <c r="EQ143" i="1"/>
  <c r="EK110" i="1"/>
  <c r="ET53" i="1"/>
  <c r="ES26" i="1" a="1"/>
  <c r="ES26" i="1" s="1"/>
  <c r="ES30" i="1" s="1"/>
  <c r="ES31" i="1" s="1" a="1"/>
  <c r="ES31" i="1" s="1"/>
  <c r="ES32" i="1" s="1"/>
  <c r="ES33" i="1" s="1"/>
  <c r="ES34" i="1" s="1"/>
  <c r="EQ20" i="1"/>
  <c r="EQ40" i="1" s="1"/>
  <c r="EP39" i="1"/>
  <c r="EU21" i="1"/>
  <c r="ET42" i="1"/>
  <c r="ET44" i="1"/>
  <c r="ET48" i="1"/>
  <c r="ET46" i="1"/>
  <c r="ET49" i="1"/>
  <c r="EV22" i="1"/>
  <c r="EV45" i="1" s="1"/>
  <c r="EU43" i="1"/>
  <c r="EU5" i="1"/>
  <c r="ET11" i="1"/>
  <c r="ET7" i="1"/>
  <c r="ET8" i="1" s="1"/>
  <c r="ET9" i="1" s="1"/>
  <c r="ET12" i="1"/>
  <c r="ET15" i="1"/>
  <c r="ET17" i="1"/>
  <c r="ET23" i="1"/>
  <c r="ET28" i="1" a="1"/>
  <c r="ET28" i="1" s="1"/>
  <c r="ET27" i="1" a="1"/>
  <c r="ET27" i="1" s="1"/>
  <c r="ET51" i="1"/>
  <c r="ET52" i="1"/>
  <c r="ET56" i="1"/>
  <c r="ET154" i="1"/>
  <c r="ET201" i="1"/>
  <c r="ET207" i="1" s="1"/>
  <c r="EM79" i="1"/>
  <c r="EM89" i="1" s="1"/>
  <c r="ES18" i="1" a="1"/>
  <c r="ES18" i="1" s="1"/>
  <c r="ES65" i="1"/>
  <c r="ES66" i="1"/>
  <c r="ES67" i="1"/>
  <c r="EP37" i="1"/>
  <c r="EP36" i="1"/>
  <c r="EQ16" i="1"/>
  <c r="ES13" i="1"/>
  <c r="ES208" i="1" s="1"/>
  <c r="EN64" i="1"/>
  <c r="EU205" i="1" l="1"/>
  <c r="EU204" i="1"/>
  <c r="ET206" i="1"/>
  <c r="EU90" i="1"/>
  <c r="EU209" i="1"/>
  <c r="EP63" i="1"/>
  <c r="EP58" i="1"/>
  <c r="EP81" i="1" s="1"/>
  <c r="ET126" i="1"/>
  <c r="ET127" i="1" s="1"/>
  <c r="ET134" i="1"/>
  <c r="ET135" i="1" s="1"/>
  <c r="EP60" i="1"/>
  <c r="EP59" i="1"/>
  <c r="EP61" i="1"/>
  <c r="EP62" i="1"/>
  <c r="ES82" i="1"/>
  <c r="ET158" i="1"/>
  <c r="EP148" i="1"/>
  <c r="ER104" i="1"/>
  <c r="EQ144" i="1"/>
  <c r="EQ106" i="1" s="1"/>
  <c r="EQ105" i="1"/>
  <c r="ES142" i="1"/>
  <c r="ET141" i="1"/>
  <c r="ET149" i="1" s="1"/>
  <c r="ET107" i="1" s="1"/>
  <c r="ER143" i="1"/>
  <c r="ER105" i="1" s="1"/>
  <c r="EL110" i="1"/>
  <c r="EU53" i="1"/>
  <c r="ET26" i="1" a="1"/>
  <c r="ET26" i="1" s="1"/>
  <c r="ET30" i="1" s="1"/>
  <c r="ET31" i="1" s="1" a="1"/>
  <c r="ET31" i="1" s="1"/>
  <c r="ET32" i="1" s="1"/>
  <c r="ET33" i="1" s="1"/>
  <c r="ET34" i="1" s="1"/>
  <c r="ER20" i="1"/>
  <c r="ER40" i="1" s="1"/>
  <c r="EQ39" i="1"/>
  <c r="EW22" i="1"/>
  <c r="EW45" i="1" s="1"/>
  <c r="EV43" i="1"/>
  <c r="EV21" i="1"/>
  <c r="EU44" i="1"/>
  <c r="EU42" i="1"/>
  <c r="EU46" i="1"/>
  <c r="EU48" i="1"/>
  <c r="EU49" i="1"/>
  <c r="ET18" i="1" a="1"/>
  <c r="ET18" i="1" s="1"/>
  <c r="ET65" i="1"/>
  <c r="ET66" i="1"/>
  <c r="ET67" i="1"/>
  <c r="ET13" i="1"/>
  <c r="ET208" i="1" s="1"/>
  <c r="EN79" i="1"/>
  <c r="EN89" i="1" s="1"/>
  <c r="EU7" i="1"/>
  <c r="EV5" i="1"/>
  <c r="EU11" i="1"/>
  <c r="EU12" i="1"/>
  <c r="EU15" i="1"/>
  <c r="ET82" i="1" s="1"/>
  <c r="EU17" i="1"/>
  <c r="EU27" i="1" a="1"/>
  <c r="EU27" i="1" s="1"/>
  <c r="EU23" i="1"/>
  <c r="EU28" i="1" a="1"/>
  <c r="EU28" i="1" s="1"/>
  <c r="EU56" i="1"/>
  <c r="EU52" i="1"/>
  <c r="EU51" i="1"/>
  <c r="EU154" i="1"/>
  <c r="EU201" i="1"/>
  <c r="EU207" i="1" s="1"/>
  <c r="EQ37" i="1"/>
  <c r="EQ36" i="1"/>
  <c r="ER16" i="1"/>
  <c r="EO64" i="1"/>
  <c r="EV205" i="1" l="1"/>
  <c r="EV204" i="1"/>
  <c r="EU206" i="1"/>
  <c r="EV90" i="1"/>
  <c r="EV209" i="1"/>
  <c r="EQ63" i="1"/>
  <c r="EQ58" i="1"/>
  <c r="EQ81" i="1" s="1"/>
  <c r="EQ59" i="1"/>
  <c r="EQ60" i="1"/>
  <c r="EQ61" i="1"/>
  <c r="EQ62" i="1"/>
  <c r="EU134" i="1"/>
  <c r="EU135" i="1" s="1"/>
  <c r="EU126" i="1"/>
  <c r="EU127" i="1" s="1"/>
  <c r="EU158" i="1"/>
  <c r="ES104" i="1"/>
  <c r="ET142" i="1"/>
  <c r="EQ148" i="1"/>
  <c r="ES143" i="1"/>
  <c r="ES105" i="1" s="1"/>
  <c r="EU141" i="1"/>
  <c r="EU149" i="1" s="1"/>
  <c r="EU107" i="1" s="1"/>
  <c r="ER144" i="1"/>
  <c r="ER106" i="1" s="1"/>
  <c r="EM110" i="1"/>
  <c r="EV53" i="1"/>
  <c r="ER39" i="1"/>
  <c r="ES20" i="1"/>
  <c r="ES40" i="1" s="1"/>
  <c r="EW21" i="1"/>
  <c r="EV44" i="1"/>
  <c r="EV42" i="1"/>
  <c r="EV49" i="1"/>
  <c r="EV46" i="1"/>
  <c r="EV48" i="1"/>
  <c r="EX22" i="1"/>
  <c r="EX45" i="1" s="1"/>
  <c r="EW43" i="1"/>
  <c r="ER37" i="1"/>
  <c r="ER36" i="1"/>
  <c r="ES16" i="1"/>
  <c r="EU8" i="1"/>
  <c r="EU9" i="1" s="1"/>
  <c r="EP64" i="1"/>
  <c r="EO79" i="1"/>
  <c r="EO89" i="1" s="1"/>
  <c r="EU18" i="1" a="1"/>
  <c r="EU18" i="1" s="1"/>
  <c r="EU65" i="1"/>
  <c r="EU66" i="1"/>
  <c r="EU67" i="1"/>
  <c r="EU13" i="1"/>
  <c r="EU208" i="1" s="1"/>
  <c r="EV7" i="1"/>
  <c r="EW5" i="1"/>
  <c r="EV11" i="1"/>
  <c r="EV15" i="1"/>
  <c r="EV12" i="1"/>
  <c r="EV17" i="1"/>
  <c r="EV23" i="1"/>
  <c r="EV28" i="1" a="1"/>
  <c r="EV28" i="1" s="1"/>
  <c r="EV27" i="1" a="1"/>
  <c r="EV27" i="1" s="1"/>
  <c r="EV56" i="1"/>
  <c r="EV52" i="1"/>
  <c r="EV51" i="1"/>
  <c r="EV154" i="1"/>
  <c r="EV201" i="1"/>
  <c r="EV207" i="1" s="1"/>
  <c r="EW205" i="1" l="1"/>
  <c r="EW204" i="1"/>
  <c r="EV206" i="1"/>
  <c r="EW90" i="1"/>
  <c r="EW209" i="1"/>
  <c r="EV126" i="1"/>
  <c r="EV127" i="1" s="1"/>
  <c r="EV134" i="1"/>
  <c r="EV135" i="1" s="1"/>
  <c r="ER60" i="1"/>
  <c r="ER59" i="1"/>
  <c r="ER61" i="1"/>
  <c r="ER62" i="1"/>
  <c r="ER58" i="1"/>
  <c r="ER81" i="1" s="1"/>
  <c r="ER63" i="1"/>
  <c r="EU82" i="1"/>
  <c r="EV158" i="1"/>
  <c r="ET143" i="1"/>
  <c r="ET105" i="1" s="1"/>
  <c r="ES144" i="1"/>
  <c r="ES106" i="1" s="1"/>
  <c r="ET104" i="1"/>
  <c r="EU142" i="1"/>
  <c r="EV141" i="1"/>
  <c r="EV149" i="1" s="1"/>
  <c r="EV107" i="1" s="1"/>
  <c r="ER148" i="1"/>
  <c r="EN110" i="1"/>
  <c r="EW53" i="1"/>
  <c r="EU26" i="1" a="1"/>
  <c r="EU26" i="1" s="1"/>
  <c r="EU30" i="1" s="1"/>
  <c r="EU31" i="1" s="1" a="1"/>
  <c r="EU31" i="1" s="1"/>
  <c r="EU32" i="1" s="1"/>
  <c r="EU33" i="1" s="1"/>
  <c r="EU34" i="1" s="1"/>
  <c r="ET20" i="1"/>
  <c r="ET40" i="1" s="1"/>
  <c r="ES39" i="1"/>
  <c r="EY22" i="1"/>
  <c r="EY45" i="1" s="1"/>
  <c r="EX43" i="1"/>
  <c r="EX21" i="1"/>
  <c r="EW42" i="1"/>
  <c r="EW44" i="1"/>
  <c r="EW49" i="1"/>
  <c r="EW46" i="1"/>
  <c r="EW48" i="1"/>
  <c r="EV13" i="1"/>
  <c r="EV208" i="1" s="1"/>
  <c r="ES37" i="1"/>
  <c r="ES36" i="1"/>
  <c r="ET16" i="1"/>
  <c r="EX5" i="1"/>
  <c r="EW11" i="1"/>
  <c r="EW15" i="1"/>
  <c r="EW7" i="1"/>
  <c r="EW8" i="1" s="1"/>
  <c r="EW12" i="1"/>
  <c r="EW17" i="1"/>
  <c r="EW23" i="1"/>
  <c r="EW27" i="1" a="1"/>
  <c r="EW27" i="1" s="1"/>
  <c r="EW56" i="1"/>
  <c r="EW28" i="1" a="1"/>
  <c r="EW28" i="1" s="1"/>
  <c r="EW51" i="1"/>
  <c r="EW52" i="1"/>
  <c r="EW154" i="1"/>
  <c r="EW201" i="1"/>
  <c r="EW207" i="1" s="1"/>
  <c r="EP79" i="1"/>
  <c r="EP89" i="1" s="1"/>
  <c r="EQ64" i="1"/>
  <c r="EV18" i="1" a="1"/>
  <c r="EV18" i="1" s="1"/>
  <c r="EV65" i="1"/>
  <c r="EV66" i="1"/>
  <c r="EV67" i="1"/>
  <c r="EV8" i="1"/>
  <c r="EV9" i="1" s="1"/>
  <c r="EX204" i="1" l="1"/>
  <c r="EX205" i="1"/>
  <c r="EW206" i="1"/>
  <c r="EX90" i="1"/>
  <c r="EX209" i="1"/>
  <c r="EW126" i="1"/>
  <c r="EW127" i="1" s="1"/>
  <c r="EW134" i="1"/>
  <c r="EW135" i="1" s="1"/>
  <c r="ES63" i="1"/>
  <c r="ES58" i="1"/>
  <c r="ES81" i="1" s="1"/>
  <c r="ES59" i="1"/>
  <c r="ES60" i="1"/>
  <c r="ES61" i="1"/>
  <c r="ES62" i="1"/>
  <c r="EV82" i="1"/>
  <c r="ET144" i="1"/>
  <c r="ET106" i="1" s="1"/>
  <c r="EU143" i="1"/>
  <c r="EW158" i="1"/>
  <c r="ES148" i="1"/>
  <c r="EU104" i="1"/>
  <c r="EV142" i="1"/>
  <c r="EW141" i="1"/>
  <c r="EW149" i="1" s="1"/>
  <c r="EW107" i="1" s="1"/>
  <c r="EO110" i="1"/>
  <c r="EX53" i="1"/>
  <c r="EV26" i="1" a="1"/>
  <c r="EV26" i="1" s="1"/>
  <c r="EV30" i="1" s="1"/>
  <c r="EV31" i="1" s="1" a="1"/>
  <c r="EV31" i="1" s="1"/>
  <c r="EV32" i="1" s="1"/>
  <c r="EV33" i="1" s="1"/>
  <c r="EV34" i="1" s="1"/>
  <c r="EU20" i="1"/>
  <c r="EU40" i="1" s="1"/>
  <c r="ET39" i="1"/>
  <c r="EW9" i="1"/>
  <c r="EY21" i="1"/>
  <c r="EX42" i="1"/>
  <c r="EX46" i="1"/>
  <c r="EX44" i="1"/>
  <c r="EX48" i="1"/>
  <c r="EX49" i="1"/>
  <c r="EZ22" i="1"/>
  <c r="EZ45" i="1" s="1"/>
  <c r="EY43" i="1"/>
  <c r="ER64" i="1"/>
  <c r="EX7" i="1"/>
  <c r="EX8" i="1" s="1"/>
  <c r="EY5" i="1"/>
  <c r="EX11" i="1"/>
  <c r="EX12" i="1"/>
  <c r="EX15" i="1"/>
  <c r="EX17" i="1"/>
  <c r="EX23" i="1"/>
  <c r="EX28" i="1" a="1"/>
  <c r="EX28" i="1" s="1"/>
  <c r="EX27" i="1" a="1"/>
  <c r="EX27" i="1" s="1"/>
  <c r="EX51" i="1"/>
  <c r="EX52" i="1"/>
  <c r="EX56" i="1"/>
  <c r="EX154" i="1"/>
  <c r="EX201" i="1"/>
  <c r="EX207" i="1" s="1"/>
  <c r="EW18" i="1" a="1"/>
  <c r="EW18" i="1" s="1"/>
  <c r="EW65" i="1"/>
  <c r="EW66" i="1"/>
  <c r="EW67" i="1"/>
  <c r="EQ79" i="1"/>
  <c r="EQ89" i="1" s="1"/>
  <c r="EW13" i="1"/>
  <c r="EW208" i="1" s="1"/>
  <c r="ET37" i="1"/>
  <c r="ET36" i="1"/>
  <c r="EU16" i="1"/>
  <c r="EY204" i="1" l="1"/>
  <c r="EY205" i="1"/>
  <c r="EX206" i="1"/>
  <c r="EY90" i="1"/>
  <c r="EY209" i="1"/>
  <c r="ET148" i="1"/>
  <c r="ET60" i="1"/>
  <c r="ET61" i="1"/>
  <c r="ET59" i="1"/>
  <c r="ET62" i="1"/>
  <c r="EX126" i="1"/>
  <c r="EX127" i="1" s="1"/>
  <c r="EX134" i="1"/>
  <c r="EX135" i="1" s="1"/>
  <c r="EW82" i="1"/>
  <c r="ET58" i="1"/>
  <c r="ET81" i="1" s="1"/>
  <c r="ET63" i="1"/>
  <c r="EU105" i="1"/>
  <c r="EU144" i="1"/>
  <c r="EU106" i="1" s="1"/>
  <c r="EX158" i="1"/>
  <c r="EV104" i="1"/>
  <c r="EW142" i="1"/>
  <c r="EV143" i="1"/>
  <c r="EV105" i="1" s="1"/>
  <c r="EX141" i="1"/>
  <c r="EX149" i="1" s="1"/>
  <c r="EX107" i="1" s="1"/>
  <c r="EP110" i="1"/>
  <c r="EY53" i="1"/>
  <c r="EW26" i="1" a="1"/>
  <c r="EW26" i="1" s="1"/>
  <c r="EW30" i="1" s="1"/>
  <c r="EW31" i="1" s="1" a="1"/>
  <c r="EW31" i="1" s="1"/>
  <c r="EW32" i="1" s="1"/>
  <c r="EW33" i="1" s="1"/>
  <c r="EW34" i="1" s="1"/>
  <c r="EX9" i="1"/>
  <c r="EU39" i="1"/>
  <c r="EV20" i="1"/>
  <c r="EV40" i="1" s="1"/>
  <c r="FA22" i="1"/>
  <c r="FA45" i="1" s="1"/>
  <c r="EZ43" i="1"/>
  <c r="EZ21" i="1"/>
  <c r="EY46" i="1"/>
  <c r="EY42" i="1"/>
  <c r="EY44" i="1"/>
  <c r="EY49" i="1"/>
  <c r="EY48" i="1"/>
  <c r="EU37" i="1"/>
  <c r="EU36" i="1"/>
  <c r="EV16" i="1"/>
  <c r="ER79" i="1"/>
  <c r="ER89" i="1" s="1"/>
  <c r="EY7" i="1"/>
  <c r="EY8" i="1" s="1"/>
  <c r="EY9" i="1" s="1"/>
  <c r="EZ5" i="1"/>
  <c r="EY11" i="1"/>
  <c r="EY12" i="1"/>
  <c r="EY15" i="1"/>
  <c r="EY17" i="1"/>
  <c r="EY23" i="1"/>
  <c r="EY27" i="1" a="1"/>
  <c r="EY27" i="1" s="1"/>
  <c r="EY28" i="1" a="1"/>
  <c r="EY28" i="1" s="1"/>
  <c r="EY51" i="1"/>
  <c r="EY52" i="1"/>
  <c r="EY56" i="1"/>
  <c r="EY154" i="1"/>
  <c r="EY201" i="1"/>
  <c r="EY207" i="1" s="1"/>
  <c r="ES64" i="1"/>
  <c r="EX18" i="1" a="1"/>
  <c r="EX18" i="1" s="1"/>
  <c r="EX66" i="1"/>
  <c r="EX67" i="1"/>
  <c r="EX65" i="1"/>
  <c r="EX13" i="1"/>
  <c r="EX208" i="1" s="1"/>
  <c r="EZ204" i="1" l="1"/>
  <c r="EZ205" i="1"/>
  <c r="EY206" i="1"/>
  <c r="EZ90" i="1"/>
  <c r="EZ209" i="1"/>
  <c r="EU148" i="1"/>
  <c r="EY126" i="1"/>
  <c r="EY127" i="1" s="1"/>
  <c r="EY134" i="1"/>
  <c r="EY135" i="1" s="1"/>
  <c r="EU60" i="1"/>
  <c r="EU61" i="1"/>
  <c r="EU59" i="1"/>
  <c r="EU62" i="1"/>
  <c r="EX82" i="1"/>
  <c r="EU63" i="1"/>
  <c r="EU58" i="1"/>
  <c r="EU81" i="1" s="1"/>
  <c r="EY158" i="1"/>
  <c r="EW104" i="1"/>
  <c r="EX142" i="1"/>
  <c r="EY141" i="1"/>
  <c r="EY149" i="1" s="1"/>
  <c r="EY107" i="1" s="1"/>
  <c r="EV144" i="1"/>
  <c r="EV106" i="1" s="1"/>
  <c r="EW143" i="1"/>
  <c r="EW105" i="1" s="1"/>
  <c r="EQ110" i="1"/>
  <c r="EZ53" i="1"/>
  <c r="EY26" i="1" a="1"/>
  <c r="EY26" i="1" s="1"/>
  <c r="EY30" i="1" s="1"/>
  <c r="EY31" i="1" s="1" a="1"/>
  <c r="EY31" i="1" s="1"/>
  <c r="EY32" i="1" s="1"/>
  <c r="EY33" i="1" s="1"/>
  <c r="EY34" i="1" s="1"/>
  <c r="EX26" i="1" a="1"/>
  <c r="EX26" i="1" s="1"/>
  <c r="EX30" i="1" s="1"/>
  <c r="EX31" i="1" s="1" a="1"/>
  <c r="EX31" i="1" s="1"/>
  <c r="EX32" i="1" s="1"/>
  <c r="EX33" i="1" s="1"/>
  <c r="EX34" i="1" s="1"/>
  <c r="EV39" i="1"/>
  <c r="EW20" i="1"/>
  <c r="EW40" i="1" s="1"/>
  <c r="FA21" i="1"/>
  <c r="EZ42" i="1"/>
  <c r="EZ46" i="1"/>
  <c r="EZ44" i="1"/>
  <c r="EZ49" i="1"/>
  <c r="EZ48" i="1"/>
  <c r="FA43" i="1"/>
  <c r="EY18" i="1" a="1"/>
  <c r="EY18" i="1" s="1"/>
  <c r="EY65" i="1"/>
  <c r="EY66" i="1"/>
  <c r="EY67" i="1"/>
  <c r="ES79" i="1"/>
  <c r="ES89" i="1" s="1"/>
  <c r="EY13" i="1"/>
  <c r="EY208" i="1" s="1"/>
  <c r="EV37" i="1"/>
  <c r="EV36" i="1"/>
  <c r="EW16" i="1"/>
  <c r="EZ7" i="1"/>
  <c r="EZ8" i="1" s="1"/>
  <c r="EZ9" i="1" s="1"/>
  <c r="FA5" i="1"/>
  <c r="EZ12" i="1"/>
  <c r="EZ11" i="1"/>
  <c r="EZ15" i="1"/>
  <c r="EZ17" i="1"/>
  <c r="EZ23" i="1"/>
  <c r="EZ28" i="1" a="1"/>
  <c r="EZ28" i="1" s="1"/>
  <c r="EZ27" i="1" a="1"/>
  <c r="EZ27" i="1" s="1"/>
  <c r="EZ52" i="1"/>
  <c r="EZ51" i="1"/>
  <c r="EZ56" i="1"/>
  <c r="EZ154" i="1"/>
  <c r="EZ201" i="1"/>
  <c r="EZ207" i="1" s="1"/>
  <c r="ET64" i="1"/>
  <c r="FA209" i="1" l="1"/>
  <c r="FA205" i="1"/>
  <c r="FA204" i="1"/>
  <c r="EZ206" i="1"/>
  <c r="FA90" i="1"/>
  <c r="EV58" i="1"/>
  <c r="EV81" i="1" s="1"/>
  <c r="EV63" i="1"/>
  <c r="EY82" i="1"/>
  <c r="EV59" i="1"/>
  <c r="EV61" i="1"/>
  <c r="EV60" i="1"/>
  <c r="EV62" i="1"/>
  <c r="EZ126" i="1"/>
  <c r="EZ127" i="1" s="1"/>
  <c r="EZ134" i="1"/>
  <c r="EZ135" i="1" s="1"/>
  <c r="EX143" i="1"/>
  <c r="EX144" i="1" s="1"/>
  <c r="EX106" i="1" s="1"/>
  <c r="EZ158" i="1"/>
  <c r="EX104" i="1"/>
  <c r="EV148" i="1"/>
  <c r="EZ141" i="1"/>
  <c r="EZ149" i="1" s="1"/>
  <c r="EZ107" i="1" s="1"/>
  <c r="EY142" i="1"/>
  <c r="EW144" i="1"/>
  <c r="EW106" i="1" s="1"/>
  <c r="ER110" i="1"/>
  <c r="FA53" i="1"/>
  <c r="EZ26" i="1" a="1"/>
  <c r="EZ26" i="1" s="1"/>
  <c r="EZ30" i="1" s="1"/>
  <c r="EZ31" i="1" s="1" a="1"/>
  <c r="EZ31" i="1" s="1"/>
  <c r="EZ32" i="1" s="1"/>
  <c r="EZ33" i="1" s="1"/>
  <c r="EZ34" i="1" s="1"/>
  <c r="EX20" i="1"/>
  <c r="EX40" i="1" s="1"/>
  <c r="EW39" i="1"/>
  <c r="FA42" i="1"/>
  <c r="FA44" i="1"/>
  <c r="FA46" i="1"/>
  <c r="FA48" i="1"/>
  <c r="FA49" i="1"/>
  <c r="ET79" i="1"/>
  <c r="ET89" i="1" s="1"/>
  <c r="EZ18" i="1" a="1"/>
  <c r="EZ18" i="1" s="1"/>
  <c r="EZ66" i="1"/>
  <c r="EZ67" i="1"/>
  <c r="EZ65" i="1"/>
  <c r="EW37" i="1"/>
  <c r="EW36" i="1"/>
  <c r="EX16" i="1"/>
  <c r="EZ13" i="1"/>
  <c r="EZ208" i="1" s="1"/>
  <c r="FA7" i="1"/>
  <c r="FA8" i="1" s="1"/>
  <c r="FA9" i="1" s="1"/>
  <c r="FA11" i="1"/>
  <c r="FA12" i="1"/>
  <c r="FA15" i="1"/>
  <c r="FA82" i="1" s="1"/>
  <c r="FA17" i="1"/>
  <c r="FA23" i="1"/>
  <c r="FA27" i="1" a="1"/>
  <c r="FA27" i="1" s="1"/>
  <c r="FA28" i="1" a="1"/>
  <c r="FA28" i="1" s="1"/>
  <c r="FA52" i="1"/>
  <c r="FA51" i="1"/>
  <c r="FA56" i="1"/>
  <c r="FA154" i="1"/>
  <c r="FA201" i="1"/>
  <c r="FA207" i="1" s="1"/>
  <c r="EU64" i="1"/>
  <c r="FA206" i="1" l="1"/>
  <c r="EZ82" i="1"/>
  <c r="EW58" i="1"/>
  <c r="EW81" i="1" s="1"/>
  <c r="EW63" i="1"/>
  <c r="FA134" i="1"/>
  <c r="FA135" i="1" s="1"/>
  <c r="FA126" i="1"/>
  <c r="FA127" i="1" s="1"/>
  <c r="EW61" i="1"/>
  <c r="EW59" i="1"/>
  <c r="EW60" i="1"/>
  <c r="EW62" i="1"/>
  <c r="EX105" i="1"/>
  <c r="FA158" i="1"/>
  <c r="EY104" i="1"/>
  <c r="EX148" i="1"/>
  <c r="EZ142" i="1"/>
  <c r="FA141" i="1"/>
  <c r="FA149" i="1" s="1"/>
  <c r="FA107" i="1" s="1"/>
  <c r="EW148" i="1"/>
  <c r="EY143" i="1"/>
  <c r="ES110" i="1"/>
  <c r="FA26" i="1" a="1"/>
  <c r="FA26" i="1" s="1"/>
  <c r="FA30" i="1" s="1"/>
  <c r="FA31" i="1" s="1" a="1"/>
  <c r="FA31" i="1" s="1"/>
  <c r="FA32" i="1" s="1"/>
  <c r="FA33" i="1" s="1"/>
  <c r="FA34" i="1" s="1"/>
  <c r="EX39" i="1"/>
  <c r="EY20" i="1"/>
  <c r="EY40" i="1" s="1"/>
  <c r="EX37" i="1"/>
  <c r="EX36" i="1"/>
  <c r="EY16" i="1"/>
  <c r="FA18" i="1" a="1"/>
  <c r="FA18" i="1" s="1"/>
  <c r="FA66" i="1"/>
  <c r="FA67" i="1"/>
  <c r="FA65" i="1"/>
  <c r="EU79" i="1"/>
  <c r="EU89" i="1" s="1"/>
  <c r="FA13" i="1"/>
  <c r="FA208" i="1" s="1"/>
  <c r="EV64" i="1"/>
  <c r="EX58" i="1" l="1"/>
  <c r="EX81" i="1" s="1"/>
  <c r="EX63" i="1"/>
  <c r="EX59" i="1"/>
  <c r="EX60" i="1"/>
  <c r="EX61" i="1"/>
  <c r="EX62" i="1"/>
  <c r="EZ104" i="1"/>
  <c r="EY144" i="1"/>
  <c r="EY106" i="1" s="1"/>
  <c r="EY105" i="1"/>
  <c r="FA142" i="1"/>
  <c r="FA104" i="1" s="1"/>
  <c r="EZ143" i="1"/>
  <c r="EZ105" i="1" s="1"/>
  <c r="ET110" i="1"/>
  <c r="EZ20" i="1"/>
  <c r="EZ40" i="1" s="1"/>
  <c r="EY39" i="1"/>
  <c r="EY37" i="1"/>
  <c r="EY36" i="1"/>
  <c r="EZ16" i="1"/>
  <c r="EW64" i="1"/>
  <c r="EV79" i="1"/>
  <c r="EV89" i="1" s="1"/>
  <c r="EY59" i="1" l="1"/>
  <c r="EY60" i="1"/>
  <c r="EY61" i="1"/>
  <c r="EY62" i="1"/>
  <c r="EY63" i="1"/>
  <c r="EY58" i="1"/>
  <c r="EY81" i="1" s="1"/>
  <c r="EZ144" i="1"/>
  <c r="EZ106" i="1" s="1"/>
  <c r="EY148" i="1"/>
  <c r="FA143" i="1"/>
  <c r="FA105" i="1" s="1"/>
  <c r="EU110" i="1"/>
  <c r="EZ39" i="1"/>
  <c r="FA20" i="1"/>
  <c r="FA40" i="1" s="1"/>
  <c r="EX64" i="1"/>
  <c r="EZ37" i="1"/>
  <c r="EZ36" i="1"/>
  <c r="FA16" i="1"/>
  <c r="EW79" i="1"/>
  <c r="EW89" i="1" s="1"/>
  <c r="EZ59" i="1" l="1"/>
  <c r="EZ60" i="1"/>
  <c r="EZ61" i="1"/>
  <c r="EZ62" i="1"/>
  <c r="EZ58" i="1"/>
  <c r="EZ81" i="1" s="1"/>
  <c r="EZ63" i="1"/>
  <c r="EZ148" i="1"/>
  <c r="FA144" i="1"/>
  <c r="FA106" i="1" s="1"/>
  <c r="EV110" i="1"/>
  <c r="FA39" i="1"/>
  <c r="EX79" i="1"/>
  <c r="EX89" i="1" s="1"/>
  <c r="FA37" i="1"/>
  <c r="FA36" i="1"/>
  <c r="EY64" i="1"/>
  <c r="FA58" i="1" l="1"/>
  <c r="FA81" i="1" s="1"/>
  <c r="FA63" i="1"/>
  <c r="FA59" i="1"/>
  <c r="FA60" i="1"/>
  <c r="FA61" i="1"/>
  <c r="FA62" i="1"/>
  <c r="FA148" i="1"/>
  <c r="EW110" i="1"/>
  <c r="EZ64" i="1"/>
  <c r="EY79" i="1"/>
  <c r="EY89" i="1" s="1"/>
  <c r="EX110" i="1" l="1"/>
  <c r="EZ79" i="1"/>
  <c r="EZ89" i="1" s="1"/>
  <c r="FA64" i="1"/>
  <c r="EY110" i="1" l="1"/>
  <c r="FA79" i="1"/>
  <c r="FA89" i="1" s="1"/>
  <c r="EZ110" i="1" l="1"/>
  <c r="FA110" i="1" l="1"/>
  <c r="E182" i="1"/>
  <c r="E190" i="1"/>
  <c r="E175" i="1" l="1"/>
  <c r="E176" i="1"/>
  <c r="FA170" i="1" l="1"/>
  <c r="ES170" i="1"/>
  <c r="EK170" i="1"/>
  <c r="EC170" i="1"/>
  <c r="DU170" i="1"/>
  <c r="DM170" i="1"/>
  <c r="DE170" i="1"/>
  <c r="CW170" i="1"/>
  <c r="CO170" i="1"/>
  <c r="CG170" i="1"/>
  <c r="BY170" i="1"/>
  <c r="BQ170" i="1"/>
  <c r="BI170" i="1"/>
  <c r="BA170" i="1"/>
  <c r="AS170" i="1"/>
  <c r="AK170" i="1"/>
  <c r="AC170" i="1"/>
  <c r="U170" i="1"/>
  <c r="M170" i="1"/>
  <c r="DP170" i="1"/>
  <c r="CJ170" i="1"/>
  <c r="BL170" i="1"/>
  <c r="AF170" i="1"/>
  <c r="EM170" i="1"/>
  <c r="DG170" i="1"/>
  <c r="BS170" i="1"/>
  <c r="AE170" i="1"/>
  <c r="ED170" i="1"/>
  <c r="DN170" i="1"/>
  <c r="CH170" i="1"/>
  <c r="BJ170" i="1"/>
  <c r="AL170" i="1"/>
  <c r="N170" i="1"/>
  <c r="EZ170" i="1"/>
  <c r="ER170" i="1"/>
  <c r="EJ170" i="1"/>
  <c r="EB170" i="1"/>
  <c r="DT170" i="1"/>
  <c r="DL170" i="1"/>
  <c r="DD170" i="1"/>
  <c r="CV170" i="1"/>
  <c r="CN170" i="1"/>
  <c r="CF170" i="1"/>
  <c r="BX170" i="1"/>
  <c r="BP170" i="1"/>
  <c r="BH170" i="1"/>
  <c r="AZ170" i="1"/>
  <c r="AR170" i="1"/>
  <c r="AJ170" i="1"/>
  <c r="AB170" i="1"/>
  <c r="T170" i="1"/>
  <c r="L170" i="1"/>
  <c r="EF170" i="1"/>
  <c r="BT170" i="1"/>
  <c r="X170" i="1"/>
  <c r="EE170" i="1"/>
  <c r="CQ170" i="1"/>
  <c r="BC170" i="1"/>
  <c r="O170" i="1"/>
  <c r="DV170" i="1"/>
  <c r="DF170" i="1"/>
  <c r="BZ170" i="1"/>
  <c r="AT170" i="1"/>
  <c r="EY170" i="1"/>
  <c r="EQ170" i="1"/>
  <c r="EI170" i="1"/>
  <c r="EA170" i="1"/>
  <c r="DS170" i="1"/>
  <c r="DK170" i="1"/>
  <c r="DC170" i="1"/>
  <c r="CU170" i="1"/>
  <c r="CM170" i="1"/>
  <c r="CE170" i="1"/>
  <c r="BW170" i="1"/>
  <c r="BO170" i="1"/>
  <c r="BG170" i="1"/>
  <c r="AY170" i="1"/>
  <c r="AQ170" i="1"/>
  <c r="AI170" i="1"/>
  <c r="AA170" i="1"/>
  <c r="S170" i="1"/>
  <c r="K170" i="1"/>
  <c r="DX170" i="1"/>
  <c r="BD170" i="1"/>
  <c r="H170" i="1"/>
  <c r="DO170" i="1"/>
  <c r="CA170" i="1"/>
  <c r="AU170" i="1"/>
  <c r="ET170" i="1"/>
  <c r="CP170" i="1"/>
  <c r="BB170" i="1"/>
  <c r="V170" i="1"/>
  <c r="EX170" i="1"/>
  <c r="EP170" i="1"/>
  <c r="EH170" i="1"/>
  <c r="DZ170" i="1"/>
  <c r="DR170" i="1"/>
  <c r="DJ170" i="1"/>
  <c r="DB170" i="1"/>
  <c r="CT170" i="1"/>
  <c r="CL170" i="1"/>
  <c r="CD170" i="1"/>
  <c r="BV170" i="1"/>
  <c r="BN170" i="1"/>
  <c r="BF170" i="1"/>
  <c r="AX170" i="1"/>
  <c r="AP170" i="1"/>
  <c r="AH170" i="1"/>
  <c r="Z170" i="1"/>
  <c r="R170" i="1"/>
  <c r="J170" i="1"/>
  <c r="EN170" i="1"/>
  <c r="CR170" i="1"/>
  <c r="AV170" i="1"/>
  <c r="P170" i="1"/>
  <c r="DW170" i="1"/>
  <c r="CY170" i="1"/>
  <c r="BK170" i="1"/>
  <c r="W170" i="1"/>
  <c r="EL170" i="1"/>
  <c r="CX170" i="1"/>
  <c r="BR170" i="1"/>
  <c r="AD170" i="1"/>
  <c r="EW170" i="1"/>
  <c r="EO170" i="1"/>
  <c r="EG170" i="1"/>
  <c r="DY170" i="1"/>
  <c r="DQ170" i="1"/>
  <c r="DI170" i="1"/>
  <c r="DA170" i="1"/>
  <c r="CS170" i="1"/>
  <c r="CK170" i="1"/>
  <c r="CC170" i="1"/>
  <c r="BU170" i="1"/>
  <c r="BM170" i="1"/>
  <c r="BE170" i="1"/>
  <c r="AW170" i="1"/>
  <c r="AO170" i="1"/>
  <c r="AG170" i="1"/>
  <c r="Y170" i="1"/>
  <c r="Q170" i="1"/>
  <c r="I170" i="1"/>
  <c r="EV170" i="1"/>
  <c r="DH170" i="1"/>
  <c r="CZ170" i="1"/>
  <c r="CB170" i="1"/>
  <c r="AN170" i="1"/>
  <c r="EU170" i="1"/>
  <c r="CI170" i="1"/>
  <c r="AM170" i="1"/>
  <c r="E191" i="1"/>
  <c r="E192" i="1" s="1"/>
  <c r="G170" i="1"/>
  <c r="O164" i="1"/>
  <c r="W164" i="1"/>
  <c r="AE164" i="1"/>
  <c r="AM164" i="1"/>
  <c r="AU164" i="1"/>
  <c r="BC164" i="1"/>
  <c r="BK164" i="1"/>
  <c r="BS164" i="1"/>
  <c r="CA164" i="1"/>
  <c r="CI164" i="1"/>
  <c r="CQ164" i="1"/>
  <c r="CY164" i="1"/>
  <c r="DG164" i="1"/>
  <c r="DO164" i="1"/>
  <c r="DW164" i="1"/>
  <c r="EE164" i="1"/>
  <c r="EM164" i="1"/>
  <c r="EU164" i="1"/>
  <c r="AK164" i="1"/>
  <c r="BA164" i="1"/>
  <c r="CG164" i="1"/>
  <c r="DM164" i="1"/>
  <c r="ES164" i="1"/>
  <c r="BB164" i="1"/>
  <c r="CP164" i="1"/>
  <c r="EL164" i="1"/>
  <c r="H164" i="1"/>
  <c r="P164" i="1"/>
  <c r="X164" i="1"/>
  <c r="AF164" i="1"/>
  <c r="AN164" i="1"/>
  <c r="AV164" i="1"/>
  <c r="BD164" i="1"/>
  <c r="BL164" i="1"/>
  <c r="BT164" i="1"/>
  <c r="CB164" i="1"/>
  <c r="CJ164" i="1"/>
  <c r="CR164" i="1"/>
  <c r="CZ164" i="1"/>
  <c r="DH164" i="1"/>
  <c r="DP164" i="1"/>
  <c r="DX164" i="1"/>
  <c r="EF164" i="1"/>
  <c r="EN164" i="1"/>
  <c r="EV164" i="1"/>
  <c r="U164" i="1"/>
  <c r="CW164" i="1"/>
  <c r="FA164" i="1"/>
  <c r="AD164" i="1"/>
  <c r="DN164" i="1"/>
  <c r="I164" i="1"/>
  <c r="Q164" i="1"/>
  <c r="Y164" i="1"/>
  <c r="AG164" i="1"/>
  <c r="AO164" i="1"/>
  <c r="AW164" i="1"/>
  <c r="BE164" i="1"/>
  <c r="BM164" i="1"/>
  <c r="BU164" i="1"/>
  <c r="CC164" i="1"/>
  <c r="CK164" i="1"/>
  <c r="CS164" i="1"/>
  <c r="DA164" i="1"/>
  <c r="DI164" i="1"/>
  <c r="DQ164" i="1"/>
  <c r="DY164" i="1"/>
  <c r="EG164" i="1"/>
  <c r="EO164" i="1"/>
  <c r="EW164" i="1"/>
  <c r="AC164" i="1"/>
  <c r="BQ164" i="1"/>
  <c r="EC164" i="1"/>
  <c r="AL164" i="1"/>
  <c r="BZ164" i="1"/>
  <c r="DF164" i="1"/>
  <c r="J164" i="1"/>
  <c r="R164" i="1"/>
  <c r="Z164" i="1"/>
  <c r="AH164" i="1"/>
  <c r="AP164" i="1"/>
  <c r="AX164" i="1"/>
  <c r="BF164" i="1"/>
  <c r="BN164" i="1"/>
  <c r="BV164" i="1"/>
  <c r="CD164" i="1"/>
  <c r="CL164" i="1"/>
  <c r="CT164" i="1"/>
  <c r="DB164" i="1"/>
  <c r="DJ164" i="1"/>
  <c r="DR164" i="1"/>
  <c r="DZ164" i="1"/>
  <c r="EH164" i="1"/>
  <c r="EP164" i="1"/>
  <c r="EX164" i="1"/>
  <c r="M164" i="1"/>
  <c r="BY164" i="1"/>
  <c r="DU164" i="1"/>
  <c r="BJ164" i="1"/>
  <c r="CX164" i="1"/>
  <c r="ET164" i="1"/>
  <c r="K164" i="1"/>
  <c r="S164" i="1"/>
  <c r="AA164" i="1"/>
  <c r="AI164" i="1"/>
  <c r="AQ164" i="1"/>
  <c r="AY164" i="1"/>
  <c r="BG164" i="1"/>
  <c r="BO164" i="1"/>
  <c r="BW164" i="1"/>
  <c r="CE164" i="1"/>
  <c r="CM164" i="1"/>
  <c r="CU164" i="1"/>
  <c r="DC164" i="1"/>
  <c r="DK164" i="1"/>
  <c r="DS164" i="1"/>
  <c r="EA164" i="1"/>
  <c r="EI164" i="1"/>
  <c r="EQ164" i="1"/>
  <c r="EY164" i="1"/>
  <c r="DE164" i="1"/>
  <c r="N164" i="1"/>
  <c r="BR164" i="1"/>
  <c r="ED164" i="1"/>
  <c r="L164" i="1"/>
  <c r="T164" i="1"/>
  <c r="AB164" i="1"/>
  <c r="AJ164" i="1"/>
  <c r="AR164" i="1"/>
  <c r="AZ164" i="1"/>
  <c r="BH164" i="1"/>
  <c r="BP164" i="1"/>
  <c r="BX164" i="1"/>
  <c r="CF164" i="1"/>
  <c r="CN164" i="1"/>
  <c r="CV164" i="1"/>
  <c r="DD164" i="1"/>
  <c r="DL164" i="1"/>
  <c r="DT164" i="1"/>
  <c r="EB164" i="1"/>
  <c r="EJ164" i="1"/>
  <c r="ER164" i="1"/>
  <c r="EZ164" i="1"/>
  <c r="AS164" i="1"/>
  <c r="BI164" i="1"/>
  <c r="CO164" i="1"/>
  <c r="EK164" i="1"/>
  <c r="V164" i="1"/>
  <c r="AT164" i="1"/>
  <c r="CH164" i="1"/>
  <c r="DV164" i="1"/>
  <c r="CO53" i="1"/>
  <c r="CG53" i="1"/>
  <c r="BY53" i="1"/>
  <c r="BQ53" i="1"/>
  <c r="BI53" i="1"/>
  <c r="BA53" i="1"/>
  <c r="AS53" i="1"/>
  <c r="AK53" i="1"/>
  <c r="AC53" i="1"/>
  <c r="CP53" i="1"/>
  <c r="AL53" i="1"/>
  <c r="CN53" i="1"/>
  <c r="CF53" i="1"/>
  <c r="BX53" i="1"/>
  <c r="BP53" i="1"/>
  <c r="BH53" i="1"/>
  <c r="AZ53" i="1"/>
  <c r="AR53" i="1"/>
  <c r="AJ53" i="1"/>
  <c r="AB53" i="1"/>
  <c r="BR53" i="1"/>
  <c r="CM53" i="1"/>
  <c r="CE53" i="1"/>
  <c r="BW53" i="1"/>
  <c r="BO53" i="1"/>
  <c r="BG53" i="1"/>
  <c r="AY53" i="1"/>
  <c r="AQ53" i="1"/>
  <c r="AI53" i="1"/>
  <c r="AA53" i="1"/>
  <c r="BJ53" i="1"/>
  <c r="AD53" i="1"/>
  <c r="CT53" i="1"/>
  <c r="CL53" i="1"/>
  <c r="CD53" i="1"/>
  <c r="BV53" i="1"/>
  <c r="BN53" i="1"/>
  <c r="BF53" i="1"/>
  <c r="AX53" i="1"/>
  <c r="AP53" i="1"/>
  <c r="AH53" i="1"/>
  <c r="Z53" i="1"/>
  <c r="BB53" i="1"/>
  <c r="CS53" i="1"/>
  <c r="CK53" i="1"/>
  <c r="CC53" i="1"/>
  <c r="BU53" i="1"/>
  <c r="BM53" i="1"/>
  <c r="BE53" i="1"/>
  <c r="AW53" i="1"/>
  <c r="AO53" i="1"/>
  <c r="AG53" i="1"/>
  <c r="Y53" i="1"/>
  <c r="AT53" i="1"/>
  <c r="CR53" i="1"/>
  <c r="CJ53" i="1"/>
  <c r="CB53" i="1"/>
  <c r="BT53" i="1"/>
  <c r="BL53" i="1"/>
  <c r="BD53" i="1"/>
  <c r="AV53" i="1"/>
  <c r="AN53" i="1"/>
  <c r="AF53" i="1"/>
  <c r="X53" i="1"/>
  <c r="CH53" i="1"/>
  <c r="CQ53" i="1"/>
  <c r="CI53" i="1"/>
  <c r="CA53" i="1"/>
  <c r="BS53" i="1"/>
  <c r="BK53" i="1"/>
  <c r="BC53" i="1"/>
  <c r="AU53" i="1"/>
  <c r="AM53" i="1"/>
  <c r="AE53" i="1"/>
  <c r="W53" i="1"/>
  <c r="BZ53" i="1"/>
  <c r="G164" i="1"/>
  <c r="E183" i="1"/>
  <c r="E184" i="1" s="1"/>
  <c r="G187" i="1" l="1"/>
  <c r="G189" i="1" s="1"/>
  <c r="EW187" i="1"/>
  <c r="EO187" i="1"/>
  <c r="EG187" i="1"/>
  <c r="DY187" i="1"/>
  <c r="DQ187" i="1"/>
  <c r="DI187" i="1"/>
  <c r="DA187" i="1"/>
  <c r="CS187" i="1"/>
  <c r="CK187" i="1"/>
  <c r="CC187" i="1"/>
  <c r="BU187" i="1"/>
  <c r="BM187" i="1"/>
  <c r="BE187" i="1"/>
  <c r="AW187" i="1"/>
  <c r="AO187" i="1"/>
  <c r="AG187" i="1"/>
  <c r="Y187" i="1"/>
  <c r="Q187" i="1"/>
  <c r="I187" i="1"/>
  <c r="EL187" i="1"/>
  <c r="DV187" i="1"/>
  <c r="CX187" i="1"/>
  <c r="BZ187" i="1"/>
  <c r="AT187" i="1"/>
  <c r="N187" i="1"/>
  <c r="EJ187" i="1"/>
  <c r="CV187" i="1"/>
  <c r="CV189" i="1" s="1"/>
  <c r="BP187" i="1"/>
  <c r="AB187" i="1"/>
  <c r="EV187" i="1"/>
  <c r="EN187" i="1"/>
  <c r="EF187" i="1"/>
  <c r="DX187" i="1"/>
  <c r="DP187" i="1"/>
  <c r="DH187" i="1"/>
  <c r="CZ187" i="1"/>
  <c r="CR187" i="1"/>
  <c r="CJ187" i="1"/>
  <c r="CB187" i="1"/>
  <c r="BT187" i="1"/>
  <c r="BL187" i="1"/>
  <c r="BD187" i="1"/>
  <c r="AV187" i="1"/>
  <c r="AN187" i="1"/>
  <c r="AF187" i="1"/>
  <c r="X187" i="1"/>
  <c r="P187" i="1"/>
  <c r="H187" i="1"/>
  <c r="ED187" i="1"/>
  <c r="DN187" i="1"/>
  <c r="CH187" i="1"/>
  <c r="BJ187" i="1"/>
  <c r="AD187" i="1"/>
  <c r="DT187" i="1"/>
  <c r="CF187" i="1"/>
  <c r="AR187" i="1"/>
  <c r="L187" i="1"/>
  <c r="EU187" i="1"/>
  <c r="EM187" i="1"/>
  <c r="EE187" i="1"/>
  <c r="DW187" i="1"/>
  <c r="DO187" i="1"/>
  <c r="DG187" i="1"/>
  <c r="CY187" i="1"/>
  <c r="CQ187" i="1"/>
  <c r="CI187" i="1"/>
  <c r="CA187" i="1"/>
  <c r="BS187" i="1"/>
  <c r="BK187" i="1"/>
  <c r="BC187" i="1"/>
  <c r="AU187" i="1"/>
  <c r="AM187" i="1"/>
  <c r="AE187" i="1"/>
  <c r="W187" i="1"/>
  <c r="O187" i="1"/>
  <c r="DF187" i="1"/>
  <c r="BR187" i="1"/>
  <c r="AL187" i="1"/>
  <c r="EB187" i="1"/>
  <c r="CN187" i="1"/>
  <c r="AZ187" i="1"/>
  <c r="ET187" i="1"/>
  <c r="CP187" i="1"/>
  <c r="BB187" i="1"/>
  <c r="V187" i="1"/>
  <c r="EZ187" i="1"/>
  <c r="DL187" i="1"/>
  <c r="BX187" i="1"/>
  <c r="AJ187" i="1"/>
  <c r="FA187" i="1"/>
  <c r="ES187" i="1"/>
  <c r="EK187" i="1"/>
  <c r="EC187" i="1"/>
  <c r="DU187" i="1"/>
  <c r="DM187" i="1"/>
  <c r="DE187" i="1"/>
  <c r="CW187" i="1"/>
  <c r="CO187" i="1"/>
  <c r="CG187" i="1"/>
  <c r="BY187" i="1"/>
  <c r="BQ187" i="1"/>
  <c r="BI187" i="1"/>
  <c r="BA187" i="1"/>
  <c r="AS187" i="1"/>
  <c r="AK187" i="1"/>
  <c r="AC187" i="1"/>
  <c r="U187" i="1"/>
  <c r="M187" i="1"/>
  <c r="ER187" i="1"/>
  <c r="DD187" i="1"/>
  <c r="BH187" i="1"/>
  <c r="T187" i="1"/>
  <c r="EA187" i="1"/>
  <c r="CU187" i="1"/>
  <c r="BO187" i="1"/>
  <c r="AI187" i="1"/>
  <c r="DZ187" i="1"/>
  <c r="CT187" i="1"/>
  <c r="BN187" i="1"/>
  <c r="AH187" i="1"/>
  <c r="EX187" i="1"/>
  <c r="Z187" i="1"/>
  <c r="DC187" i="1"/>
  <c r="AQ187" i="1"/>
  <c r="EH187" i="1"/>
  <c r="BV187" i="1"/>
  <c r="EY187" i="1"/>
  <c r="DS187" i="1"/>
  <c r="CM187" i="1"/>
  <c r="BG187" i="1"/>
  <c r="AA187" i="1"/>
  <c r="DR187" i="1"/>
  <c r="CL187" i="1"/>
  <c r="BF187" i="1"/>
  <c r="EI187" i="1"/>
  <c r="K187" i="1"/>
  <c r="AP187" i="1"/>
  <c r="EQ187" i="1"/>
  <c r="DK187" i="1"/>
  <c r="CE187" i="1"/>
  <c r="AY187" i="1"/>
  <c r="S187" i="1"/>
  <c r="EP187" i="1"/>
  <c r="DJ187" i="1"/>
  <c r="CD187" i="1"/>
  <c r="AX187" i="1"/>
  <c r="R187" i="1"/>
  <c r="BW187" i="1"/>
  <c r="DB187" i="1"/>
  <c r="J187" i="1"/>
  <c r="J179" i="1"/>
  <c r="I179" i="1"/>
  <c r="H179" i="1"/>
  <c r="G179" i="1"/>
  <c r="G181" i="1" s="1"/>
  <c r="EU179" i="1"/>
  <c r="EM179" i="1"/>
  <c r="EE179" i="1"/>
  <c r="DW179" i="1"/>
  <c r="DO179" i="1"/>
  <c r="DG179" i="1"/>
  <c r="CY179" i="1"/>
  <c r="CQ179" i="1"/>
  <c r="CI179" i="1"/>
  <c r="CA179" i="1"/>
  <c r="BS179" i="1"/>
  <c r="BK179" i="1"/>
  <c r="BC179" i="1"/>
  <c r="AU179" i="1"/>
  <c r="AM179" i="1"/>
  <c r="AE179" i="1"/>
  <c r="W179" i="1"/>
  <c r="O179" i="1"/>
  <c r="ED179" i="1"/>
  <c r="DN179" i="1"/>
  <c r="CX179" i="1"/>
  <c r="CH179" i="1"/>
  <c r="BZ179" i="1"/>
  <c r="BJ179" i="1"/>
  <c r="AT179" i="1"/>
  <c r="AD179" i="1"/>
  <c r="V179" i="1"/>
  <c r="ET179" i="1"/>
  <c r="EL179" i="1"/>
  <c r="DV179" i="1"/>
  <c r="DF179" i="1"/>
  <c r="CP179" i="1"/>
  <c r="BR179" i="1"/>
  <c r="BB179" i="1"/>
  <c r="AL179" i="1"/>
  <c r="N179" i="1"/>
  <c r="FA179" i="1"/>
  <c r="ES179" i="1"/>
  <c r="EK179" i="1"/>
  <c r="EC179" i="1"/>
  <c r="DU179" i="1"/>
  <c r="DM179" i="1"/>
  <c r="DE179" i="1"/>
  <c r="CW179" i="1"/>
  <c r="CO179" i="1"/>
  <c r="CG179" i="1"/>
  <c r="BY179" i="1"/>
  <c r="BQ179" i="1"/>
  <c r="BI179" i="1"/>
  <c r="BA179" i="1"/>
  <c r="AS179" i="1"/>
  <c r="AK179" i="1"/>
  <c r="AC179" i="1"/>
  <c r="U179" i="1"/>
  <c r="M179" i="1"/>
  <c r="EY179" i="1"/>
  <c r="EQ179" i="1"/>
  <c r="EI179" i="1"/>
  <c r="EA179" i="1"/>
  <c r="DS179" i="1"/>
  <c r="DK179" i="1"/>
  <c r="DC179" i="1"/>
  <c r="CU179" i="1"/>
  <c r="CM179" i="1"/>
  <c r="CE179" i="1"/>
  <c r="BW179" i="1"/>
  <c r="BO179" i="1"/>
  <c r="BG179" i="1"/>
  <c r="AY179" i="1"/>
  <c r="AQ179" i="1"/>
  <c r="AI179" i="1"/>
  <c r="AA179" i="1"/>
  <c r="S179" i="1"/>
  <c r="EW179" i="1"/>
  <c r="EG179" i="1"/>
  <c r="DQ179" i="1"/>
  <c r="DA179" i="1"/>
  <c r="CK179" i="1"/>
  <c r="BU179" i="1"/>
  <c r="BE179" i="1"/>
  <c r="AO179" i="1"/>
  <c r="Y179" i="1"/>
  <c r="ER179" i="1"/>
  <c r="DL179" i="1"/>
  <c r="CF179" i="1"/>
  <c r="AZ179" i="1"/>
  <c r="T179" i="1"/>
  <c r="EZ179" i="1"/>
  <c r="BX179" i="1"/>
  <c r="L179" i="1"/>
  <c r="CL179" i="1"/>
  <c r="EV179" i="1"/>
  <c r="EF179" i="1"/>
  <c r="DP179" i="1"/>
  <c r="CZ179" i="1"/>
  <c r="CJ179" i="1"/>
  <c r="BT179" i="1"/>
  <c r="BD179" i="1"/>
  <c r="AN179" i="1"/>
  <c r="X179" i="1"/>
  <c r="EB179" i="1"/>
  <c r="CV179" i="1"/>
  <c r="CV181" i="1" s="1"/>
  <c r="BP179" i="1"/>
  <c r="AJ179" i="1"/>
  <c r="DD179" i="1"/>
  <c r="AR179" i="1"/>
  <c r="EX179" i="1"/>
  <c r="BF179" i="1"/>
  <c r="EJ179" i="1"/>
  <c r="EH179" i="1"/>
  <c r="BV179" i="1"/>
  <c r="EP179" i="1"/>
  <c r="DZ179" i="1"/>
  <c r="DJ179" i="1"/>
  <c r="CT179" i="1"/>
  <c r="CD179" i="1"/>
  <c r="BN179" i="1"/>
  <c r="AX179" i="1"/>
  <c r="AH179" i="1"/>
  <c r="R179" i="1"/>
  <c r="AW179" i="1"/>
  <c r="EN179" i="1"/>
  <c r="DH179" i="1"/>
  <c r="CB179" i="1"/>
  <c r="AV179" i="1"/>
  <c r="P179" i="1"/>
  <c r="CN179" i="1"/>
  <c r="AB179" i="1"/>
  <c r="DB179" i="1"/>
  <c r="Z179" i="1"/>
  <c r="EO179" i="1"/>
  <c r="DY179" i="1"/>
  <c r="DI179" i="1"/>
  <c r="CS179" i="1"/>
  <c r="CC179" i="1"/>
  <c r="BM179" i="1"/>
  <c r="AG179" i="1"/>
  <c r="Q179" i="1"/>
  <c r="DX179" i="1"/>
  <c r="CR179" i="1"/>
  <c r="BL179" i="1"/>
  <c r="AF179" i="1"/>
  <c r="DT179" i="1"/>
  <c r="BH179" i="1"/>
  <c r="DR179" i="1"/>
  <c r="AP179" i="1"/>
  <c r="K179" i="1"/>
  <c r="G171" i="1" l="1"/>
  <c r="G172" i="1" s="1"/>
  <c r="H169" i="1" s="1"/>
  <c r="H188" i="1" s="1"/>
  <c r="H189" i="1" s="1"/>
  <c r="G165" i="1"/>
  <c r="G166" i="1" s="1"/>
  <c r="H163" i="1" s="1"/>
  <c r="H180" i="1" s="1"/>
  <c r="H181" i="1" s="1"/>
  <c r="G195" i="1" l="1"/>
  <c r="G92" i="1" s="1"/>
  <c r="G93" i="1" s="1"/>
  <c r="G196" i="1" l="1"/>
  <c r="G85" i="1"/>
  <c r="G86" i="1" s="1"/>
  <c r="G198" i="1" l="1"/>
  <c r="H165" i="1" l="1"/>
  <c r="H166" i="1" s="1"/>
  <c r="I163" i="1" s="1"/>
  <c r="I180" i="1" s="1"/>
  <c r="I181" i="1" s="1"/>
  <c r="G106" i="1"/>
  <c r="H171" i="1" l="1"/>
  <c r="H172" i="1" s="1"/>
  <c r="I169" i="1" s="1"/>
  <c r="I188" i="1" s="1"/>
  <c r="I189" i="1" s="1"/>
  <c r="H194" i="1"/>
  <c r="H68" i="1" s="1"/>
  <c r="H91" i="1" s="1"/>
  <c r="H84" i="1" l="1"/>
  <c r="H69" i="1"/>
  <c r="H74" i="1" s="1"/>
  <c r="H75" i="1" s="1"/>
  <c r="H80" i="1" s="1"/>
  <c r="H83" i="1" s="1"/>
  <c r="H195" i="1"/>
  <c r="H196" i="1" s="1"/>
  <c r="H198" i="1" s="1"/>
  <c r="H70" i="1" l="1"/>
  <c r="H71" i="1" s="1"/>
  <c r="H76" i="1"/>
  <c r="I73" i="1" s="1"/>
  <c r="H85" i="1"/>
  <c r="H86" i="1" s="1"/>
  <c r="H92" i="1"/>
  <c r="H93" i="1" s="1"/>
  <c r="I171" i="1" l="1"/>
  <c r="I172" i="1" s="1"/>
  <c r="J169" i="1" s="1"/>
  <c r="J188" i="1" s="1"/>
  <c r="J189" i="1" s="1"/>
  <c r="I165" i="1" l="1"/>
  <c r="I166" i="1" s="1"/>
  <c r="J163" i="1" s="1"/>
  <c r="J180" i="1" s="1"/>
  <c r="J181" i="1" s="1"/>
  <c r="I194" i="1" l="1"/>
  <c r="I68" i="1" s="1"/>
  <c r="I91" i="1" s="1"/>
  <c r="I195" i="1"/>
  <c r="I196" i="1" l="1"/>
  <c r="I198" i="1" s="1"/>
  <c r="I69" i="1"/>
  <c r="I74" i="1" s="1"/>
  <c r="I84" i="1"/>
  <c r="I85" i="1"/>
  <c r="I92" i="1"/>
  <c r="G114" i="1" l="1"/>
  <c r="G16" i="2" s="1"/>
  <c r="I70" i="1"/>
  <c r="I71" i="1" s="1"/>
  <c r="I75" i="1"/>
  <c r="I80" i="1" s="1"/>
  <c r="I83" i="1" s="1"/>
  <c r="I86" i="1" s="1"/>
  <c r="G113" i="1" l="1"/>
  <c r="G22" i="2"/>
  <c r="G25" i="2" s="1"/>
  <c r="G26" i="2" s="1"/>
  <c r="G17" i="2"/>
  <c r="G51" i="1" s="1"/>
  <c r="I76" i="1"/>
  <c r="J73" i="1" s="1"/>
  <c r="G32" i="2" l="1"/>
  <c r="G117" i="1"/>
  <c r="G94" i="1" s="1"/>
  <c r="G118" i="1"/>
  <c r="G95" i="1" s="1"/>
  <c r="G115" i="1"/>
  <c r="G158" i="1" l="1"/>
  <c r="G159" i="1" s="1"/>
  <c r="G33" i="2"/>
  <c r="H31" i="2" s="1"/>
  <c r="G119" i="1"/>
  <c r="J165" i="1"/>
  <c r="J166" i="1" s="1"/>
  <c r="K163" i="1" s="1"/>
  <c r="G205" i="1" l="1"/>
  <c r="G210" i="1" s="1"/>
  <c r="G160" i="1"/>
  <c r="H157" i="1" s="1"/>
  <c r="G121" i="1"/>
  <c r="G96" i="1" s="1"/>
  <c r="G97" i="1" s="1"/>
  <c r="J171" i="1"/>
  <c r="J172" i="1" s="1"/>
  <c r="K169" i="1" s="1"/>
  <c r="K188" i="1" s="1"/>
  <c r="K189" i="1" s="1"/>
  <c r="J194" i="1"/>
  <c r="J68" i="1" s="1"/>
  <c r="J91" i="1" s="1"/>
  <c r="G122" i="1" l="1"/>
  <c r="G98" i="1" s="1"/>
  <c r="G99" i="1" s="1"/>
  <c r="G129" i="1" s="1"/>
  <c r="J69" i="1"/>
  <c r="J74" i="1" s="1"/>
  <c r="J75" i="1" s="1"/>
  <c r="J80" i="1" s="1"/>
  <c r="J83" i="1" s="1"/>
  <c r="J195" i="1"/>
  <c r="J92" i="1" s="1"/>
  <c r="J84" i="1"/>
  <c r="J85" i="1" l="1"/>
  <c r="H114" i="1" s="1"/>
  <c r="J70" i="1"/>
  <c r="J71" i="1" s="1"/>
  <c r="J196" i="1"/>
  <c r="J198" i="1" s="1"/>
  <c r="J76" i="1"/>
  <c r="K73" i="1" s="1"/>
  <c r="G130" i="1"/>
  <c r="H125" i="1" s="1"/>
  <c r="G100" i="1"/>
  <c r="G101" i="1" s="1"/>
  <c r="G138" i="1" s="1"/>
  <c r="H16" i="2" l="1"/>
  <c r="J86" i="1"/>
  <c r="G102" i="1"/>
  <c r="G103" i="1" s="1"/>
  <c r="G139" i="1"/>
  <c r="H133" i="1" s="1"/>
  <c r="H137" i="1" l="1"/>
  <c r="H113" i="1"/>
  <c r="H117" i="1" s="1"/>
  <c r="H94" i="1" s="1"/>
  <c r="H22" i="2"/>
  <c r="H25" i="2" s="1"/>
  <c r="H26" i="2" s="1"/>
  <c r="H17" i="2"/>
  <c r="H51" i="1" s="1"/>
  <c r="G145" i="1"/>
  <c r="G108" i="1"/>
  <c r="K180" i="1"/>
  <c r="K181" i="1" l="1"/>
  <c r="K165" i="1" s="1"/>
  <c r="K166" i="1" s="1"/>
  <c r="L163" i="1" s="1"/>
  <c r="L180" i="1" s="1"/>
  <c r="L181" i="1" s="1"/>
  <c r="H32" i="2"/>
  <c r="H118" i="1"/>
  <c r="H95" i="1" s="1"/>
  <c r="H115" i="1"/>
  <c r="K171" i="1"/>
  <c r="K172" i="1" s="1"/>
  <c r="L169" i="1" s="1"/>
  <c r="L188" i="1" s="1"/>
  <c r="L189" i="1" s="1"/>
  <c r="K194" i="1"/>
  <c r="K68" i="1" s="1"/>
  <c r="K91" i="1" s="1"/>
  <c r="H158" i="1" l="1"/>
  <c r="H159" i="1" s="1"/>
  <c r="H205" i="1" s="1"/>
  <c r="H33" i="2"/>
  <c r="I31" i="2" s="1"/>
  <c r="I19" i="2" s="1"/>
  <c r="I93" i="1" s="1"/>
  <c r="H119" i="1"/>
  <c r="K195" i="1"/>
  <c r="K92" i="1" s="1"/>
  <c r="K69" i="1"/>
  <c r="K74" i="1" s="1"/>
  <c r="K75" i="1" s="1"/>
  <c r="K80" i="1" s="1"/>
  <c r="K83" i="1" s="1"/>
  <c r="K84" i="1"/>
  <c r="I52" i="1" l="1"/>
  <c r="H160" i="1"/>
  <c r="I157" i="1" s="1"/>
  <c r="H121" i="1"/>
  <c r="H96" i="1" s="1"/>
  <c r="H97" i="1" s="1"/>
  <c r="K85" i="1"/>
  <c r="K86" i="1" s="1"/>
  <c r="K70" i="1"/>
  <c r="K71" i="1" s="1"/>
  <c r="K196" i="1"/>
  <c r="K198" i="1" s="1"/>
  <c r="K76" i="1"/>
  <c r="L73" i="1" s="1"/>
  <c r="I114" i="1" l="1"/>
  <c r="I16" i="2" s="1"/>
  <c r="I17" i="2" s="1"/>
  <c r="I51" i="1" s="1"/>
  <c r="H122" i="1"/>
  <c r="H98" i="1" s="1"/>
  <c r="H99" i="1" s="1"/>
  <c r="H129" i="1" s="1"/>
  <c r="H130" i="1" s="1"/>
  <c r="I125" i="1" s="1"/>
  <c r="H100" i="1" l="1"/>
  <c r="H101" i="1" s="1"/>
  <c r="I113" i="1"/>
  <c r="I118" i="1" s="1"/>
  <c r="I95" i="1" s="1"/>
  <c r="H138" i="1" l="1"/>
  <c r="H139" i="1" s="1"/>
  <c r="I133" i="1" s="1"/>
  <c r="I115" i="1"/>
  <c r="I117" i="1"/>
  <c r="I94" i="1" s="1"/>
  <c r="L165" i="1"/>
  <c r="L166" i="1" s="1"/>
  <c r="M163" i="1" s="1"/>
  <c r="M180" i="1" s="1"/>
  <c r="M181" i="1" s="1"/>
  <c r="I137" i="1" l="1"/>
  <c r="H102" i="1"/>
  <c r="H103" i="1" s="1"/>
  <c r="H108" i="1" s="1"/>
  <c r="I119" i="1"/>
  <c r="I121" i="1" s="1"/>
  <c r="I96" i="1" s="1"/>
  <c r="I97" i="1" s="1"/>
  <c r="L171" i="1"/>
  <c r="L172" i="1" s="1"/>
  <c r="M169" i="1" s="1"/>
  <c r="M188" i="1" s="1"/>
  <c r="M189" i="1" s="1"/>
  <c r="L194" i="1"/>
  <c r="L68" i="1" s="1"/>
  <c r="L91" i="1" s="1"/>
  <c r="H145" i="1" l="1"/>
  <c r="I122" i="1"/>
  <c r="I98" i="1" s="1"/>
  <c r="I99" i="1" s="1"/>
  <c r="I129" i="1" s="1"/>
  <c r="I130" i="1" s="1"/>
  <c r="L195" i="1"/>
  <c r="L92" i="1" s="1"/>
  <c r="L69" i="1"/>
  <c r="L74" i="1" s="1"/>
  <c r="L84" i="1"/>
  <c r="L85" i="1" l="1"/>
  <c r="J114" i="1" s="1"/>
  <c r="L196" i="1"/>
  <c r="L198" i="1" s="1"/>
  <c r="L70" i="1"/>
  <c r="L71" i="1" s="1"/>
  <c r="L75" i="1"/>
  <c r="L80" i="1" s="1"/>
  <c r="L83" i="1" s="1"/>
  <c r="J16" i="2" l="1"/>
  <c r="L86" i="1"/>
  <c r="J125" i="1"/>
  <c r="I100" i="1"/>
  <c r="I101" i="1" s="1"/>
  <c r="I138" i="1" s="1"/>
  <c r="L76" i="1"/>
  <c r="M73" i="1" s="1"/>
  <c r="J17" i="2" l="1"/>
  <c r="J51" i="1" s="1"/>
  <c r="J113" i="1"/>
  <c r="J115" i="1" s="1"/>
  <c r="I102" i="1"/>
  <c r="I103" i="1" s="1"/>
  <c r="I108" i="1" s="1"/>
  <c r="I145" i="1" l="1"/>
  <c r="M171" i="1"/>
  <c r="M172" i="1" s="1"/>
  <c r="N169" i="1" s="1"/>
  <c r="N188" i="1" s="1"/>
  <c r="N189" i="1" s="1"/>
  <c r="I139" i="1"/>
  <c r="J133" i="1" s="1"/>
  <c r="M165" i="1" l="1"/>
  <c r="M166" i="1" s="1"/>
  <c r="N163" i="1" s="1"/>
  <c r="N180" i="1" s="1"/>
  <c r="N181" i="1" s="1"/>
  <c r="J137" i="1"/>
  <c r="M195" i="1" l="1"/>
  <c r="M92" i="1" s="1"/>
  <c r="M194" i="1"/>
  <c r="M68" i="1" s="1"/>
  <c r="M91" i="1" s="1"/>
  <c r="M196" i="1" l="1"/>
  <c r="M198" i="1" s="1"/>
  <c r="M84" i="1"/>
  <c r="M85" i="1"/>
  <c r="K114" i="1" l="1"/>
  <c r="K16" i="2" s="1"/>
  <c r="K17" i="2" l="1"/>
  <c r="K51" i="1" l="1"/>
  <c r="N171" i="1" l="1"/>
  <c r="N172" i="1" s="1"/>
  <c r="O169" i="1" s="1"/>
  <c r="O188" i="1" s="1"/>
  <c r="O189" i="1" s="1"/>
  <c r="N165" i="1" l="1"/>
  <c r="N166" i="1" s="1"/>
  <c r="O163" i="1" s="1"/>
  <c r="O180" i="1" s="1"/>
  <c r="O181" i="1" s="1"/>
  <c r="N194" i="1" l="1"/>
  <c r="N68" i="1" s="1"/>
  <c r="N91" i="1" s="1"/>
  <c r="N195" i="1"/>
  <c r="N92" i="1" s="1"/>
  <c r="N84" i="1" l="1"/>
  <c r="N85" i="1"/>
  <c r="N196" i="1"/>
  <c r="N198" i="1" s="1"/>
  <c r="L114" i="1" l="1"/>
  <c r="L16" i="2" s="1"/>
  <c r="L17" i="2" l="1"/>
  <c r="L51" i="1" l="1"/>
  <c r="O171" i="1" l="1"/>
  <c r="O172" i="1" s="1"/>
  <c r="P169" i="1" s="1"/>
  <c r="P188" i="1" s="1"/>
  <c r="P189" i="1" s="1"/>
  <c r="O165" i="1" l="1"/>
  <c r="O166" i="1" s="1"/>
  <c r="P163" i="1" s="1"/>
  <c r="P180" i="1" s="1"/>
  <c r="P181" i="1" s="1"/>
  <c r="O194" i="1" l="1"/>
  <c r="O68" i="1" s="1"/>
  <c r="O91" i="1" s="1"/>
  <c r="O195" i="1"/>
  <c r="O92" i="1" s="1"/>
  <c r="O84" i="1" l="1"/>
  <c r="O196" i="1"/>
  <c r="O198" i="1" s="1"/>
  <c r="O85" i="1"/>
  <c r="M114" i="1" l="1"/>
  <c r="M16" i="2" s="1"/>
  <c r="M17" i="2" l="1"/>
  <c r="M51" i="1" l="1"/>
  <c r="M65" i="1" s="1"/>
  <c r="P171" i="1" l="1"/>
  <c r="P172" i="1" s="1"/>
  <c r="Q169" i="1" s="1"/>
  <c r="Q188" i="1" s="1"/>
  <c r="Q189" i="1" s="1"/>
  <c r="P165" i="1" l="1"/>
  <c r="P166" i="1" s="1"/>
  <c r="Q163" i="1" s="1"/>
  <c r="Q180" i="1" s="1"/>
  <c r="Q181" i="1" s="1"/>
  <c r="P194" i="1" l="1"/>
  <c r="P68" i="1" s="1"/>
  <c r="P91" i="1" s="1"/>
  <c r="P195" i="1"/>
  <c r="P92" i="1" s="1"/>
  <c r="P84" i="1" l="1"/>
  <c r="P196" i="1"/>
  <c r="P198" i="1" s="1"/>
  <c r="P85" i="1"/>
  <c r="N114" i="1" l="1"/>
  <c r="N16" i="2" s="1"/>
  <c r="N17" i="2" l="1"/>
  <c r="N51" i="1" l="1"/>
  <c r="N65" i="1" s="1"/>
  <c r="Q171" i="1" l="1"/>
  <c r="Q172" i="1" s="1"/>
  <c r="R169" i="1" s="1"/>
  <c r="R188" i="1" s="1"/>
  <c r="R189" i="1" s="1"/>
  <c r="Q194" i="1" l="1"/>
  <c r="Q68" i="1" s="1"/>
  <c r="Q91" i="1" s="1"/>
  <c r="Q165" i="1" l="1"/>
  <c r="Q166" i="1" s="1"/>
  <c r="R163" i="1" s="1"/>
  <c r="R180" i="1" s="1"/>
  <c r="R181" i="1" s="1"/>
  <c r="Q84" i="1"/>
  <c r="Q195" i="1" l="1"/>
  <c r="Q196" i="1" s="1"/>
  <c r="Q198" i="1" s="1"/>
  <c r="Q92" i="1" l="1"/>
  <c r="Q85" i="1"/>
  <c r="O114" i="1" s="1"/>
  <c r="O16" i="2" l="1"/>
  <c r="O17" i="2" s="1"/>
  <c r="O51" i="1" s="1"/>
  <c r="O65" i="1" s="1"/>
  <c r="R171" i="1" l="1"/>
  <c r="R172" i="1" s="1"/>
  <c r="S169" i="1" s="1"/>
  <c r="S188" i="1" s="1"/>
  <c r="S189" i="1" s="1"/>
  <c r="R165" i="1" l="1"/>
  <c r="R166" i="1" s="1"/>
  <c r="S163" i="1" s="1"/>
  <c r="S180" i="1" s="1"/>
  <c r="S181" i="1" s="1"/>
  <c r="R195" i="1" l="1"/>
  <c r="R92" i="1" s="1"/>
  <c r="R194" i="1"/>
  <c r="R68" i="1" s="1"/>
  <c r="R91" i="1" s="1"/>
  <c r="R84" i="1" l="1"/>
  <c r="R196" i="1"/>
  <c r="R198" i="1" s="1"/>
  <c r="R85" i="1"/>
  <c r="P114" i="1" l="1"/>
  <c r="P16" i="2" s="1"/>
  <c r="P17" i="2" l="1"/>
  <c r="P51" i="1" l="1"/>
  <c r="P65" i="1" s="1"/>
  <c r="S171" i="1" l="1"/>
  <c r="S172" i="1" s="1"/>
  <c r="T169" i="1" s="1"/>
  <c r="T188" i="1" s="1"/>
  <c r="T189" i="1" s="1"/>
  <c r="S165" i="1" l="1"/>
  <c r="S166" i="1" s="1"/>
  <c r="T163" i="1" s="1"/>
  <c r="T180" i="1" s="1"/>
  <c r="T181" i="1" s="1"/>
  <c r="S194" i="1" l="1"/>
  <c r="S68" i="1" s="1"/>
  <c r="S91" i="1" s="1"/>
  <c r="S195" i="1"/>
  <c r="S92" i="1" s="1"/>
  <c r="S84" i="1" l="1"/>
  <c r="S196" i="1"/>
  <c r="S198" i="1" s="1"/>
  <c r="S85" i="1"/>
  <c r="Q114" i="1" l="1"/>
  <c r="Q16" i="2" s="1"/>
  <c r="Q17" i="2" l="1"/>
  <c r="Q51" i="1" l="1"/>
  <c r="Q65" i="1" s="1"/>
  <c r="T171" i="1" l="1"/>
  <c r="T172" i="1" s="1"/>
  <c r="U169" i="1" s="1"/>
  <c r="U188" i="1" s="1"/>
  <c r="U189" i="1" s="1"/>
  <c r="T165" i="1" l="1"/>
  <c r="T166" i="1" s="1"/>
  <c r="U163" i="1" s="1"/>
  <c r="U180" i="1" s="1"/>
  <c r="U181" i="1" s="1"/>
  <c r="T194" i="1" l="1"/>
  <c r="T68" i="1" s="1"/>
  <c r="T91" i="1" s="1"/>
  <c r="T195" i="1"/>
  <c r="T92" i="1" s="1"/>
  <c r="T84" i="1" l="1"/>
  <c r="T196" i="1"/>
  <c r="T198" i="1" s="1"/>
  <c r="T85" i="1"/>
  <c r="R114" i="1" l="1"/>
  <c r="R16" i="2" s="1"/>
  <c r="R17" i="2" l="1"/>
  <c r="R51" i="1" l="1"/>
  <c r="R65" i="1" s="1"/>
  <c r="U171" i="1" l="1"/>
  <c r="U172" i="1" s="1"/>
  <c r="V169" i="1" s="1"/>
  <c r="V188" i="1" s="1"/>
  <c r="V189" i="1" s="1"/>
  <c r="U165" i="1" l="1"/>
  <c r="U166" i="1" s="1"/>
  <c r="V163" i="1" s="1"/>
  <c r="V180" i="1" s="1"/>
  <c r="V181" i="1" s="1"/>
  <c r="U194" i="1" l="1"/>
  <c r="U68" i="1" s="1"/>
  <c r="U91" i="1" s="1"/>
  <c r="U195" i="1"/>
  <c r="U92" i="1" s="1"/>
  <c r="U84" i="1" l="1"/>
  <c r="U85" i="1"/>
  <c r="U196" i="1"/>
  <c r="U198" i="1" s="1"/>
  <c r="S114" i="1" l="1"/>
  <c r="S16" i="2" s="1"/>
  <c r="S17" i="2" l="1"/>
  <c r="S51" i="1" l="1"/>
  <c r="E51" i="1" s="1"/>
  <c r="S65" i="1" l="1"/>
  <c r="T65" i="1" s="1"/>
  <c r="U65" i="1" s="1"/>
  <c r="V165" i="1" l="1"/>
  <c r="V166" i="1" s="1"/>
  <c r="W163" i="1" s="1"/>
  <c r="W180" i="1" s="1"/>
  <c r="W181" i="1" s="1"/>
  <c r="V171" i="1"/>
  <c r="V172" i="1" s="1"/>
  <c r="W169" i="1" s="1"/>
  <c r="W188" i="1" s="1"/>
  <c r="W189" i="1" s="1"/>
  <c r="V65" i="1"/>
  <c r="W65" i="1" s="1"/>
  <c r="X65" i="1" s="1"/>
  <c r="Y65" i="1" s="1"/>
  <c r="V194" i="1" l="1"/>
  <c r="V68" i="1" s="1"/>
  <c r="V91" i="1" s="1"/>
  <c r="V195" i="1"/>
  <c r="Z65" i="1"/>
  <c r="AA65" i="1" s="1"/>
  <c r="AB65" i="1" s="1"/>
  <c r="AC65" i="1" s="1"/>
  <c r="AD65" i="1" s="1"/>
  <c r="AE65" i="1" s="1"/>
  <c r="AF65" i="1" s="1"/>
  <c r="AG65" i="1" s="1"/>
  <c r="AH65" i="1" s="1"/>
  <c r="AI65" i="1" s="1"/>
  <c r="AJ65" i="1" s="1"/>
  <c r="AK65" i="1" s="1"/>
  <c r="AL65" i="1" s="1"/>
  <c r="AM65" i="1" s="1"/>
  <c r="AN65" i="1" s="1"/>
  <c r="AO65" i="1" s="1"/>
  <c r="AP65" i="1" s="1"/>
  <c r="AQ65" i="1" s="1"/>
  <c r="AR65" i="1" s="1"/>
  <c r="AS65" i="1" s="1"/>
  <c r="AT65" i="1" s="1"/>
  <c r="AU65" i="1" s="1"/>
  <c r="AV65" i="1" s="1"/>
  <c r="AW65" i="1" s="1"/>
  <c r="AX65" i="1" s="1"/>
  <c r="AY65" i="1" s="1"/>
  <c r="AZ65" i="1" s="1"/>
  <c r="BA65" i="1" s="1"/>
  <c r="BB65" i="1" s="1"/>
  <c r="BC65" i="1" s="1"/>
  <c r="BD65" i="1" s="1"/>
  <c r="BE65" i="1" s="1"/>
  <c r="BF65" i="1" s="1"/>
  <c r="BG65" i="1" s="1"/>
  <c r="BH65" i="1" s="1"/>
  <c r="BI65" i="1" s="1"/>
  <c r="BJ65" i="1" s="1"/>
  <c r="BK65" i="1" s="1"/>
  <c r="BL65" i="1" s="1"/>
  <c r="BM65" i="1" s="1"/>
  <c r="BN65" i="1" s="1"/>
  <c r="BO65" i="1" s="1"/>
  <c r="BP65" i="1" s="1"/>
  <c r="BQ65" i="1" s="1"/>
  <c r="BR65" i="1" s="1"/>
  <c r="BS65" i="1" s="1"/>
  <c r="BT65" i="1" s="1"/>
  <c r="BU65" i="1" s="1"/>
  <c r="BV65" i="1" s="1"/>
  <c r="BW65" i="1" s="1"/>
  <c r="BX65" i="1" s="1"/>
  <c r="BY65" i="1" s="1"/>
  <c r="BZ65" i="1" s="1"/>
  <c r="CA65" i="1" s="1"/>
  <c r="CB65" i="1" s="1"/>
  <c r="CC65" i="1" s="1"/>
  <c r="CD65" i="1" s="1"/>
  <c r="CE65" i="1" s="1"/>
  <c r="CF65" i="1" s="1"/>
  <c r="CG65" i="1" s="1"/>
  <c r="CH65" i="1" s="1"/>
  <c r="CI65" i="1" s="1"/>
  <c r="CJ65" i="1" s="1"/>
  <c r="CK65" i="1" s="1"/>
  <c r="CL65" i="1" s="1"/>
  <c r="CM65" i="1" s="1"/>
  <c r="CN65" i="1" s="1"/>
  <c r="CO65" i="1" s="1"/>
  <c r="CP65" i="1" s="1"/>
  <c r="CQ65" i="1" s="1"/>
  <c r="CR65" i="1" s="1"/>
  <c r="CS65" i="1" s="1"/>
  <c r="CT65" i="1" s="1"/>
  <c r="CU65" i="1" s="1"/>
  <c r="CV65" i="1" s="1"/>
  <c r="CW65" i="1" s="1"/>
  <c r="CX65" i="1" s="1"/>
  <c r="CY65" i="1" s="1"/>
  <c r="CZ65" i="1" s="1"/>
  <c r="DA65" i="1" s="1"/>
  <c r="DB65" i="1" s="1"/>
  <c r="DC65" i="1" s="1"/>
  <c r="DD65" i="1" s="1"/>
  <c r="DE65" i="1" s="1"/>
  <c r="DF65" i="1" s="1"/>
  <c r="DG65" i="1" s="1"/>
  <c r="DH65" i="1" s="1"/>
  <c r="DI65" i="1" s="1"/>
  <c r="DJ65" i="1" s="1"/>
  <c r="DK65" i="1" s="1"/>
  <c r="DL65" i="1" s="1"/>
  <c r="DM65" i="1" s="1"/>
  <c r="DN65" i="1" s="1"/>
  <c r="DO65" i="1" s="1"/>
  <c r="DP65" i="1" s="1"/>
  <c r="DQ65" i="1" s="1"/>
  <c r="DR65" i="1" s="1"/>
  <c r="DS65" i="1" s="1"/>
  <c r="DT65" i="1" s="1"/>
  <c r="DU65" i="1" s="1"/>
  <c r="DV65" i="1" s="1"/>
  <c r="DW65" i="1" s="1"/>
  <c r="DX65" i="1" s="1"/>
  <c r="DY65" i="1" s="1"/>
  <c r="DZ65" i="1" s="1"/>
  <c r="EA65" i="1" s="1"/>
  <c r="EB65" i="1" s="1"/>
  <c r="EC65" i="1" s="1"/>
  <c r="ED65" i="1" s="1"/>
  <c r="EE65" i="1" s="1"/>
  <c r="EF65" i="1" s="1"/>
  <c r="EG65" i="1" s="1"/>
  <c r="EH65" i="1" s="1"/>
  <c r="EI65" i="1" s="1"/>
  <c r="E65" i="1" s="1"/>
  <c r="V196" i="1" l="1"/>
  <c r="V198" i="1" s="1"/>
  <c r="V84" i="1"/>
  <c r="V92" i="1"/>
  <c r="V85" i="1"/>
  <c r="T114" i="1" l="1"/>
  <c r="T16" i="2" s="1"/>
  <c r="T17" i="2" s="1"/>
  <c r="W171" i="1" l="1"/>
  <c r="W172" i="1" s="1"/>
  <c r="X169" i="1" s="1"/>
  <c r="X188" i="1" s="1"/>
  <c r="X189" i="1" s="1"/>
  <c r="W165" i="1" l="1"/>
  <c r="W166" i="1" s="1"/>
  <c r="X163" i="1" l="1"/>
  <c r="X180" i="1" s="1"/>
  <c r="X181" i="1" s="1"/>
  <c r="W194" i="1"/>
  <c r="W68" i="1" s="1"/>
  <c r="W91" i="1" s="1"/>
  <c r="W195" i="1"/>
  <c r="W92" i="1" s="1"/>
  <c r="W93" i="1" l="1"/>
  <c r="W84" i="1"/>
  <c r="W196" i="1"/>
  <c r="W85" i="1"/>
  <c r="W198" i="1" l="1"/>
  <c r="U114" i="1"/>
  <c r="U16" i="2" s="1"/>
  <c r="U17" i="2" l="1"/>
  <c r="CB67" i="1" l="1"/>
  <c r="BE67" i="1"/>
  <c r="Z67" i="1"/>
  <c r="BO67" i="1"/>
  <c r="AZ67" i="1"/>
  <c r="AK67" i="1"/>
  <c r="AE67" i="1"/>
  <c r="BZ67" i="1"/>
  <c r="BD67" i="1"/>
  <c r="AO67" i="1"/>
  <c r="CH67" i="1"/>
  <c r="BF67" i="1"/>
  <c r="BJ67" i="1"/>
  <c r="CE67" i="1"/>
  <c r="BY67" i="1"/>
  <c r="AJ67" i="1"/>
  <c r="AR67" i="1"/>
  <c r="BX67" i="1"/>
  <c r="CN67" i="1"/>
  <c r="AD67" i="1"/>
  <c r="AX67" i="1"/>
  <c r="CO67" i="1"/>
  <c r="AS67" i="1"/>
  <c r="BT67" i="1"/>
  <c r="CF67" i="1"/>
  <c r="CS67" i="1"/>
  <c r="AC67" i="1"/>
  <c r="BR67" i="1"/>
  <c r="AN67" i="1"/>
  <c r="CI67" i="1"/>
  <c r="CC67" i="1"/>
  <c r="X67" i="1"/>
  <c r="BA67" i="1"/>
  <c r="BQ67" i="1"/>
  <c r="BS67" i="1"/>
  <c r="CD67" i="1"/>
  <c r="AM67" i="1"/>
  <c r="CL67" i="1"/>
  <c r="BB67" i="1"/>
  <c r="AA67" i="1"/>
  <c r="CA67" i="1"/>
  <c r="CP67" i="1"/>
  <c r="AT67" i="1"/>
  <c r="CR67" i="1"/>
  <c r="BK67" i="1"/>
  <c r="BM67" i="1"/>
  <c r="Y67" i="1"/>
  <c r="BG67" i="1"/>
  <c r="AV67" i="1"/>
  <c r="CT67" i="1"/>
  <c r="AL67" i="1"/>
  <c r="AB67" i="1"/>
  <c r="CG67" i="1"/>
  <c r="AF67" i="1"/>
  <c r="BI67" i="1"/>
  <c r="BC67" i="1"/>
  <c r="AI67" i="1"/>
  <c r="BV67" i="1"/>
  <c r="AW67" i="1"/>
  <c r="AU67" i="1"/>
  <c r="BW67" i="1"/>
  <c r="CK67" i="1"/>
  <c r="CM67" i="1"/>
  <c r="AQ67" i="1"/>
  <c r="AP67" i="1"/>
  <c r="AG67" i="1"/>
  <c r="CJ67" i="1"/>
  <c r="BN67" i="1"/>
  <c r="BU67" i="1"/>
  <c r="W67" i="1"/>
  <c r="BH67" i="1"/>
  <c r="BL67" i="1"/>
  <c r="CQ67" i="1"/>
  <c r="AY67" i="1"/>
  <c r="AH67" i="1"/>
  <c r="BP67" i="1"/>
  <c r="E67" i="1" l="1"/>
  <c r="E53" i="1"/>
  <c r="H210" i="1" l="1"/>
  <c r="X171" i="1" l="1"/>
  <c r="X172" i="1" s="1"/>
  <c r="Y169" i="1" s="1"/>
  <c r="Y188" i="1" s="1"/>
  <c r="Y189" i="1" s="1"/>
  <c r="X165" i="1" l="1"/>
  <c r="X166" i="1" s="1"/>
  <c r="Y163" i="1" s="1"/>
  <c r="Y180" i="1" l="1"/>
  <c r="Y181" i="1" s="1"/>
  <c r="Y165" i="1" s="1"/>
  <c r="X194" i="1"/>
  <c r="X68" i="1" s="1"/>
  <c r="X91" i="1" s="1"/>
  <c r="X195" i="1"/>
  <c r="X84" i="1" l="1"/>
  <c r="X196" i="1"/>
  <c r="X85" i="1"/>
  <c r="X92" i="1"/>
  <c r="X93" i="1" s="1"/>
  <c r="V114" i="1" l="1"/>
  <c r="V16" i="2" s="1"/>
  <c r="X198" i="1"/>
  <c r="X141" i="1"/>
  <c r="V17" i="2" l="1"/>
  <c r="X142" i="1"/>
  <c r="X149" i="1"/>
  <c r="X107" i="1" s="1"/>
  <c r="X104" i="1" l="1"/>
  <c r="X143" i="1"/>
  <c r="X105" i="1" s="1"/>
  <c r="Y171" i="1" l="1"/>
  <c r="Y172" i="1" s="1"/>
  <c r="Z169" i="1" s="1"/>
  <c r="Z188" i="1" s="1"/>
  <c r="Z189" i="1" s="1"/>
  <c r="Y194" i="1" l="1"/>
  <c r="Y166" i="1" l="1"/>
  <c r="Z163" i="1" s="1"/>
  <c r="Z180" i="1" s="1"/>
  <c r="Z181" i="1" s="1"/>
  <c r="Y195" i="1"/>
  <c r="Y92" i="1" s="1"/>
  <c r="Y68" i="1"/>
  <c r="Y85" i="1" l="1"/>
  <c r="Y196" i="1"/>
  <c r="Y91" i="1"/>
  <c r="Y84" i="1"/>
  <c r="W114" i="1" l="1"/>
  <c r="W16" i="2" s="1"/>
  <c r="Y93" i="1"/>
  <c r="Y141" i="1"/>
  <c r="Y198" i="1"/>
  <c r="W17" i="2" l="1"/>
  <c r="E17" i="2" s="1"/>
  <c r="W22" i="2"/>
  <c r="W25" i="2" s="1"/>
  <c r="W26" i="2" s="1"/>
  <c r="E16" i="2"/>
  <c r="E207" i="3" s="1"/>
  <c r="E165" i="3" s="1"/>
  <c r="Y149" i="1"/>
  <c r="Y107" i="1" s="1"/>
  <c r="W32" i="2" l="1"/>
  <c r="W158" i="1" s="1"/>
  <c r="D213" i="3"/>
  <c r="C229" i="3" s="1"/>
  <c r="I20" i="2"/>
  <c r="I28" i="2"/>
  <c r="I21" i="2" s="1"/>
  <c r="I22" i="2" l="1"/>
  <c r="I24" i="2" s="1"/>
  <c r="E20" i="2"/>
  <c r="I25" i="2" l="1"/>
  <c r="I26" i="2" s="1"/>
  <c r="I208" i="1"/>
  <c r="I32" i="2" l="1"/>
  <c r="I158" i="1" l="1"/>
  <c r="I159" i="1" s="1"/>
  <c r="I33" i="2"/>
  <c r="J31" i="2" s="1"/>
  <c r="J19" i="2" s="1"/>
  <c r="I160" i="1" l="1"/>
  <c r="J157" i="1" s="1"/>
  <c r="I205" i="1"/>
  <c r="I210" i="1" s="1"/>
  <c r="J28" i="2"/>
  <c r="J21" i="2" s="1"/>
  <c r="J22" i="2" s="1"/>
  <c r="J24" i="2" s="1"/>
  <c r="J25" i="2" s="1"/>
  <c r="J26" i="2" s="1"/>
  <c r="J93" i="1"/>
  <c r="J52" i="1"/>
  <c r="J208" i="1" l="1"/>
  <c r="J117" i="1"/>
  <c r="J118" i="1"/>
  <c r="J95" i="1" s="1"/>
  <c r="J94" i="1" l="1"/>
  <c r="J119" i="1"/>
  <c r="J121" i="1" s="1"/>
  <c r="J96" i="1" s="1"/>
  <c r="J32" i="2"/>
  <c r="J158" i="1" s="1"/>
  <c r="J159" i="1" l="1"/>
  <c r="J97" i="1"/>
  <c r="J122" i="1"/>
  <c r="J98" i="1" s="1"/>
  <c r="J33" i="2"/>
  <c r="K31" i="2" s="1"/>
  <c r="J160" i="1" l="1"/>
  <c r="K157" i="1" s="1"/>
  <c r="J205" i="1"/>
  <c r="J99" i="1"/>
  <c r="J129" i="1" s="1"/>
  <c r="K113" i="1"/>
  <c r="K115" i="1" s="1"/>
  <c r="K19" i="2"/>
  <c r="K28" i="2"/>
  <c r="K21" i="2" s="1"/>
  <c r="K52" i="1" l="1"/>
  <c r="K22" i="2"/>
  <c r="K93" i="1"/>
  <c r="J130" i="1"/>
  <c r="K125" i="1" s="1"/>
  <c r="J100" i="1"/>
  <c r="J101" i="1" s="1"/>
  <c r="J138" i="1" s="1"/>
  <c r="J210" i="1"/>
  <c r="K118" i="1" l="1"/>
  <c r="K95" i="1" s="1"/>
  <c r="K117" i="1"/>
  <c r="K24" i="2"/>
  <c r="K94" i="1" l="1"/>
  <c r="K119" i="1"/>
  <c r="K208" i="1"/>
  <c r="K25" i="2"/>
  <c r="K26" i="2" s="1"/>
  <c r="J102" i="1"/>
  <c r="J103" i="1" s="1"/>
  <c r="J139" i="1"/>
  <c r="K133" i="1" s="1"/>
  <c r="J145" i="1" l="1"/>
  <c r="J108" i="1"/>
  <c r="K137" i="1"/>
  <c r="K121" i="1"/>
  <c r="K96" i="1" s="1"/>
  <c r="K97" i="1" s="1"/>
  <c r="K122" i="1" l="1"/>
  <c r="K32" i="2"/>
  <c r="K158" i="1" s="1"/>
  <c r="K159" i="1" l="1"/>
  <c r="K98" i="1"/>
  <c r="K99" i="1" s="1"/>
  <c r="L113" i="1"/>
  <c r="K33" i="2"/>
  <c r="L31" i="2" s="1"/>
  <c r="K160" i="1" l="1"/>
  <c r="L157" i="1" s="1"/>
  <c r="K205" i="1"/>
  <c r="L115" i="1"/>
  <c r="L19" i="2"/>
  <c r="L28" i="2"/>
  <c r="L21" i="2" s="1"/>
  <c r="K129" i="1"/>
  <c r="K100" i="1" l="1"/>
  <c r="K101" i="1" s="1"/>
  <c r="K138" i="1" s="1"/>
  <c r="K130" i="1"/>
  <c r="L125" i="1" s="1"/>
  <c r="K210" i="1"/>
  <c r="L93" i="1"/>
  <c r="L52" i="1"/>
  <c r="L22" i="2"/>
  <c r="L24" i="2" l="1"/>
  <c r="L25" i="2" s="1"/>
  <c r="L26" i="2" s="1"/>
  <c r="L118" i="1"/>
  <c r="L95" i="1" s="1"/>
  <c r="L117" i="1"/>
  <c r="L94" i="1" l="1"/>
  <c r="L119" i="1"/>
  <c r="K102" i="1"/>
  <c r="K103" i="1" s="1"/>
  <c r="K139" i="1"/>
  <c r="L133" i="1" s="1"/>
  <c r="L208" i="1"/>
  <c r="L137" i="1" l="1"/>
  <c r="L121" i="1"/>
  <c r="L96" i="1" s="1"/>
  <c r="L97" i="1" s="1"/>
  <c r="K145" i="1"/>
  <c r="K108" i="1"/>
  <c r="L32" i="2"/>
  <c r="L158" i="1" s="1"/>
  <c r="L159" i="1" l="1"/>
  <c r="L122" i="1"/>
  <c r="M113" i="1" s="1"/>
  <c r="L33" i="2"/>
  <c r="M31" i="2" s="1"/>
  <c r="L160" i="1" l="1"/>
  <c r="M157" i="1" s="1"/>
  <c r="L205" i="1"/>
  <c r="L98" i="1"/>
  <c r="L99" i="1" s="1"/>
  <c r="L129" i="1" s="1"/>
  <c r="M19" i="2"/>
  <c r="M28" i="2"/>
  <c r="M21" i="2" s="1"/>
  <c r="M115" i="1"/>
  <c r="M22" i="2" l="1"/>
  <c r="M93" i="1"/>
  <c r="M52" i="1"/>
  <c r="L210" i="1"/>
  <c r="L100" i="1"/>
  <c r="L101" i="1" s="1"/>
  <c r="L138" i="1" s="1"/>
  <c r="L130" i="1"/>
  <c r="M125" i="1" s="1"/>
  <c r="M66" i="1" l="1"/>
  <c r="M118" i="1"/>
  <c r="M95" i="1" s="1"/>
  <c r="M117" i="1"/>
  <c r="M24" i="2"/>
  <c r="L102" i="1" l="1"/>
  <c r="L103" i="1" s="1"/>
  <c r="L139" i="1"/>
  <c r="M133" i="1" s="1"/>
  <c r="M94" i="1"/>
  <c r="M119" i="1"/>
  <c r="M208" i="1"/>
  <c r="M25" i="2"/>
  <c r="M26" i="2" s="1"/>
  <c r="M69" i="1"/>
  <c r="M121" i="1" l="1"/>
  <c r="M96" i="1" s="1"/>
  <c r="M97" i="1" s="1"/>
  <c r="M74" i="1"/>
  <c r="M70" i="1"/>
  <c r="M71" i="1" s="1"/>
  <c r="M137" i="1"/>
  <c r="L108" i="1"/>
  <c r="L145" i="1"/>
  <c r="M122" i="1" l="1"/>
  <c r="N113" i="1" s="1"/>
  <c r="M32" i="2"/>
  <c r="M158" i="1" s="1"/>
  <c r="M75" i="1"/>
  <c r="M80" i="1" s="1"/>
  <c r="M83" i="1" s="1"/>
  <c r="M86" i="1" s="1"/>
  <c r="M159" i="1" l="1"/>
  <c r="M98" i="1"/>
  <c r="M99" i="1" s="1"/>
  <c r="M129" i="1" s="1"/>
  <c r="M33" i="2"/>
  <c r="N31" i="2" s="1"/>
  <c r="N115" i="1"/>
  <c r="M76" i="1"/>
  <c r="N73" i="1" s="1"/>
  <c r="M160" i="1" l="1"/>
  <c r="N157" i="1" s="1"/>
  <c r="M205" i="1"/>
  <c r="M100" i="1"/>
  <c r="M101" i="1" s="1"/>
  <c r="M138" i="1" s="1"/>
  <c r="M130" i="1"/>
  <c r="N125" i="1" s="1"/>
  <c r="N19" i="2"/>
  <c r="N28" i="2"/>
  <c r="N21" i="2" s="1"/>
  <c r="M210" i="1" l="1"/>
  <c r="N22" i="2"/>
  <c r="N93" i="1"/>
  <c r="N52" i="1"/>
  <c r="N118" i="1" l="1"/>
  <c r="N95" i="1" s="1"/>
  <c r="N117" i="1"/>
  <c r="N24" i="2"/>
  <c r="N208" i="1" s="1"/>
  <c r="N66" i="1"/>
  <c r="M102" i="1"/>
  <c r="M103" i="1" s="1"/>
  <c r="M139" i="1"/>
  <c r="N133" i="1" s="1"/>
  <c r="N25" i="2" l="1"/>
  <c r="N26" i="2" s="1"/>
  <c r="N94" i="1"/>
  <c r="N119" i="1"/>
  <c r="N137" i="1"/>
  <c r="M108" i="1"/>
  <c r="M145" i="1"/>
  <c r="N69" i="1"/>
  <c r="N32" i="2" l="1"/>
  <c r="N121" i="1"/>
  <c r="N96" i="1" s="1"/>
  <c r="N97" i="1" s="1"/>
  <c r="N70" i="1"/>
  <c r="N71" i="1" s="1"/>
  <c r="N74" i="1"/>
  <c r="N158" i="1" l="1"/>
  <c r="N159" i="1" s="1"/>
  <c r="N33" i="2"/>
  <c r="O31" i="2" s="1"/>
  <c r="O19" i="2" s="1"/>
  <c r="N75" i="1"/>
  <c r="N80" i="1" s="1"/>
  <c r="N83" i="1" s="1"/>
  <c r="N86" i="1" s="1"/>
  <c r="N122" i="1"/>
  <c r="N160" i="1" l="1"/>
  <c r="O157" i="1" s="1"/>
  <c r="N205" i="1"/>
  <c r="N210" i="1" s="1"/>
  <c r="O28" i="2"/>
  <c r="O21" i="2" s="1"/>
  <c r="O22" i="2" s="1"/>
  <c r="N98" i="1"/>
  <c r="N99" i="1" s="1"/>
  <c r="O113" i="1"/>
  <c r="N76" i="1"/>
  <c r="O73" i="1" s="1"/>
  <c r="O52" i="1"/>
  <c r="O66" i="1" s="1"/>
  <c r="O93" i="1"/>
  <c r="O115" i="1" l="1"/>
  <c r="O117" i="1"/>
  <c r="O94" i="1" s="1"/>
  <c r="O69" i="1"/>
  <c r="N129" i="1"/>
  <c r="O118" i="1"/>
  <c r="O95" i="1" s="1"/>
  <c r="O24" i="2"/>
  <c r="O208" i="1" s="1"/>
  <c r="O70" i="1" l="1"/>
  <c r="O71" i="1" s="1"/>
  <c r="O74" i="1"/>
  <c r="N100" i="1"/>
  <c r="N101" i="1" s="1"/>
  <c r="N138" i="1" s="1"/>
  <c r="N130" i="1"/>
  <c r="O125" i="1" s="1"/>
  <c r="O119" i="1"/>
  <c r="O25" i="2"/>
  <c r="O26" i="2" s="1"/>
  <c r="O32" i="2" l="1"/>
  <c r="O75" i="1"/>
  <c r="O80" i="1" s="1"/>
  <c r="O83" i="1" s="1"/>
  <c r="O86" i="1" s="1"/>
  <c r="O121" i="1"/>
  <c r="O96" i="1" s="1"/>
  <c r="O97" i="1" s="1"/>
  <c r="O158" i="1" l="1"/>
  <c r="O159" i="1" s="1"/>
  <c r="O33" i="2"/>
  <c r="P31" i="2" s="1"/>
  <c r="P19" i="2" s="1"/>
  <c r="N102" i="1"/>
  <c r="N103" i="1" s="1"/>
  <c r="N139" i="1"/>
  <c r="O133" i="1" s="1"/>
  <c r="O122" i="1"/>
  <c r="O76" i="1"/>
  <c r="P73" i="1" s="1"/>
  <c r="O160" i="1" l="1"/>
  <c r="P157" i="1" s="1"/>
  <c r="O205" i="1"/>
  <c r="O210" i="1" s="1"/>
  <c r="P28" i="2"/>
  <c r="P21" i="2" s="1"/>
  <c r="P22" i="2" s="1"/>
  <c r="O137" i="1"/>
  <c r="N108" i="1"/>
  <c r="N145" i="1"/>
  <c r="P52" i="1"/>
  <c r="P66" i="1" s="1"/>
  <c r="P93" i="1"/>
  <c r="P113" i="1"/>
  <c r="O98" i="1"/>
  <c r="O99" i="1" s="1"/>
  <c r="P115" i="1" l="1"/>
  <c r="P117" i="1"/>
  <c r="P94" i="1" s="1"/>
  <c r="P69" i="1"/>
  <c r="P24" i="2"/>
  <c r="P208" i="1" s="1"/>
  <c r="O129" i="1"/>
  <c r="P118" i="1"/>
  <c r="P95" i="1" s="1"/>
  <c r="P25" i="2" l="1"/>
  <c r="P26" i="2" s="1"/>
  <c r="P74" i="1"/>
  <c r="P70" i="1"/>
  <c r="P71" i="1" s="1"/>
  <c r="O100" i="1"/>
  <c r="O101" i="1" s="1"/>
  <c r="O138" i="1" s="1"/>
  <c r="O130" i="1"/>
  <c r="P125" i="1" s="1"/>
  <c r="P119" i="1"/>
  <c r="P32" i="2" l="1"/>
  <c r="P75" i="1"/>
  <c r="P80" i="1" s="1"/>
  <c r="P83" i="1" s="1"/>
  <c r="P86" i="1" s="1"/>
  <c r="P121" i="1"/>
  <c r="P96" i="1" s="1"/>
  <c r="P97" i="1" s="1"/>
  <c r="P158" i="1" l="1"/>
  <c r="P159" i="1" s="1"/>
  <c r="P33" i="2"/>
  <c r="Q31" i="2" s="1"/>
  <c r="Q28" i="2" s="1"/>
  <c r="Q21" i="2" s="1"/>
  <c r="O102" i="1"/>
  <c r="O103" i="1" s="1"/>
  <c r="O139" i="1"/>
  <c r="P133" i="1" s="1"/>
  <c r="P122" i="1"/>
  <c r="P76" i="1"/>
  <c r="Q73" i="1" s="1"/>
  <c r="P160" i="1" l="1"/>
  <c r="Q157" i="1" s="1"/>
  <c r="P205" i="1"/>
  <c r="P210" i="1" s="1"/>
  <c r="Q19" i="2"/>
  <c r="Q52" i="1" s="1"/>
  <c r="Q66" i="1" s="1"/>
  <c r="P98" i="1"/>
  <c r="P99" i="1" s="1"/>
  <c r="Q113" i="1"/>
  <c r="P137" i="1"/>
  <c r="O108" i="1"/>
  <c r="O145" i="1"/>
  <c r="Q93" i="1"/>
  <c r="Q22" i="2" l="1"/>
  <c r="Q24" i="2" s="1"/>
  <c r="Q208" i="1" s="1"/>
  <c r="P129" i="1"/>
  <c r="Q118" i="1"/>
  <c r="Q95" i="1" s="1"/>
  <c r="Q69" i="1"/>
  <c r="Q115" i="1"/>
  <c r="Q117" i="1"/>
  <c r="Q94" i="1" s="1"/>
  <c r="Q25" i="2" l="1"/>
  <c r="Q26" i="2" s="1"/>
  <c r="Q119" i="1"/>
  <c r="Q74" i="1"/>
  <c r="Q70" i="1"/>
  <c r="Q71" i="1" s="1"/>
  <c r="P100" i="1"/>
  <c r="P101" i="1" s="1"/>
  <c r="P138" i="1" s="1"/>
  <c r="P130" i="1"/>
  <c r="Q125" i="1" s="1"/>
  <c r="Q32" i="2" l="1"/>
  <c r="Q121" i="1"/>
  <c r="Q96" i="1" s="1"/>
  <c r="Q97" i="1" s="1"/>
  <c r="Q75" i="1"/>
  <c r="Q80" i="1" s="1"/>
  <c r="Q83" i="1" s="1"/>
  <c r="Q86" i="1" s="1"/>
  <c r="Q158" i="1" l="1"/>
  <c r="Q159" i="1" s="1"/>
  <c r="Q33" i="2"/>
  <c r="R31" i="2" s="1"/>
  <c r="R28" i="2" s="1"/>
  <c r="R21" i="2" s="1"/>
  <c r="Q76" i="1"/>
  <c r="R73" i="1" s="1"/>
  <c r="P102" i="1"/>
  <c r="P103" i="1" s="1"/>
  <c r="P139" i="1"/>
  <c r="Q133" i="1" s="1"/>
  <c r="Q122" i="1"/>
  <c r="Q160" i="1" l="1"/>
  <c r="R157" i="1" s="1"/>
  <c r="Q205" i="1"/>
  <c r="Q210" i="1" s="1"/>
  <c r="R19" i="2"/>
  <c r="R52" i="1" s="1"/>
  <c r="R66" i="1" s="1"/>
  <c r="R69" i="1" s="1"/>
  <c r="Q98" i="1"/>
  <c r="Q99" i="1" s="1"/>
  <c r="R113" i="1"/>
  <c r="R93" i="1"/>
  <c r="Q137" i="1"/>
  <c r="P108" i="1"/>
  <c r="P145" i="1"/>
  <c r="R22" i="2" l="1"/>
  <c r="R24" i="2" s="1"/>
  <c r="R208" i="1" s="1"/>
  <c r="R115" i="1"/>
  <c r="R117" i="1"/>
  <c r="R94" i="1" s="1"/>
  <c r="R74" i="1"/>
  <c r="R70" i="1"/>
  <c r="R71" i="1" s="1"/>
  <c r="Q129" i="1"/>
  <c r="R118" i="1"/>
  <c r="R95" i="1" s="1"/>
  <c r="R119" i="1" l="1"/>
  <c r="Q100" i="1"/>
  <c r="Q101" i="1" s="1"/>
  <c r="Q138" i="1" s="1"/>
  <c r="Q130" i="1"/>
  <c r="R125" i="1" s="1"/>
  <c r="R25" i="2"/>
  <c r="R26" i="2" s="1"/>
  <c r="R75" i="1"/>
  <c r="R80" i="1" s="1"/>
  <c r="R83" i="1" s="1"/>
  <c r="R86" i="1" s="1"/>
  <c r="R32" i="2" l="1"/>
  <c r="R76" i="1"/>
  <c r="S73" i="1" s="1"/>
  <c r="R121" i="1"/>
  <c r="R96" i="1" s="1"/>
  <c r="R97" i="1" s="1"/>
  <c r="R158" i="1" l="1"/>
  <c r="R159" i="1" s="1"/>
  <c r="R33" i="2"/>
  <c r="S31" i="2" s="1"/>
  <c r="S19" i="2" s="1"/>
  <c r="Q102" i="1"/>
  <c r="Q103" i="1" s="1"/>
  <c r="Q139" i="1"/>
  <c r="R133" i="1" s="1"/>
  <c r="R122" i="1"/>
  <c r="R160" i="1" l="1"/>
  <c r="S157" i="1" s="1"/>
  <c r="R205" i="1"/>
  <c r="R210" i="1" s="1"/>
  <c r="S28" i="2"/>
  <c r="S21" i="2" s="1"/>
  <c r="S22" i="2" s="1"/>
  <c r="R137" i="1"/>
  <c r="Q145" i="1"/>
  <c r="Q108" i="1"/>
  <c r="S52" i="1"/>
  <c r="S66" i="1" s="1"/>
  <c r="S69" i="1" s="1"/>
  <c r="S93" i="1"/>
  <c r="R98" i="1"/>
  <c r="R99" i="1" s="1"/>
  <c r="S113" i="1"/>
  <c r="S115" i="1" l="1"/>
  <c r="S117" i="1"/>
  <c r="S94" i="1" s="1"/>
  <c r="R129" i="1"/>
  <c r="S118" i="1"/>
  <c r="S95" i="1" s="1"/>
  <c r="S24" i="2"/>
  <c r="S208" i="1" s="1"/>
  <c r="S74" i="1"/>
  <c r="S70" i="1"/>
  <c r="S71" i="1" s="1"/>
  <c r="R100" i="1" l="1"/>
  <c r="R101" i="1" s="1"/>
  <c r="R138" i="1" s="1"/>
  <c r="R130" i="1"/>
  <c r="S125" i="1" s="1"/>
  <c r="S75" i="1"/>
  <c r="S80" i="1" s="1"/>
  <c r="S83" i="1" s="1"/>
  <c r="S86" i="1" s="1"/>
  <c r="S119" i="1"/>
  <c r="S25" i="2"/>
  <c r="S26" i="2" s="1"/>
  <c r="S32" i="2" l="1"/>
  <c r="S121" i="1"/>
  <c r="S96" i="1" s="1"/>
  <c r="S97" i="1" s="1"/>
  <c r="S76" i="1"/>
  <c r="T73" i="1" s="1"/>
  <c r="S158" i="1" l="1"/>
  <c r="S159" i="1" s="1"/>
  <c r="S33" i="2"/>
  <c r="T31" i="2" s="1"/>
  <c r="T19" i="2" s="1"/>
  <c r="R102" i="1"/>
  <c r="R103" i="1" s="1"/>
  <c r="R139" i="1"/>
  <c r="S133" i="1" s="1"/>
  <c r="S122" i="1"/>
  <c r="S160" i="1" l="1"/>
  <c r="T157" i="1" s="1"/>
  <c r="S205" i="1"/>
  <c r="S210" i="1" s="1"/>
  <c r="T28" i="2"/>
  <c r="T21" i="2" s="1"/>
  <c r="T22" i="2" s="1"/>
  <c r="S98" i="1"/>
  <c r="S99" i="1" s="1"/>
  <c r="T113" i="1"/>
  <c r="S137" i="1"/>
  <c r="R108" i="1"/>
  <c r="R145" i="1"/>
  <c r="T93" i="1"/>
  <c r="T52" i="1"/>
  <c r="T66" i="1" s="1"/>
  <c r="T69" i="1" s="1"/>
  <c r="T117" i="1" l="1"/>
  <c r="T94" i="1" s="1"/>
  <c r="T115" i="1"/>
  <c r="S129" i="1"/>
  <c r="T24" i="2"/>
  <c r="T208" i="1" s="1"/>
  <c r="T70" i="1"/>
  <c r="T71" i="1" s="1"/>
  <c r="T74" i="1"/>
  <c r="T118" i="1"/>
  <c r="T95" i="1" s="1"/>
  <c r="S100" i="1" l="1"/>
  <c r="S101" i="1" s="1"/>
  <c r="S138" i="1" s="1"/>
  <c r="S130" i="1"/>
  <c r="T125" i="1" s="1"/>
  <c r="T119" i="1"/>
  <c r="T75" i="1"/>
  <c r="T80" i="1" s="1"/>
  <c r="T83" i="1" s="1"/>
  <c r="T86" i="1" s="1"/>
  <c r="T25" i="2"/>
  <c r="T26" i="2" s="1"/>
  <c r="T32" i="2" l="1"/>
  <c r="T121" i="1"/>
  <c r="T96" i="1" s="1"/>
  <c r="T97" i="1" s="1"/>
  <c r="T76" i="1"/>
  <c r="U73" i="1" s="1"/>
  <c r="T158" i="1" l="1"/>
  <c r="T159" i="1" s="1"/>
  <c r="T33" i="2"/>
  <c r="U31" i="2" s="1"/>
  <c r="U28" i="2" s="1"/>
  <c r="U21" i="2" s="1"/>
  <c r="S102" i="1"/>
  <c r="S103" i="1" s="1"/>
  <c r="S139" i="1"/>
  <c r="T133" i="1" s="1"/>
  <c r="T122" i="1"/>
  <c r="T160" i="1" l="1"/>
  <c r="U157" i="1" s="1"/>
  <c r="T205" i="1"/>
  <c r="T210" i="1" s="1"/>
  <c r="U19" i="2"/>
  <c r="U52" i="1" s="1"/>
  <c r="U66" i="1" s="1"/>
  <c r="U69" i="1" s="1"/>
  <c r="T137" i="1"/>
  <c r="T98" i="1"/>
  <c r="T99" i="1" s="1"/>
  <c r="U113" i="1"/>
  <c r="S108" i="1"/>
  <c r="S145" i="1"/>
  <c r="U93" i="1"/>
  <c r="U22" i="2" l="1"/>
  <c r="U24" i="2" s="1"/>
  <c r="U208" i="1" s="1"/>
  <c r="U117" i="1"/>
  <c r="U94" i="1" s="1"/>
  <c r="U115" i="1"/>
  <c r="T129" i="1"/>
  <c r="U118" i="1"/>
  <c r="U95" i="1" s="1"/>
  <c r="U70" i="1"/>
  <c r="U71" i="1" s="1"/>
  <c r="U74" i="1"/>
  <c r="U75" i="1" l="1"/>
  <c r="U80" i="1" s="1"/>
  <c r="U83" i="1" s="1"/>
  <c r="U86" i="1" s="1"/>
  <c r="U119" i="1"/>
  <c r="U25" i="2"/>
  <c r="U26" i="2" s="1"/>
  <c r="T100" i="1"/>
  <c r="T101" i="1" s="1"/>
  <c r="T138" i="1" s="1"/>
  <c r="T130" i="1"/>
  <c r="U125" i="1" s="1"/>
  <c r="U32" i="2" l="1"/>
  <c r="U121" i="1"/>
  <c r="U96" i="1" s="1"/>
  <c r="U97" i="1" s="1"/>
  <c r="U76" i="1"/>
  <c r="V73" i="1" s="1"/>
  <c r="U158" i="1" l="1"/>
  <c r="U159" i="1" s="1"/>
  <c r="U33" i="2"/>
  <c r="V31" i="2" s="1"/>
  <c r="V19" i="2" s="1"/>
  <c r="T102" i="1"/>
  <c r="T103" i="1" s="1"/>
  <c r="T139" i="1"/>
  <c r="U133" i="1" s="1"/>
  <c r="U122" i="1"/>
  <c r="U160" i="1" l="1"/>
  <c r="V157" i="1" s="1"/>
  <c r="U205" i="1"/>
  <c r="U210" i="1" s="1"/>
  <c r="V28" i="2"/>
  <c r="V21" i="2" s="1"/>
  <c r="E21" i="2" s="1"/>
  <c r="E205" i="3" s="1"/>
  <c r="U98" i="1"/>
  <c r="U99" i="1" s="1"/>
  <c r="V113" i="1"/>
  <c r="U137" i="1"/>
  <c r="T108" i="1"/>
  <c r="T145" i="1"/>
  <c r="V93" i="1"/>
  <c r="V52" i="1"/>
  <c r="E19" i="2"/>
  <c r="E206" i="3" s="1"/>
  <c r="V22" i="2" l="1"/>
  <c r="V24" i="2" s="1"/>
  <c r="E52" i="1"/>
  <c r="V66" i="1"/>
  <c r="V69" i="1" s="1"/>
  <c r="V117" i="1"/>
  <c r="V94" i="1" s="1"/>
  <c r="V115" i="1"/>
  <c r="V118" i="1"/>
  <c r="V95" i="1" s="1"/>
  <c r="U129" i="1"/>
  <c r="E22" i="2" l="1"/>
  <c r="V208" i="1"/>
  <c r="E208" i="1" s="1"/>
  <c r="E24" i="2"/>
  <c r="E200" i="3" s="1"/>
  <c r="D216" i="3" s="1"/>
  <c r="C241" i="3" s="1"/>
  <c r="V25" i="2"/>
  <c r="V26" i="2" s="1"/>
  <c r="V119" i="1"/>
  <c r="V74" i="1"/>
  <c r="V70" i="1"/>
  <c r="V71" i="1" s="1"/>
  <c r="U100" i="1"/>
  <c r="U101" i="1" s="1"/>
  <c r="U138" i="1" s="1"/>
  <c r="U130" i="1"/>
  <c r="V125" i="1" s="1"/>
  <c r="W66" i="1"/>
  <c r="W69" i="1" l="1"/>
  <c r="V75" i="1"/>
  <c r="V80" i="1" s="1"/>
  <c r="V83" i="1" s="1"/>
  <c r="V86" i="1" s="1"/>
  <c r="V121" i="1"/>
  <c r="V96" i="1" s="1"/>
  <c r="V97" i="1" s="1"/>
  <c r="X66" i="1"/>
  <c r="E25" i="2"/>
  <c r="V76" i="1" l="1"/>
  <c r="W73" i="1" s="1"/>
  <c r="V32" i="2"/>
  <c r="V158" i="1" s="1"/>
  <c r="E208" i="3"/>
  <c r="E209" i="3" s="1"/>
  <c r="E26" i="2"/>
  <c r="E199" i="3" s="1"/>
  <c r="E201" i="3" s="1"/>
  <c r="Y66" i="1"/>
  <c r="U102" i="1"/>
  <c r="U103" i="1" s="1"/>
  <c r="U139" i="1"/>
  <c r="V133" i="1" s="1"/>
  <c r="X69" i="1"/>
  <c r="W70" i="1"/>
  <c r="W71" i="1" s="1"/>
  <c r="W74" i="1"/>
  <c r="V122" i="1"/>
  <c r="V159" i="1" l="1"/>
  <c r="W75" i="1"/>
  <c r="W76" i="1" s="1"/>
  <c r="X73" i="1" s="1"/>
  <c r="Y69" i="1"/>
  <c r="Z66" i="1"/>
  <c r="AA66" i="1" s="1"/>
  <c r="V98" i="1"/>
  <c r="V99" i="1" s="1"/>
  <c r="W113" i="1"/>
  <c r="X74" i="1"/>
  <c r="X70" i="1"/>
  <c r="X71" i="1" s="1"/>
  <c r="V137" i="1"/>
  <c r="V33" i="2"/>
  <c r="W31" i="2" s="1"/>
  <c r="W33" i="2" s="1"/>
  <c r="X31" i="2" s="1"/>
  <c r="X33" i="2" s="1"/>
  <c r="Y31" i="2" s="1"/>
  <c r="Y33" i="2" s="1"/>
  <c r="Z31" i="2" s="1"/>
  <c r="Z33" i="2" s="1"/>
  <c r="U108" i="1"/>
  <c r="U145" i="1"/>
  <c r="V160" i="1" l="1"/>
  <c r="W157" i="1" s="1"/>
  <c r="W159" i="1" s="1"/>
  <c r="V205" i="1"/>
  <c r="V210" i="1" s="1"/>
  <c r="W80" i="1"/>
  <c r="W83" i="1" s="1"/>
  <c r="W86" i="1" s="1"/>
  <c r="W118" i="1"/>
  <c r="W95" i="1" s="1"/>
  <c r="W117" i="1"/>
  <c r="W94" i="1" s="1"/>
  <c r="W115" i="1"/>
  <c r="V129" i="1"/>
  <c r="Y74" i="1"/>
  <c r="Y70" i="1"/>
  <c r="Y71" i="1" s="1"/>
  <c r="X75" i="1"/>
  <c r="X80" i="1" s="1"/>
  <c r="X83" i="1" s="1"/>
  <c r="X86" i="1" s="1"/>
  <c r="AB66" i="1"/>
  <c r="W160" i="1" l="1"/>
  <c r="X157" i="1" s="1"/>
  <c r="X159" i="1" s="1"/>
  <c r="W205" i="1"/>
  <c r="AC66" i="1"/>
  <c r="AD66" i="1" s="1"/>
  <c r="AE66" i="1" s="1"/>
  <c r="X76" i="1"/>
  <c r="Y73" i="1" s="1"/>
  <c r="Y75" i="1" s="1"/>
  <c r="Y80" i="1" s="1"/>
  <c r="Y83" i="1" s="1"/>
  <c r="Y86" i="1" s="1"/>
  <c r="W119" i="1"/>
  <c r="V100" i="1"/>
  <c r="V101" i="1" s="1"/>
  <c r="V138" i="1" s="1"/>
  <c r="V130" i="1"/>
  <c r="W125" i="1" s="1"/>
  <c r="X160" i="1" l="1"/>
  <c r="Y157" i="1" s="1"/>
  <c r="Y159" i="1" s="1"/>
  <c r="X205" i="1"/>
  <c r="AF66" i="1"/>
  <c r="W121" i="1"/>
  <c r="W96" i="1" s="1"/>
  <c r="W97" i="1" s="1"/>
  <c r="Y76" i="1"/>
  <c r="Z73" i="1" s="1"/>
  <c r="Y160" i="1" l="1"/>
  <c r="Z157" i="1" s="1"/>
  <c r="Z159" i="1" s="1"/>
  <c r="Y205" i="1"/>
  <c r="W122" i="1"/>
  <c r="AG66" i="1"/>
  <c r="V102" i="1"/>
  <c r="V103" i="1" s="1"/>
  <c r="V139" i="1"/>
  <c r="W133" i="1" s="1"/>
  <c r="Z160" i="1" l="1"/>
  <c r="AA157" i="1" s="1"/>
  <c r="AA159" i="1" s="1"/>
  <c r="Z205" i="1"/>
  <c r="AH66" i="1"/>
  <c r="W137" i="1"/>
  <c r="W98" i="1"/>
  <c r="W99" i="1" s="1"/>
  <c r="X113" i="1"/>
  <c r="V145" i="1"/>
  <c r="V108" i="1"/>
  <c r="AA160" i="1" l="1"/>
  <c r="AB157" i="1" s="1"/>
  <c r="AB159" i="1" s="1"/>
  <c r="AA205" i="1"/>
  <c r="X118" i="1"/>
  <c r="X95" i="1" s="1"/>
  <c r="W129" i="1"/>
  <c r="AI66" i="1"/>
  <c r="AB160" i="1" l="1"/>
  <c r="AC157" i="1" s="1"/>
  <c r="AC159" i="1" s="1"/>
  <c r="AB205" i="1"/>
  <c r="AJ66" i="1"/>
  <c r="W100" i="1"/>
  <c r="W101" i="1" s="1"/>
  <c r="W138" i="1" s="1"/>
  <c r="W130" i="1"/>
  <c r="X125" i="1" s="1"/>
  <c r="AC160" i="1" l="1"/>
  <c r="AD157" i="1" s="1"/>
  <c r="AD159" i="1" s="1"/>
  <c r="AC205" i="1"/>
  <c r="AK66" i="1"/>
  <c r="AD160" i="1" l="1"/>
  <c r="AE157" i="1" s="1"/>
  <c r="AE159" i="1" s="1"/>
  <c r="AD205" i="1"/>
  <c r="AL66" i="1"/>
  <c r="W102" i="1"/>
  <c r="W103" i="1" s="1"/>
  <c r="W139" i="1"/>
  <c r="X133" i="1" s="1"/>
  <c r="AE160" i="1" l="1"/>
  <c r="AF157" i="1" s="1"/>
  <c r="AF159" i="1" s="1"/>
  <c r="AE205" i="1"/>
  <c r="AM66" i="1"/>
  <c r="X137" i="1"/>
  <c r="W108" i="1"/>
  <c r="W145" i="1"/>
  <c r="AF160" i="1" l="1"/>
  <c r="AG157" i="1" s="1"/>
  <c r="AG159" i="1" s="1"/>
  <c r="AF205" i="1"/>
  <c r="AN66" i="1"/>
  <c r="AG160" i="1" l="1"/>
  <c r="AH157" i="1" s="1"/>
  <c r="AH159" i="1" s="1"/>
  <c r="AG205" i="1"/>
  <c r="AO66" i="1"/>
  <c r="AH160" i="1" l="1"/>
  <c r="AI157" i="1" s="1"/>
  <c r="AI159" i="1" s="1"/>
  <c r="AH205" i="1"/>
  <c r="AP66" i="1"/>
  <c r="AI160" i="1" l="1"/>
  <c r="AJ157" i="1" s="1"/>
  <c r="AJ159" i="1" s="1"/>
  <c r="AI205" i="1"/>
  <c r="AQ66" i="1"/>
  <c r="AJ160" i="1" l="1"/>
  <c r="AK157" i="1" s="1"/>
  <c r="AK159" i="1" s="1"/>
  <c r="AJ205" i="1"/>
  <c r="AR66" i="1"/>
  <c r="AK160" i="1" l="1"/>
  <c r="AL157" i="1" s="1"/>
  <c r="AL159" i="1" s="1"/>
  <c r="AK205" i="1"/>
  <c r="AS66" i="1"/>
  <c r="AL160" i="1" l="1"/>
  <c r="AM157" i="1" s="1"/>
  <c r="AM159" i="1" s="1"/>
  <c r="AL205" i="1"/>
  <c r="AT66" i="1"/>
  <c r="AM160" i="1" l="1"/>
  <c r="AN157" i="1" s="1"/>
  <c r="AN159" i="1" s="1"/>
  <c r="AM205" i="1"/>
  <c r="AU66" i="1"/>
  <c r="AN160" i="1" l="1"/>
  <c r="AO157" i="1" s="1"/>
  <c r="AO159" i="1" s="1"/>
  <c r="AN205" i="1"/>
  <c r="AV66" i="1"/>
  <c r="AO160" i="1" l="1"/>
  <c r="AP157" i="1" s="1"/>
  <c r="AP159" i="1" s="1"/>
  <c r="AO205" i="1"/>
  <c r="AW66" i="1"/>
  <c r="AP160" i="1" l="1"/>
  <c r="AQ157" i="1" s="1"/>
  <c r="AQ159" i="1" s="1"/>
  <c r="AP205" i="1"/>
  <c r="AX66" i="1"/>
  <c r="AQ160" i="1" l="1"/>
  <c r="AR157" i="1" s="1"/>
  <c r="AR159" i="1" s="1"/>
  <c r="AQ205" i="1"/>
  <c r="AY66" i="1"/>
  <c r="AR160" i="1" l="1"/>
  <c r="AS157" i="1" s="1"/>
  <c r="AS159" i="1" s="1"/>
  <c r="AR205" i="1"/>
  <c r="AZ66" i="1"/>
  <c r="AS160" i="1" l="1"/>
  <c r="AT157" i="1" s="1"/>
  <c r="AT159" i="1" s="1"/>
  <c r="AS205" i="1"/>
  <c r="BA66" i="1"/>
  <c r="AT160" i="1" l="1"/>
  <c r="AU157" i="1" s="1"/>
  <c r="AU159" i="1" s="1"/>
  <c r="AT205" i="1"/>
  <c r="BB66" i="1"/>
  <c r="AU160" i="1" l="1"/>
  <c r="AV157" i="1" s="1"/>
  <c r="AV159" i="1" s="1"/>
  <c r="AU205" i="1"/>
  <c r="BC66" i="1"/>
  <c r="AV160" i="1" l="1"/>
  <c r="AW157" i="1" s="1"/>
  <c r="AW159" i="1" s="1"/>
  <c r="AV205" i="1"/>
  <c r="BD66" i="1"/>
  <c r="AW160" i="1" l="1"/>
  <c r="AX157" i="1" s="1"/>
  <c r="AX159" i="1" s="1"/>
  <c r="AW205" i="1"/>
  <c r="BE66" i="1"/>
  <c r="AX160" i="1" l="1"/>
  <c r="AY157" i="1" s="1"/>
  <c r="AY159" i="1" s="1"/>
  <c r="AX205" i="1"/>
  <c r="BF66" i="1"/>
  <c r="AY160" i="1" l="1"/>
  <c r="AZ157" i="1" s="1"/>
  <c r="AZ159" i="1" s="1"/>
  <c r="AY205" i="1"/>
  <c r="BG66" i="1"/>
  <c r="AZ160" i="1" l="1"/>
  <c r="BA157" i="1" s="1"/>
  <c r="BA159" i="1" s="1"/>
  <c r="AZ205" i="1"/>
  <c r="BH66" i="1"/>
  <c r="BA160" i="1" l="1"/>
  <c r="BB157" i="1" s="1"/>
  <c r="BB159" i="1" s="1"/>
  <c r="BA205" i="1"/>
  <c r="BI66" i="1"/>
  <c r="BB160" i="1" l="1"/>
  <c r="BC157" i="1" s="1"/>
  <c r="BC159" i="1" s="1"/>
  <c r="BB205" i="1"/>
  <c r="BJ66" i="1"/>
  <c r="BC160" i="1" l="1"/>
  <c r="BD157" i="1" s="1"/>
  <c r="BD159" i="1" s="1"/>
  <c r="BC205" i="1"/>
  <c r="BK66" i="1"/>
  <c r="BD160" i="1" l="1"/>
  <c r="BE157" i="1" s="1"/>
  <c r="BE159" i="1" s="1"/>
  <c r="BD205" i="1"/>
  <c r="BL66" i="1"/>
  <c r="BE160" i="1" l="1"/>
  <c r="BF157" i="1" s="1"/>
  <c r="BF159" i="1" s="1"/>
  <c r="BE205" i="1"/>
  <c r="BM66" i="1"/>
  <c r="BF160" i="1" l="1"/>
  <c r="BG157" i="1" s="1"/>
  <c r="BG159" i="1" s="1"/>
  <c r="BF205" i="1"/>
  <c r="BN66" i="1"/>
  <c r="BG160" i="1" l="1"/>
  <c r="BH157" i="1" s="1"/>
  <c r="BH159" i="1" s="1"/>
  <c r="BG205" i="1"/>
  <c r="BO66" i="1"/>
  <c r="BH160" i="1" l="1"/>
  <c r="BI157" i="1" s="1"/>
  <c r="BI159" i="1" s="1"/>
  <c r="BH205" i="1"/>
  <c r="BP66" i="1"/>
  <c r="BI160" i="1" l="1"/>
  <c r="BJ157" i="1" s="1"/>
  <c r="BJ159" i="1" s="1"/>
  <c r="BI205" i="1"/>
  <c r="BQ66" i="1"/>
  <c r="BJ160" i="1" l="1"/>
  <c r="BK157" i="1" s="1"/>
  <c r="BK159" i="1" s="1"/>
  <c r="BJ205" i="1"/>
  <c r="BR66" i="1"/>
  <c r="BK160" i="1" l="1"/>
  <c r="BL157" i="1" s="1"/>
  <c r="BL159" i="1" s="1"/>
  <c r="BK205" i="1"/>
  <c r="BS66" i="1"/>
  <c r="BL160" i="1" l="1"/>
  <c r="BM157" i="1" s="1"/>
  <c r="BM159" i="1" s="1"/>
  <c r="BL205" i="1"/>
  <c r="BT66" i="1"/>
  <c r="BM160" i="1" l="1"/>
  <c r="BN157" i="1" s="1"/>
  <c r="BN159" i="1" s="1"/>
  <c r="BM205" i="1"/>
  <c r="BU66" i="1"/>
  <c r="BN160" i="1" l="1"/>
  <c r="BO157" i="1" s="1"/>
  <c r="BO159" i="1" s="1"/>
  <c r="BN205" i="1"/>
  <c r="BV66" i="1"/>
  <c r="BO160" i="1" l="1"/>
  <c r="BP157" i="1" s="1"/>
  <c r="BP159" i="1" s="1"/>
  <c r="BO205" i="1"/>
  <c r="BW66" i="1"/>
  <c r="BP160" i="1" l="1"/>
  <c r="BQ157" i="1" s="1"/>
  <c r="BQ159" i="1" s="1"/>
  <c r="BP205" i="1"/>
  <c r="BX66" i="1"/>
  <c r="BQ160" i="1" l="1"/>
  <c r="BR157" i="1" s="1"/>
  <c r="BR159" i="1" s="1"/>
  <c r="BQ205" i="1"/>
  <c r="BY66" i="1"/>
  <c r="BR160" i="1" l="1"/>
  <c r="BS157" i="1" s="1"/>
  <c r="BS159" i="1" s="1"/>
  <c r="BR205" i="1"/>
  <c r="BZ66" i="1"/>
  <c r="BS160" i="1" l="1"/>
  <c r="BT157" i="1" s="1"/>
  <c r="BT159" i="1" s="1"/>
  <c r="BS205" i="1"/>
  <c r="CA66" i="1"/>
  <c r="BT160" i="1" l="1"/>
  <c r="BU157" i="1" s="1"/>
  <c r="BU159" i="1" s="1"/>
  <c r="BT205" i="1"/>
  <c r="CB66" i="1"/>
  <c r="BU160" i="1" l="1"/>
  <c r="BV157" i="1" s="1"/>
  <c r="BV159" i="1" s="1"/>
  <c r="BU205" i="1"/>
  <c r="CC66" i="1"/>
  <c r="BV160" i="1" l="1"/>
  <c r="BW157" i="1" s="1"/>
  <c r="BW159" i="1" s="1"/>
  <c r="BV205" i="1"/>
  <c r="CD66" i="1"/>
  <c r="BW160" i="1" l="1"/>
  <c r="BX157" i="1" s="1"/>
  <c r="BX159" i="1" s="1"/>
  <c r="BW205" i="1"/>
  <c r="CE66" i="1"/>
  <c r="BX160" i="1" l="1"/>
  <c r="BY157" i="1" s="1"/>
  <c r="BY159" i="1" s="1"/>
  <c r="BX205" i="1"/>
  <c r="CF66" i="1"/>
  <c r="BY160" i="1" l="1"/>
  <c r="BZ157" i="1" s="1"/>
  <c r="BZ159" i="1" s="1"/>
  <c r="BY205" i="1"/>
  <c r="CG66" i="1"/>
  <c r="BZ160" i="1" l="1"/>
  <c r="CA157" i="1" s="1"/>
  <c r="CA159" i="1" s="1"/>
  <c r="BZ205" i="1"/>
  <c r="CH66" i="1"/>
  <c r="CA160" i="1" l="1"/>
  <c r="CB157" i="1" s="1"/>
  <c r="CB159" i="1" s="1"/>
  <c r="CA205" i="1"/>
  <c r="CI66" i="1"/>
  <c r="CB160" i="1" l="1"/>
  <c r="CC157" i="1" s="1"/>
  <c r="CC159" i="1" s="1"/>
  <c r="CB205" i="1"/>
  <c r="CJ66" i="1"/>
  <c r="CC160" i="1" l="1"/>
  <c r="CD157" i="1" s="1"/>
  <c r="CD159" i="1" s="1"/>
  <c r="CC205" i="1"/>
  <c r="CK66" i="1"/>
  <c r="CD160" i="1" l="1"/>
  <c r="CE157" i="1" s="1"/>
  <c r="CE159" i="1" s="1"/>
  <c r="CD205" i="1"/>
  <c r="CL66" i="1"/>
  <c r="CE160" i="1" l="1"/>
  <c r="CF157" i="1" s="1"/>
  <c r="CF159" i="1" s="1"/>
  <c r="CE205" i="1"/>
  <c r="CM66" i="1"/>
  <c r="CF160" i="1" l="1"/>
  <c r="CG157" i="1" s="1"/>
  <c r="CG159" i="1" s="1"/>
  <c r="CF205" i="1"/>
  <c r="CN66" i="1"/>
  <c r="CG160" i="1" l="1"/>
  <c r="CH157" i="1" s="1"/>
  <c r="CH159" i="1" s="1"/>
  <c r="CG205" i="1"/>
  <c r="CO66" i="1"/>
  <c r="CH160" i="1" l="1"/>
  <c r="CI157" i="1" s="1"/>
  <c r="CI159" i="1" s="1"/>
  <c r="CH205" i="1"/>
  <c r="CP66" i="1"/>
  <c r="CI160" i="1" l="1"/>
  <c r="CJ157" i="1" s="1"/>
  <c r="CJ159" i="1" s="1"/>
  <c r="CI205" i="1"/>
  <c r="CQ66" i="1"/>
  <c r="CJ160" i="1" l="1"/>
  <c r="CK157" i="1" s="1"/>
  <c r="CK159" i="1" s="1"/>
  <c r="CJ205" i="1"/>
  <c r="CR66" i="1"/>
  <c r="CK160" i="1" l="1"/>
  <c r="CL157" i="1" s="1"/>
  <c r="CL159" i="1" s="1"/>
  <c r="CK205" i="1"/>
  <c r="CS66" i="1"/>
  <c r="CL160" i="1" l="1"/>
  <c r="CM157" i="1" s="1"/>
  <c r="CM159" i="1" s="1"/>
  <c r="CL205" i="1"/>
  <c r="CT66" i="1"/>
  <c r="CM160" i="1" l="1"/>
  <c r="CN157" i="1" s="1"/>
  <c r="CN159" i="1" s="1"/>
  <c r="CM205" i="1"/>
  <c r="CU66" i="1"/>
  <c r="CN160" i="1" l="1"/>
  <c r="CO157" i="1" s="1"/>
  <c r="CO159" i="1" s="1"/>
  <c r="CN205" i="1"/>
  <c r="CV66" i="1"/>
  <c r="CO160" i="1" l="1"/>
  <c r="CP157" i="1" s="1"/>
  <c r="CP159" i="1" s="1"/>
  <c r="CO205" i="1"/>
  <c r="CW66" i="1"/>
  <c r="CP160" i="1" l="1"/>
  <c r="CQ157" i="1" s="1"/>
  <c r="CQ159" i="1" s="1"/>
  <c r="CP205" i="1"/>
  <c r="CX66" i="1"/>
  <c r="CQ160" i="1" l="1"/>
  <c r="CR157" i="1" s="1"/>
  <c r="CR159" i="1" s="1"/>
  <c r="CQ205" i="1"/>
  <c r="CY66" i="1"/>
  <c r="CR160" i="1" l="1"/>
  <c r="CS157" i="1" s="1"/>
  <c r="CS159" i="1" s="1"/>
  <c r="CR205" i="1"/>
  <c r="CZ66" i="1"/>
  <c r="CS160" i="1" l="1"/>
  <c r="CT157" i="1" s="1"/>
  <c r="CT159" i="1" s="1"/>
  <c r="CS205" i="1"/>
  <c r="DA66" i="1"/>
  <c r="CT160" i="1" l="1"/>
  <c r="CU157" i="1" s="1"/>
  <c r="CU159" i="1" s="1"/>
  <c r="CT205" i="1"/>
  <c r="DB66" i="1"/>
  <c r="CU160" i="1" l="1"/>
  <c r="CV157" i="1" s="1"/>
  <c r="CV159" i="1" s="1"/>
  <c r="CV160" i="1" s="1"/>
  <c r="CW157" i="1" s="1"/>
  <c r="CU205" i="1"/>
  <c r="DC66" i="1"/>
  <c r="CW159" i="1" l="1"/>
  <c r="CW160" i="1" s="1"/>
  <c r="CX157" i="1" s="1"/>
  <c r="DD66" i="1"/>
  <c r="CX159" i="1" l="1"/>
  <c r="CX160" i="1" s="1"/>
  <c r="CY157" i="1" s="1"/>
  <c r="DE66" i="1"/>
  <c r="CY159" i="1" l="1"/>
  <c r="CY160" i="1" s="1"/>
  <c r="CZ157" i="1" s="1"/>
  <c r="DF66" i="1"/>
  <c r="CZ159" i="1" l="1"/>
  <c r="CZ160" i="1" s="1"/>
  <c r="DA157" i="1" s="1"/>
  <c r="DG66" i="1"/>
  <c r="DA159" i="1" l="1"/>
  <c r="DA160" i="1" s="1"/>
  <c r="DB157" i="1" s="1"/>
  <c r="DH66" i="1"/>
  <c r="DB159" i="1" l="1"/>
  <c r="DB160" i="1" s="1"/>
  <c r="DC157" i="1" s="1"/>
  <c r="DI66" i="1"/>
  <c r="DC159" i="1" l="1"/>
  <c r="DC160" i="1" s="1"/>
  <c r="DD157" i="1" s="1"/>
  <c r="DJ66" i="1"/>
  <c r="DD159" i="1" l="1"/>
  <c r="DD160" i="1" s="1"/>
  <c r="DE157" i="1" s="1"/>
  <c r="DK66" i="1"/>
  <c r="DE159" i="1" l="1"/>
  <c r="DE160" i="1" s="1"/>
  <c r="DF157" i="1" s="1"/>
  <c r="DL66" i="1"/>
  <c r="DF159" i="1" l="1"/>
  <c r="DF160" i="1" s="1"/>
  <c r="DG157" i="1" s="1"/>
  <c r="DM66" i="1"/>
  <c r="DG159" i="1" l="1"/>
  <c r="DG160" i="1" s="1"/>
  <c r="DH157" i="1" s="1"/>
  <c r="DN66" i="1"/>
  <c r="DH159" i="1" l="1"/>
  <c r="DH160" i="1" s="1"/>
  <c r="DI157" i="1" s="1"/>
  <c r="DO66" i="1"/>
  <c r="DI159" i="1" l="1"/>
  <c r="DI160" i="1" s="1"/>
  <c r="DJ157" i="1" s="1"/>
  <c r="DP66" i="1"/>
  <c r="DJ159" i="1" l="1"/>
  <c r="DJ160" i="1" s="1"/>
  <c r="DK157" i="1" s="1"/>
  <c r="DQ66" i="1"/>
  <c r="DK159" i="1" l="1"/>
  <c r="DK160" i="1" s="1"/>
  <c r="DL157" i="1" s="1"/>
  <c r="DR66" i="1"/>
  <c r="DL159" i="1" l="1"/>
  <c r="DL160" i="1" s="1"/>
  <c r="DM157" i="1" s="1"/>
  <c r="DS66" i="1"/>
  <c r="DM159" i="1" l="1"/>
  <c r="DM160" i="1" s="1"/>
  <c r="DN157" i="1" s="1"/>
  <c r="DT66" i="1"/>
  <c r="DN159" i="1" l="1"/>
  <c r="DN160" i="1" s="1"/>
  <c r="DO157" i="1" s="1"/>
  <c r="DU66" i="1"/>
  <c r="DO159" i="1" l="1"/>
  <c r="DO160" i="1" s="1"/>
  <c r="DP157" i="1" s="1"/>
  <c r="DV66" i="1"/>
  <c r="DP159" i="1" l="1"/>
  <c r="DP160" i="1" s="1"/>
  <c r="DQ157" i="1" s="1"/>
  <c r="DW66" i="1"/>
  <c r="DQ159" i="1" l="1"/>
  <c r="DQ160" i="1" s="1"/>
  <c r="DR157" i="1" s="1"/>
  <c r="DX66" i="1"/>
  <c r="DR159" i="1" l="1"/>
  <c r="DR160" i="1" s="1"/>
  <c r="DS157" i="1" s="1"/>
  <c r="DY66" i="1"/>
  <c r="DS159" i="1" l="1"/>
  <c r="DS160" i="1" s="1"/>
  <c r="DT157" i="1" s="1"/>
  <c r="DZ66" i="1"/>
  <c r="DT159" i="1" l="1"/>
  <c r="DT160" i="1" s="1"/>
  <c r="DU157" i="1" s="1"/>
  <c r="EA66" i="1"/>
  <c r="DU159" i="1" l="1"/>
  <c r="DU160" i="1" s="1"/>
  <c r="DV157" i="1" s="1"/>
  <c r="EB66" i="1"/>
  <c r="DV159" i="1" l="1"/>
  <c r="DV160" i="1" s="1"/>
  <c r="DW157" i="1" s="1"/>
  <c r="EC66" i="1"/>
  <c r="DW159" i="1" l="1"/>
  <c r="DW160" i="1" s="1"/>
  <c r="DX157" i="1" s="1"/>
  <c r="ED66" i="1"/>
  <c r="DX159" i="1" l="1"/>
  <c r="DX160" i="1" s="1"/>
  <c r="DY157" i="1" s="1"/>
  <c r="EE66" i="1"/>
  <c r="DY159" i="1" l="1"/>
  <c r="DY160" i="1" s="1"/>
  <c r="DZ157" i="1" s="1"/>
  <c r="EF66" i="1"/>
  <c r="DZ159" i="1" l="1"/>
  <c r="DZ160" i="1" s="1"/>
  <c r="EA157" i="1" s="1"/>
  <c r="EG66" i="1"/>
  <c r="EA159" i="1" l="1"/>
  <c r="EA160" i="1" s="1"/>
  <c r="EB157" i="1" s="1"/>
  <c r="EH66" i="1"/>
  <c r="EB159" i="1" l="1"/>
  <c r="EB160" i="1" s="1"/>
  <c r="EC157" i="1" s="1"/>
  <c r="EI66" i="1"/>
  <c r="EC159" i="1" l="1"/>
  <c r="EC160" i="1" s="1"/>
  <c r="ED157" i="1" s="1"/>
  <c r="E66" i="1"/>
  <c r="ED159" i="1" l="1"/>
  <c r="ED160" i="1" s="1"/>
  <c r="EE157" i="1" s="1"/>
  <c r="EE159" i="1" l="1"/>
  <c r="EE160" i="1" s="1"/>
  <c r="EF157" i="1" s="1"/>
  <c r="EF159" i="1" l="1"/>
  <c r="EF160" i="1" s="1"/>
  <c r="EG157" i="1" s="1"/>
  <c r="EG159" i="1" l="1"/>
  <c r="EG160" i="1" s="1"/>
  <c r="EH157" i="1" s="1"/>
  <c r="EH159" i="1" l="1"/>
  <c r="EH160" i="1" s="1"/>
  <c r="EI157" i="1" s="1"/>
  <c r="EI159" i="1" l="1"/>
  <c r="EI160" i="1" s="1"/>
  <c r="EJ157" i="1" s="1"/>
  <c r="EJ159" i="1" l="1"/>
  <c r="EJ160" i="1" s="1"/>
  <c r="EK157" i="1" s="1"/>
  <c r="EK159" i="1" l="1"/>
  <c r="EK160" i="1" s="1"/>
  <c r="EL157" i="1" s="1"/>
  <c r="E205" i="1"/>
  <c r="D221" i="3" s="1"/>
  <c r="C257" i="3" s="1"/>
  <c r="EL159" i="1" l="1"/>
  <c r="EL160" i="1" s="1"/>
  <c r="EM157" i="1" s="1"/>
  <c r="EM159" i="1" l="1"/>
  <c r="EM160" i="1" s="1"/>
  <c r="EN157" i="1" s="1"/>
  <c r="EN159" i="1" l="1"/>
  <c r="EN160" i="1" s="1"/>
  <c r="EO157" i="1" s="1"/>
  <c r="EO159" i="1" l="1"/>
  <c r="EO160" i="1" s="1"/>
  <c r="EP157" i="1" s="1"/>
  <c r="EP159" i="1" l="1"/>
  <c r="EP160" i="1" s="1"/>
  <c r="EQ157" i="1" s="1"/>
  <c r="EQ159" i="1" l="1"/>
  <c r="EQ160" i="1" s="1"/>
  <c r="ER157" i="1" s="1"/>
  <c r="ER159" i="1" l="1"/>
  <c r="ER160" i="1" s="1"/>
  <c r="ES157" i="1" s="1"/>
  <c r="ES159" i="1" l="1"/>
  <c r="ES160" i="1" s="1"/>
  <c r="ET157" i="1" s="1"/>
  <c r="ET159" i="1" l="1"/>
  <c r="ET160" i="1" s="1"/>
  <c r="EU157" i="1" s="1"/>
  <c r="EU159" i="1" l="1"/>
  <c r="EU160" i="1" s="1"/>
  <c r="EV157" i="1" s="1"/>
  <c r="EV159" i="1" l="1"/>
  <c r="EV160" i="1" s="1"/>
  <c r="EW157" i="1" s="1"/>
  <c r="EW159" i="1" l="1"/>
  <c r="EW160" i="1" s="1"/>
  <c r="EX157" i="1" s="1"/>
  <c r="EX159" i="1" l="1"/>
  <c r="EX160" i="1" s="1"/>
  <c r="EY157" i="1" s="1"/>
  <c r="EY159" i="1" l="1"/>
  <c r="EY160" i="1" s="1"/>
  <c r="EZ157" i="1" s="1"/>
  <c r="EZ159" i="1" l="1"/>
  <c r="EZ160" i="1" s="1"/>
  <c r="FA157" i="1" s="1"/>
  <c r="FA159" i="1" l="1"/>
  <c r="FA160" i="1" s="1"/>
  <c r="Z165" i="1" l="1"/>
  <c r="Z166" i="1" s="1"/>
  <c r="AA163" i="1" s="1"/>
  <c r="AA180" i="1" s="1"/>
  <c r="AA181" i="1" s="1"/>
  <c r="AA165" i="1" l="1"/>
  <c r="AA166" i="1" l="1"/>
  <c r="AB163" i="1" l="1"/>
  <c r="AB180" i="1" s="1"/>
  <c r="AB181" i="1" s="1"/>
  <c r="AB165" i="1" s="1"/>
  <c r="AB166" i="1" l="1"/>
  <c r="AC163" i="1" s="1"/>
  <c r="AC180" i="1" s="1"/>
  <c r="AC181" i="1" s="1"/>
  <c r="AC165" i="1" l="1"/>
  <c r="AC166" i="1" l="1"/>
  <c r="AD163" i="1" s="1"/>
  <c r="AD180" i="1" s="1"/>
  <c r="AD181" i="1" s="1"/>
  <c r="AD165" i="1" l="1"/>
  <c r="AD166" i="1" l="1"/>
  <c r="AE163" i="1" s="1"/>
  <c r="AE180" i="1" s="1"/>
  <c r="AE181" i="1" s="1"/>
  <c r="AE165" i="1" l="1"/>
  <c r="AE166" i="1" l="1"/>
  <c r="AF163" i="1" l="1"/>
  <c r="AF180" i="1" s="1"/>
  <c r="AF181" i="1" s="1"/>
  <c r="AF165" i="1" s="1"/>
  <c r="AF166" i="1" l="1"/>
  <c r="AG163" i="1" s="1"/>
  <c r="AG180" i="1" s="1"/>
  <c r="AG181" i="1" s="1"/>
  <c r="AG165" i="1" l="1"/>
  <c r="AG166" i="1" s="1"/>
  <c r="AH163" i="1" s="1"/>
  <c r="AH180" i="1" s="1"/>
  <c r="AH181" i="1" s="1"/>
  <c r="AH165" i="1" l="1"/>
  <c r="AH166" i="1" s="1"/>
  <c r="AI163" i="1" s="1"/>
  <c r="AI180" i="1" s="1"/>
  <c r="AI181" i="1" s="1"/>
  <c r="AI165" i="1" l="1"/>
  <c r="AI166" i="1" s="1"/>
  <c r="AJ163" i="1" l="1"/>
  <c r="AJ180" i="1" s="1"/>
  <c r="AJ181" i="1" s="1"/>
  <c r="AJ165" i="1" s="1"/>
  <c r="AJ166" i="1" s="1"/>
  <c r="AK163" i="1" s="1"/>
  <c r="AK180" i="1" s="1"/>
  <c r="AK181" i="1" s="1"/>
  <c r="AK165" i="1" l="1"/>
  <c r="AK166" i="1" s="1"/>
  <c r="AL163" i="1" s="1"/>
  <c r="AL180" i="1" s="1"/>
  <c r="AL181" i="1" s="1"/>
  <c r="AL165" i="1" l="1"/>
  <c r="AL166" i="1" s="1"/>
  <c r="AM163" i="1" s="1"/>
  <c r="AM180" i="1" s="1"/>
  <c r="AM181" i="1" s="1"/>
  <c r="AM165" i="1" l="1"/>
  <c r="AM166" i="1" s="1"/>
  <c r="AN163" i="1" l="1"/>
  <c r="AN180" i="1" s="1"/>
  <c r="AN181" i="1" s="1"/>
  <c r="AN165" i="1" s="1"/>
  <c r="AN166" i="1" s="1"/>
  <c r="AO163" i="1" s="1"/>
  <c r="AO180" i="1" s="1"/>
  <c r="AO181" i="1" s="1"/>
  <c r="AO165" i="1" l="1"/>
  <c r="AO166" i="1" s="1"/>
  <c r="AP163" i="1" s="1"/>
  <c r="AP180" i="1" s="1"/>
  <c r="AP181" i="1" s="1"/>
  <c r="AP165" i="1" l="1"/>
  <c r="AP166" i="1" s="1"/>
  <c r="AQ163" i="1" s="1"/>
  <c r="AQ180" i="1" s="1"/>
  <c r="AQ181" i="1" s="1"/>
  <c r="AQ165" i="1" l="1"/>
  <c r="AQ166" i="1" s="1"/>
  <c r="AR163" i="1" l="1"/>
  <c r="AR180" i="1" s="1"/>
  <c r="AR181" i="1" s="1"/>
  <c r="AR165" i="1" s="1"/>
  <c r="AR166" i="1" s="1"/>
  <c r="AS163" i="1" s="1"/>
  <c r="AS180" i="1" s="1"/>
  <c r="AS181" i="1" s="1"/>
  <c r="AS165" i="1" l="1"/>
  <c r="AS166" i="1" s="1"/>
  <c r="AT163" i="1" s="1"/>
  <c r="AT180" i="1" s="1"/>
  <c r="AT181" i="1" s="1"/>
  <c r="AT165" i="1" l="1"/>
  <c r="AT166" i="1" s="1"/>
  <c r="AU163" i="1" s="1"/>
  <c r="AU180" i="1" s="1"/>
  <c r="AU181" i="1" s="1"/>
  <c r="AU165" i="1" l="1"/>
  <c r="AU166" i="1" s="1"/>
  <c r="AV163" i="1" l="1"/>
  <c r="AV180" i="1" s="1"/>
  <c r="AV181" i="1" s="1"/>
  <c r="AV165" i="1" s="1"/>
  <c r="AV166" i="1" s="1"/>
  <c r="AW163" i="1" s="1"/>
  <c r="AW180" i="1" s="1"/>
  <c r="AW181" i="1" s="1"/>
  <c r="AW165" i="1" l="1"/>
  <c r="AW166" i="1" s="1"/>
  <c r="AX163" i="1" s="1"/>
  <c r="AX180" i="1" s="1"/>
  <c r="AX181" i="1" s="1"/>
  <c r="AX165" i="1" l="1"/>
  <c r="AX166" i="1" s="1"/>
  <c r="AY163" i="1" s="1"/>
  <c r="AY180" i="1" s="1"/>
  <c r="AY181" i="1" s="1"/>
  <c r="AY165" i="1" l="1"/>
  <c r="AY166" i="1" s="1"/>
  <c r="AZ163" i="1" l="1"/>
  <c r="AZ180" i="1" s="1"/>
  <c r="AZ181" i="1" s="1"/>
  <c r="AZ165" i="1" s="1"/>
  <c r="AZ166" i="1" s="1"/>
  <c r="BA163" i="1" s="1"/>
  <c r="BA180" i="1" s="1"/>
  <c r="BA181" i="1" s="1"/>
  <c r="BA165" i="1" l="1"/>
  <c r="BA166" i="1" s="1"/>
  <c r="BB163" i="1" s="1"/>
  <c r="BB180" i="1" s="1"/>
  <c r="BB181" i="1" s="1"/>
  <c r="BB165" i="1" l="1"/>
  <c r="BB166" i="1" s="1"/>
  <c r="BC163" i="1" s="1"/>
  <c r="BC180" i="1" s="1"/>
  <c r="BC181" i="1" s="1"/>
  <c r="BC165" i="1" l="1"/>
  <c r="BC166" i="1" s="1"/>
  <c r="BD163" i="1" l="1"/>
  <c r="BD180" i="1" s="1"/>
  <c r="BD181" i="1" s="1"/>
  <c r="BD165" i="1" s="1"/>
  <c r="BD166" i="1" s="1"/>
  <c r="BE163" i="1" s="1"/>
  <c r="BE180" i="1" s="1"/>
  <c r="BE181" i="1" s="1"/>
  <c r="BE165" i="1" l="1"/>
  <c r="BE166" i="1" s="1"/>
  <c r="BF163" i="1" s="1"/>
  <c r="BF180" i="1" s="1"/>
  <c r="BF181" i="1" s="1"/>
  <c r="BF165" i="1" l="1"/>
  <c r="BF166" i="1" s="1"/>
  <c r="BG163" i="1" s="1"/>
  <c r="BG180" i="1" s="1"/>
  <c r="BG181" i="1" s="1"/>
  <c r="BG165" i="1" l="1"/>
  <c r="BG166" i="1" s="1"/>
  <c r="BH163" i="1" l="1"/>
  <c r="BH180" i="1" s="1"/>
  <c r="BH181" i="1" s="1"/>
  <c r="BH165" i="1" s="1"/>
  <c r="BH166" i="1" s="1"/>
  <c r="BI163" i="1" s="1"/>
  <c r="BI180" i="1" s="1"/>
  <c r="BI181" i="1" s="1"/>
  <c r="BI165" i="1" l="1"/>
  <c r="BI166" i="1" s="1"/>
  <c r="BJ163" i="1" s="1"/>
  <c r="BJ180" i="1" s="1"/>
  <c r="BJ181" i="1" s="1"/>
  <c r="BJ165" i="1" l="1"/>
  <c r="BJ166" i="1" s="1"/>
  <c r="BK163" i="1" s="1"/>
  <c r="BK180" i="1" s="1"/>
  <c r="BK181" i="1" s="1"/>
  <c r="BK165" i="1" l="1"/>
  <c r="BK166" i="1" s="1"/>
  <c r="BL163" i="1" l="1"/>
  <c r="BL180" i="1" s="1"/>
  <c r="BL181" i="1" s="1"/>
  <c r="BL165" i="1" s="1"/>
  <c r="BL166" i="1" s="1"/>
  <c r="BM163" i="1" s="1"/>
  <c r="BM180" i="1" s="1"/>
  <c r="BM181" i="1" s="1"/>
  <c r="BM165" i="1" l="1"/>
  <c r="BM166" i="1" s="1"/>
  <c r="BN163" i="1" s="1"/>
  <c r="BN180" i="1" s="1"/>
  <c r="BN181" i="1" s="1"/>
  <c r="BN165" i="1" l="1"/>
  <c r="BN166" i="1" s="1"/>
  <c r="BO163" i="1" s="1"/>
  <c r="BO180" i="1" s="1"/>
  <c r="BO181" i="1" s="1"/>
  <c r="BO165" i="1" l="1"/>
  <c r="BO166" i="1" s="1"/>
  <c r="BP163" i="1" l="1"/>
  <c r="BP180" i="1" s="1"/>
  <c r="BP181" i="1" s="1"/>
  <c r="BP165" i="1" s="1"/>
  <c r="BP166" i="1" s="1"/>
  <c r="BQ163" i="1" s="1"/>
  <c r="BQ180" i="1" s="1"/>
  <c r="BQ181" i="1" s="1"/>
  <c r="BQ165" i="1" l="1"/>
  <c r="BQ166" i="1" s="1"/>
  <c r="BR163" i="1" s="1"/>
  <c r="BR180" i="1" s="1"/>
  <c r="BR181" i="1" s="1"/>
  <c r="BR165" i="1" l="1"/>
  <c r="BR166" i="1" s="1"/>
  <c r="BS163" i="1" s="1"/>
  <c r="BS180" i="1" s="1"/>
  <c r="BS181" i="1" s="1"/>
  <c r="BS165" i="1" l="1"/>
  <c r="BS166" i="1" s="1"/>
  <c r="BT163" i="1" l="1"/>
  <c r="BT180" i="1" s="1"/>
  <c r="BT181" i="1" s="1"/>
  <c r="BT165" i="1" s="1"/>
  <c r="BT166" i="1" s="1"/>
  <c r="BU163" i="1" s="1"/>
  <c r="BU180" i="1" s="1"/>
  <c r="BU181" i="1" s="1"/>
  <c r="BU165" i="1" l="1"/>
  <c r="BU166" i="1" s="1"/>
  <c r="BV163" i="1" s="1"/>
  <c r="BV180" i="1" s="1"/>
  <c r="BV181" i="1" s="1"/>
  <c r="BV165" i="1" l="1"/>
  <c r="BV166" i="1" s="1"/>
  <c r="BW163" i="1" s="1"/>
  <c r="BW180" i="1" s="1"/>
  <c r="BW181" i="1" s="1"/>
  <c r="BW165" i="1" l="1"/>
  <c r="BW166" i="1" s="1"/>
  <c r="BX163" i="1" l="1"/>
  <c r="BX180" i="1" s="1"/>
  <c r="BX181" i="1" s="1"/>
  <c r="BX165" i="1" s="1"/>
  <c r="BX166" i="1" s="1"/>
  <c r="BY163" i="1" s="1"/>
  <c r="BY180" i="1" s="1"/>
  <c r="BY181" i="1" s="1"/>
  <c r="BY165" i="1" l="1"/>
  <c r="BY166" i="1" s="1"/>
  <c r="BZ163" i="1" s="1"/>
  <c r="BZ180" i="1" s="1"/>
  <c r="BZ181" i="1" s="1"/>
  <c r="BZ165" i="1" l="1"/>
  <c r="BZ166" i="1" s="1"/>
  <c r="CA163" i="1" s="1"/>
  <c r="CA180" i="1" s="1"/>
  <c r="CA181" i="1" s="1"/>
  <c r="CA165" i="1" l="1"/>
  <c r="CA166" i="1" s="1"/>
  <c r="CB163" i="1" l="1"/>
  <c r="CB180" i="1" s="1"/>
  <c r="CB181" i="1" s="1"/>
  <c r="CB165" i="1" s="1"/>
  <c r="CB166" i="1" s="1"/>
  <c r="CC163" i="1" s="1"/>
  <c r="CC180" i="1" s="1"/>
  <c r="CC181" i="1" s="1"/>
  <c r="CC165" i="1" l="1"/>
  <c r="CC166" i="1" s="1"/>
  <c r="CD163" i="1" s="1"/>
  <c r="CD180" i="1" s="1"/>
  <c r="CD181" i="1" s="1"/>
  <c r="CD165" i="1" l="1"/>
  <c r="CD166" i="1" s="1"/>
  <c r="CE163" i="1" s="1"/>
  <c r="CE180" i="1" s="1"/>
  <c r="CE181" i="1" s="1"/>
  <c r="CE165" i="1" l="1"/>
  <c r="CE166" i="1" s="1"/>
  <c r="CF163" i="1" l="1"/>
  <c r="CF180" i="1" s="1"/>
  <c r="CF181" i="1" s="1"/>
  <c r="CF165" i="1" s="1"/>
  <c r="CF166" i="1" s="1"/>
  <c r="CG163" i="1" s="1"/>
  <c r="CG180" i="1" s="1"/>
  <c r="CG181" i="1" s="1"/>
  <c r="CG165" i="1" l="1"/>
  <c r="CG166" i="1" s="1"/>
  <c r="CH163" i="1" s="1"/>
  <c r="CH180" i="1" s="1"/>
  <c r="CH181" i="1" s="1"/>
  <c r="CH165" i="1" l="1"/>
  <c r="CH166" i="1" s="1"/>
  <c r="CI163" i="1" s="1"/>
  <c r="CI180" i="1" s="1"/>
  <c r="CI181" i="1" s="1"/>
  <c r="CI165" i="1" l="1"/>
  <c r="CI166" i="1" s="1"/>
  <c r="CJ163" i="1" l="1"/>
  <c r="CJ180" i="1" s="1"/>
  <c r="CJ181" i="1" s="1"/>
  <c r="CJ165" i="1" s="1"/>
  <c r="CJ166" i="1" s="1"/>
  <c r="CK163" i="1" s="1"/>
  <c r="CK180" i="1" s="1"/>
  <c r="CK181" i="1" s="1"/>
  <c r="CK165" i="1" l="1"/>
  <c r="CK166" i="1" s="1"/>
  <c r="CL163" i="1" s="1"/>
  <c r="CL180" i="1" s="1"/>
  <c r="CL181" i="1" s="1"/>
  <c r="CL165" i="1" l="1"/>
  <c r="CL166" i="1" s="1"/>
  <c r="CM163" i="1" s="1"/>
  <c r="CM180" i="1" s="1"/>
  <c r="CM181" i="1" s="1"/>
  <c r="CM165" i="1" l="1"/>
  <c r="CM166" i="1" s="1"/>
  <c r="CN163" i="1" l="1"/>
  <c r="CN180" i="1" s="1"/>
  <c r="CN181" i="1" s="1"/>
  <c r="CN165" i="1" s="1"/>
  <c r="CN166" i="1" s="1"/>
  <c r="CO163" i="1" s="1"/>
  <c r="CO180" i="1" s="1"/>
  <c r="CO181" i="1" s="1"/>
  <c r="CO165" i="1" l="1"/>
  <c r="CO166" i="1" s="1"/>
  <c r="CP163" i="1" s="1"/>
  <c r="CP180" i="1" s="1"/>
  <c r="CP181" i="1" s="1"/>
  <c r="CP165" i="1" l="1"/>
  <c r="CP166" i="1" s="1"/>
  <c r="CQ163" i="1" s="1"/>
  <c r="CQ180" i="1" s="1"/>
  <c r="CQ181" i="1" s="1"/>
  <c r="CQ165" i="1" l="1"/>
  <c r="CQ166" i="1" s="1"/>
  <c r="CR163" i="1" l="1"/>
  <c r="CR180" i="1" s="1"/>
  <c r="CR181" i="1" s="1"/>
  <c r="CR165" i="1" s="1"/>
  <c r="CR166" i="1" s="1"/>
  <c r="CS163" i="1" s="1"/>
  <c r="CS180" i="1" s="1"/>
  <c r="CS181" i="1" s="1"/>
  <c r="CS165" i="1" l="1"/>
  <c r="CS166" i="1" s="1"/>
  <c r="CT163" i="1" s="1"/>
  <c r="CT180" i="1" s="1"/>
  <c r="CT181" i="1" s="1"/>
  <c r="CT165" i="1" l="1"/>
  <c r="CT166" i="1" s="1"/>
  <c r="CU163" i="1" s="1"/>
  <c r="CU180" i="1" s="1"/>
  <c r="CU181" i="1" s="1"/>
  <c r="CU165" i="1" l="1"/>
  <c r="CU166" i="1" s="1"/>
  <c r="CV165" i="1" l="1"/>
  <c r="CV166" i="1" l="1"/>
  <c r="CW163" i="1" s="1"/>
  <c r="CW180" i="1" s="1"/>
  <c r="CW181" i="1" s="1"/>
  <c r="CW165" i="1" l="1"/>
  <c r="CW166" i="1" s="1"/>
  <c r="CX163" i="1" s="1"/>
  <c r="CX180" i="1" s="1"/>
  <c r="CX181" i="1" s="1"/>
  <c r="CX165" i="1" l="1"/>
  <c r="CX166" i="1" s="1"/>
  <c r="CY163" i="1" s="1"/>
  <c r="CY180" i="1" s="1"/>
  <c r="CY181" i="1" s="1"/>
  <c r="CY165" i="1" l="1"/>
  <c r="CY166" i="1" s="1"/>
  <c r="CZ163" i="1" s="1"/>
  <c r="CZ180" i="1" s="1"/>
  <c r="CZ181" i="1" s="1"/>
  <c r="CZ165" i="1" l="1"/>
  <c r="CZ166" i="1" s="1"/>
  <c r="DA163" i="1" s="1"/>
  <c r="DA180" i="1" s="1"/>
  <c r="DA181" i="1" s="1"/>
  <c r="DA165" i="1" l="1"/>
  <c r="DA166" i="1" s="1"/>
  <c r="DB163" i="1" s="1"/>
  <c r="DB180" i="1" s="1"/>
  <c r="DB181" i="1" s="1"/>
  <c r="DB165" i="1" l="1"/>
  <c r="DB166" i="1" s="1"/>
  <c r="DC163" i="1" s="1"/>
  <c r="DC180" i="1" s="1"/>
  <c r="DC181" i="1" s="1"/>
  <c r="DC165" i="1" l="1"/>
  <c r="DC166" i="1" s="1"/>
  <c r="DD163" i="1" s="1"/>
  <c r="DD180" i="1" s="1"/>
  <c r="DD181" i="1" s="1"/>
  <c r="DD165" i="1" l="1"/>
  <c r="DD166" i="1" s="1"/>
  <c r="DE163" i="1" s="1"/>
  <c r="DE180" i="1" s="1"/>
  <c r="DE181" i="1" s="1"/>
  <c r="DE165" i="1" l="1"/>
  <c r="DE166" i="1" s="1"/>
  <c r="DF163" i="1" s="1"/>
  <c r="DF180" i="1" s="1"/>
  <c r="DF181" i="1" s="1"/>
  <c r="DF165" i="1" l="1"/>
  <c r="DF166" i="1" s="1"/>
  <c r="DG163" i="1" s="1"/>
  <c r="DG180" i="1" s="1"/>
  <c r="DG181" i="1" s="1"/>
  <c r="DG165" i="1" l="1"/>
  <c r="DG166" i="1" s="1"/>
  <c r="DH163" i="1" s="1"/>
  <c r="DH180" i="1" s="1"/>
  <c r="DH181" i="1" s="1"/>
  <c r="DH165" i="1" l="1"/>
  <c r="DH166" i="1" s="1"/>
  <c r="DI163" i="1" s="1"/>
  <c r="DI180" i="1" s="1"/>
  <c r="DI181" i="1" s="1"/>
  <c r="DI165" i="1" l="1"/>
  <c r="DI166" i="1" s="1"/>
  <c r="DJ163" i="1" s="1"/>
  <c r="DJ180" i="1" s="1"/>
  <c r="DJ181" i="1" s="1"/>
  <c r="DJ165" i="1" l="1"/>
  <c r="DJ166" i="1" s="1"/>
  <c r="DK163" i="1" s="1"/>
  <c r="DK180" i="1" s="1"/>
  <c r="DK181" i="1" s="1"/>
  <c r="DK165" i="1" l="1"/>
  <c r="DK166" i="1" s="1"/>
  <c r="DL163" i="1" s="1"/>
  <c r="DL180" i="1" s="1"/>
  <c r="DL181" i="1" s="1"/>
  <c r="DL165" i="1" l="1"/>
  <c r="DL166" i="1" s="1"/>
  <c r="DM163" i="1" s="1"/>
  <c r="DM180" i="1" s="1"/>
  <c r="DM181" i="1" s="1"/>
  <c r="DM165" i="1" l="1"/>
  <c r="DM166" i="1" s="1"/>
  <c r="DN163" i="1" s="1"/>
  <c r="DN180" i="1" s="1"/>
  <c r="DN181" i="1" s="1"/>
  <c r="DN165" i="1" l="1"/>
  <c r="DN166" i="1" s="1"/>
  <c r="DO163" i="1" s="1"/>
  <c r="DO180" i="1" s="1"/>
  <c r="DO181" i="1" s="1"/>
  <c r="DO165" i="1" l="1"/>
  <c r="DO166" i="1" s="1"/>
  <c r="DP163" i="1" s="1"/>
  <c r="DP180" i="1" s="1"/>
  <c r="DP181" i="1" s="1"/>
  <c r="DP165" i="1" l="1"/>
  <c r="DP166" i="1" s="1"/>
  <c r="DQ163" i="1" s="1"/>
  <c r="DQ180" i="1" s="1"/>
  <c r="DQ181" i="1" s="1"/>
  <c r="DQ165" i="1" l="1"/>
  <c r="DQ166" i="1" s="1"/>
  <c r="DR163" i="1" s="1"/>
  <c r="DR180" i="1" s="1"/>
  <c r="DR181" i="1" s="1"/>
  <c r="DR165" i="1" l="1"/>
  <c r="DR166" i="1" s="1"/>
  <c r="DS163" i="1" s="1"/>
  <c r="DS180" i="1" s="1"/>
  <c r="DS181" i="1" s="1"/>
  <c r="DS165" i="1" l="1"/>
  <c r="DS166" i="1" s="1"/>
  <c r="DT163" i="1" s="1"/>
  <c r="DT180" i="1" s="1"/>
  <c r="DT181" i="1" s="1"/>
  <c r="DT165" i="1" l="1"/>
  <c r="DT166" i="1" s="1"/>
  <c r="DU163" i="1" s="1"/>
  <c r="DU180" i="1" s="1"/>
  <c r="DU181" i="1" s="1"/>
  <c r="DU165" i="1" l="1"/>
  <c r="DU166" i="1" s="1"/>
  <c r="DV163" i="1" s="1"/>
  <c r="DV180" i="1" s="1"/>
  <c r="DV181" i="1" s="1"/>
  <c r="DV165" i="1" l="1"/>
  <c r="DV166" i="1" s="1"/>
  <c r="DW163" i="1" s="1"/>
  <c r="DW180" i="1" s="1"/>
  <c r="DW181" i="1" s="1"/>
  <c r="DW165" i="1" l="1"/>
  <c r="DW166" i="1" s="1"/>
  <c r="DX163" i="1" s="1"/>
  <c r="DX180" i="1" s="1"/>
  <c r="DX181" i="1" s="1"/>
  <c r="DX165" i="1" l="1"/>
  <c r="DX166" i="1" s="1"/>
  <c r="DY163" i="1" s="1"/>
  <c r="DY180" i="1" s="1"/>
  <c r="DY181" i="1" s="1"/>
  <c r="DY165" i="1" l="1"/>
  <c r="DY166" i="1" s="1"/>
  <c r="DZ163" i="1" s="1"/>
  <c r="DZ180" i="1" s="1"/>
  <c r="DZ181" i="1" s="1"/>
  <c r="DZ165" i="1" l="1"/>
  <c r="DZ166" i="1" s="1"/>
  <c r="EA163" i="1" s="1"/>
  <c r="EA180" i="1" s="1"/>
  <c r="EA181" i="1" s="1"/>
  <c r="EA165" i="1" l="1"/>
  <c r="EA166" i="1" s="1"/>
  <c r="EB163" i="1" s="1"/>
  <c r="EB180" i="1" s="1"/>
  <c r="EB181" i="1" s="1"/>
  <c r="EB165" i="1" l="1"/>
  <c r="EB166" i="1" s="1"/>
  <c r="EC163" i="1" s="1"/>
  <c r="EC180" i="1" s="1"/>
  <c r="EC181" i="1" s="1"/>
  <c r="EC165" i="1" l="1"/>
  <c r="EC166" i="1" s="1"/>
  <c r="ED163" i="1" s="1"/>
  <c r="ED180" i="1" s="1"/>
  <c r="ED181" i="1" s="1"/>
  <c r="ED165" i="1" l="1"/>
  <c r="ED166" i="1" s="1"/>
  <c r="EE163" i="1" s="1"/>
  <c r="EE180" i="1" s="1"/>
  <c r="EE181" i="1" s="1"/>
  <c r="EE165" i="1" l="1"/>
  <c r="EE166" i="1" s="1"/>
  <c r="EF163" i="1" s="1"/>
  <c r="EF180" i="1" s="1"/>
  <c r="EF181" i="1" s="1"/>
  <c r="EF165" i="1" l="1"/>
  <c r="EF166" i="1" s="1"/>
  <c r="EG163" i="1" s="1"/>
  <c r="EG180" i="1" s="1"/>
  <c r="EG181" i="1" s="1"/>
  <c r="EG165" i="1" l="1"/>
  <c r="EG166" i="1" s="1"/>
  <c r="EH163" i="1" s="1"/>
  <c r="EH180" i="1" s="1"/>
  <c r="EH181" i="1" s="1"/>
  <c r="EH165" i="1" l="1"/>
  <c r="EH166" i="1" s="1"/>
  <c r="EI163" i="1" s="1"/>
  <c r="EI180" i="1" s="1"/>
  <c r="EI181" i="1" s="1"/>
  <c r="EI165" i="1" l="1"/>
  <c r="EI166" i="1" s="1"/>
  <c r="EJ163" i="1" s="1"/>
  <c r="EJ180" i="1" s="1"/>
  <c r="EJ181" i="1" s="1"/>
  <c r="EJ165" i="1" l="1"/>
  <c r="EJ166" i="1" s="1"/>
  <c r="EK163" i="1" s="1"/>
  <c r="EK180" i="1" s="1"/>
  <c r="EK181" i="1" s="1"/>
  <c r="EK165" i="1" l="1"/>
  <c r="EK166" i="1" s="1"/>
  <c r="EL163" i="1" s="1"/>
  <c r="EL180" i="1" s="1"/>
  <c r="EL181" i="1" s="1"/>
  <c r="EL165" i="1" l="1"/>
  <c r="EL166" i="1" s="1"/>
  <c r="EM163" i="1" s="1"/>
  <c r="EM180" i="1" s="1"/>
  <c r="EM181" i="1" s="1"/>
  <c r="EM165" i="1" l="1"/>
  <c r="EM166" i="1" s="1"/>
  <c r="EN163" i="1" s="1"/>
  <c r="EN180" i="1" s="1"/>
  <c r="EN181" i="1" s="1"/>
  <c r="EN165" i="1" l="1"/>
  <c r="EN166" i="1" s="1"/>
  <c r="EO163" i="1" s="1"/>
  <c r="EO180" i="1" s="1"/>
  <c r="EO181" i="1" s="1"/>
  <c r="EO165" i="1" l="1"/>
  <c r="EO166" i="1" s="1"/>
  <c r="EP163" i="1" s="1"/>
  <c r="EP180" i="1" s="1"/>
  <c r="EP181" i="1" s="1"/>
  <c r="EP165" i="1" l="1"/>
  <c r="EP166" i="1" s="1"/>
  <c r="EQ163" i="1" s="1"/>
  <c r="EQ180" i="1" s="1"/>
  <c r="EQ181" i="1" s="1"/>
  <c r="EQ165" i="1" l="1"/>
  <c r="EQ166" i="1" s="1"/>
  <c r="ER163" i="1" s="1"/>
  <c r="ER180" i="1" s="1"/>
  <c r="ER181" i="1" s="1"/>
  <c r="ER165" i="1" l="1"/>
  <c r="ER166" i="1" s="1"/>
  <c r="ES163" i="1" s="1"/>
  <c r="ES180" i="1" s="1"/>
  <c r="ES181" i="1" s="1"/>
  <c r="ES165" i="1" l="1"/>
  <c r="ES166" i="1" s="1"/>
  <c r="ET163" i="1" s="1"/>
  <c r="ET180" i="1" s="1"/>
  <c r="ET181" i="1" s="1"/>
  <c r="ET165" i="1" l="1"/>
  <c r="ET166" i="1" s="1"/>
  <c r="EU163" i="1" s="1"/>
  <c r="EU180" i="1" s="1"/>
  <c r="EU181" i="1" s="1"/>
  <c r="EU165" i="1" l="1"/>
  <c r="EU166" i="1" s="1"/>
  <c r="EV163" i="1" s="1"/>
  <c r="EV180" i="1" s="1"/>
  <c r="EV181" i="1" s="1"/>
  <c r="EV165" i="1" l="1"/>
  <c r="EV166" i="1" s="1"/>
  <c r="EW163" i="1" s="1"/>
  <c r="EW180" i="1" s="1"/>
  <c r="EW181" i="1" s="1"/>
  <c r="EW165" i="1" l="1"/>
  <c r="EW166" i="1" s="1"/>
  <c r="EX163" i="1" s="1"/>
  <c r="EX180" i="1" s="1"/>
  <c r="EX181" i="1" s="1"/>
  <c r="EX165" i="1" l="1"/>
  <c r="EX166" i="1" s="1"/>
  <c r="EY163" i="1" s="1"/>
  <c r="EY180" i="1" s="1"/>
  <c r="EY181" i="1" s="1"/>
  <c r="EY165" i="1" l="1"/>
  <c r="EY166" i="1" s="1"/>
  <c r="EZ163" i="1" s="1"/>
  <c r="EZ180" i="1" s="1"/>
  <c r="EZ181" i="1" s="1"/>
  <c r="EZ165" i="1" l="1"/>
  <c r="EZ166" i="1" s="1"/>
  <c r="FA163" i="1" s="1"/>
  <c r="FA180" i="1" s="1"/>
  <c r="FA181" i="1" s="1"/>
  <c r="FA165" i="1" l="1"/>
  <c r="FA166" i="1" s="1"/>
  <c r="Z171" i="1"/>
  <c r="Z195" i="1" s="1"/>
  <c r="Z194" i="1" l="1"/>
  <c r="Z196" i="1" s="1"/>
  <c r="Z172" i="1"/>
  <c r="AA169" i="1" s="1"/>
  <c r="AA188" i="1" s="1"/>
  <c r="AA189" i="1" s="1"/>
  <c r="Z92" i="1"/>
  <c r="Z85" i="1"/>
  <c r="Z68" i="1" l="1"/>
  <c r="Z91" i="1" s="1"/>
  <c r="Z93" i="1" s="1"/>
  <c r="Z198" i="1"/>
  <c r="Z141" i="1"/>
  <c r="Z69" i="1" l="1"/>
  <c r="Z74" i="1" s="1"/>
  <c r="Z84" i="1"/>
  <c r="X114" i="1" s="1"/>
  <c r="AA171" i="1"/>
  <c r="AA194" i="1"/>
  <c r="Z142" i="1"/>
  <c r="Z70" i="1" l="1"/>
  <c r="Z71" i="1" s="1"/>
  <c r="AA195" i="1"/>
  <c r="AA196" i="1" s="1"/>
  <c r="AA172" i="1"/>
  <c r="Z75" i="1"/>
  <c r="Z80" i="1" s="1"/>
  <c r="Z83" i="1" s="1"/>
  <c r="Z86" i="1" s="1"/>
  <c r="Z143" i="1"/>
  <c r="Z105" i="1" s="1"/>
  <c r="Z104" i="1"/>
  <c r="AA68" i="1"/>
  <c r="X115" i="1"/>
  <c r="X117" i="1"/>
  <c r="AB169" i="1" l="1"/>
  <c r="AB188" i="1" s="1"/>
  <c r="AB189" i="1" s="1"/>
  <c r="AA69" i="1"/>
  <c r="AA91" i="1"/>
  <c r="AA84" i="1"/>
  <c r="Z76" i="1"/>
  <c r="AA73" i="1" s="1"/>
  <c r="AA198" i="1"/>
  <c r="AA141" i="1"/>
  <c r="X119" i="1"/>
  <c r="X94" i="1"/>
  <c r="AA85" i="1"/>
  <c r="AA92" i="1"/>
  <c r="Y114" i="1" l="1"/>
  <c r="X121" i="1"/>
  <c r="X96" i="1" s="1"/>
  <c r="X97" i="1" s="1"/>
  <c r="AA93" i="1"/>
  <c r="AA74" i="1"/>
  <c r="AA75" i="1" s="1"/>
  <c r="AA80" i="1" s="1"/>
  <c r="AA83" i="1" s="1"/>
  <c r="AA86" i="1" s="1"/>
  <c r="AA70" i="1"/>
  <c r="AA71" i="1" s="1"/>
  <c r="AB171" i="1"/>
  <c r="AB194" i="1"/>
  <c r="AA149" i="1"/>
  <c r="AA107" i="1" s="1"/>
  <c r="AA142" i="1"/>
  <c r="AB195" i="1" l="1"/>
  <c r="AB196" i="1" s="1"/>
  <c r="AB172" i="1"/>
  <c r="AC169" i="1" s="1"/>
  <c r="AC188" i="1" s="1"/>
  <c r="AC189" i="1" s="1"/>
  <c r="X122" i="1"/>
  <c r="AA104" i="1"/>
  <c r="AA143" i="1"/>
  <c r="AA105" i="1" s="1"/>
  <c r="AA76" i="1"/>
  <c r="AB73" i="1" s="1"/>
  <c r="AB68" i="1"/>
  <c r="AB198" i="1" l="1"/>
  <c r="AB141" i="1"/>
  <c r="AB69" i="1"/>
  <c r="AB84" i="1"/>
  <c r="AB91" i="1"/>
  <c r="X98" i="1"/>
  <c r="X99" i="1" s="1"/>
  <c r="Y113" i="1"/>
  <c r="AB92" i="1"/>
  <c r="AB85" i="1"/>
  <c r="Z114" i="1" l="1"/>
  <c r="Y118" i="1"/>
  <c r="Y95" i="1" s="1"/>
  <c r="Y115" i="1"/>
  <c r="Y117" i="1"/>
  <c r="Y94" i="1" s="1"/>
  <c r="AC171" i="1"/>
  <c r="AC194" i="1"/>
  <c r="AB149" i="1"/>
  <c r="AB107" i="1" s="1"/>
  <c r="AB142" i="1"/>
  <c r="X129" i="1"/>
  <c r="AB93" i="1"/>
  <c r="AB70" i="1"/>
  <c r="AB71" i="1" s="1"/>
  <c r="AB74" i="1"/>
  <c r="AC195" i="1" l="1"/>
  <c r="AC196" i="1" s="1"/>
  <c r="AC172" i="1"/>
  <c r="AD169" i="1" s="1"/>
  <c r="AD188" i="1" s="1"/>
  <c r="AD189" i="1" s="1"/>
  <c r="AC68" i="1"/>
  <c r="X100" i="1"/>
  <c r="X101" i="1" s="1"/>
  <c r="X138" i="1" s="1"/>
  <c r="X130" i="1"/>
  <c r="Y125" i="1" s="1"/>
  <c r="Y119" i="1"/>
  <c r="AB75" i="1"/>
  <c r="AB80" i="1" s="1"/>
  <c r="AB83" i="1" s="1"/>
  <c r="AB86" i="1" s="1"/>
  <c r="AB143" i="1"/>
  <c r="AB105" i="1" s="1"/>
  <c r="AB104" i="1"/>
  <c r="AC198" i="1" l="1"/>
  <c r="AC141" i="1"/>
  <c r="AB76" i="1"/>
  <c r="AC73" i="1" s="1"/>
  <c r="AC69" i="1"/>
  <c r="AC91" i="1"/>
  <c r="AC84" i="1"/>
  <c r="Y121" i="1"/>
  <c r="Y96" i="1" s="1"/>
  <c r="Y97" i="1" s="1"/>
  <c r="AC92" i="1"/>
  <c r="AC85" i="1"/>
  <c r="AA114" i="1" l="1"/>
  <c r="AC93" i="1"/>
  <c r="Y122" i="1"/>
  <c r="Y98" i="1" s="1"/>
  <c r="Y99" i="1" s="1"/>
  <c r="AC70" i="1"/>
  <c r="AC71" i="1" s="1"/>
  <c r="AC74" i="1"/>
  <c r="AC75" i="1" s="1"/>
  <c r="AC80" i="1" s="1"/>
  <c r="AC83" i="1" s="1"/>
  <c r="AC86" i="1" s="1"/>
  <c r="AD171" i="1"/>
  <c r="AD194" i="1"/>
  <c r="AC149" i="1"/>
  <c r="AC107" i="1" s="1"/>
  <c r="X102" i="1"/>
  <c r="X103" i="1" s="1"/>
  <c r="X144" i="1" s="1"/>
  <c r="X139" i="1"/>
  <c r="Y133" i="1" s="1"/>
  <c r="Z113" i="1" l="1"/>
  <c r="Z115" i="1" s="1"/>
  <c r="X148" i="1"/>
  <c r="X150" i="1" s="1"/>
  <c r="Y147" i="1" s="1"/>
  <c r="X106" i="1"/>
  <c r="X108" i="1" s="1"/>
  <c r="X204" i="1" s="1"/>
  <c r="Y129" i="1"/>
  <c r="AC76" i="1"/>
  <c r="AD73" i="1" s="1"/>
  <c r="Y137" i="1"/>
  <c r="X145" i="1"/>
  <c r="AD68" i="1"/>
  <c r="AD195" i="1"/>
  <c r="AD196" i="1" s="1"/>
  <c r="AD172" i="1"/>
  <c r="AE169" i="1" s="1"/>
  <c r="AE188" i="1" s="1"/>
  <c r="AE189" i="1" s="1"/>
  <c r="Z117" i="1" l="1"/>
  <c r="Z94" i="1" s="1"/>
  <c r="Z118" i="1"/>
  <c r="Z95" i="1" s="1"/>
  <c r="AD141" i="1"/>
  <c r="AD198" i="1"/>
  <c r="X210" i="1"/>
  <c r="AD69" i="1"/>
  <c r="AD84" i="1"/>
  <c r="AD91" i="1"/>
  <c r="Y100" i="1"/>
  <c r="Y101" i="1" s="1"/>
  <c r="Y138" i="1" s="1"/>
  <c r="Y130" i="1"/>
  <c r="Z125" i="1" s="1"/>
  <c r="AD85" i="1"/>
  <c r="AD92" i="1"/>
  <c r="AD93" i="1" l="1"/>
  <c r="Z119" i="1"/>
  <c r="Z121" i="1" s="1"/>
  <c r="Z96" i="1" s="1"/>
  <c r="Z97" i="1" s="1"/>
  <c r="AB114" i="1"/>
  <c r="AD74" i="1"/>
  <c r="AD70" i="1"/>
  <c r="AD71" i="1" s="1"/>
  <c r="AE171" i="1"/>
  <c r="AE194" i="1"/>
  <c r="AD142" i="1"/>
  <c r="AD75" i="1" l="1"/>
  <c r="AD80" i="1" s="1"/>
  <c r="AD83" i="1" s="1"/>
  <c r="AD86" i="1" s="1"/>
  <c r="Y102" i="1"/>
  <c r="Y103" i="1" s="1"/>
  <c r="Y142" i="1" s="1"/>
  <c r="Y104" i="1" s="1"/>
  <c r="Y139" i="1"/>
  <c r="Z133" i="1" s="1"/>
  <c r="Z122" i="1"/>
  <c r="AD104" i="1"/>
  <c r="AD143" i="1"/>
  <c r="AD105" i="1" s="1"/>
  <c r="AE68" i="1"/>
  <c r="AE195" i="1"/>
  <c r="AE196" i="1" s="1"/>
  <c r="AE172" i="1"/>
  <c r="AF169" i="1" l="1"/>
  <c r="AF188" i="1" s="1"/>
  <c r="AF189" i="1" s="1"/>
  <c r="AD76" i="1"/>
  <c r="AE73" i="1" s="1"/>
  <c r="AE198" i="1"/>
  <c r="AE141" i="1"/>
  <c r="AE69" i="1"/>
  <c r="AE91" i="1"/>
  <c r="AE84" i="1"/>
  <c r="Z98" i="1"/>
  <c r="Z99" i="1" s="1"/>
  <c r="AA113" i="1"/>
  <c r="Z137" i="1"/>
  <c r="Y143" i="1"/>
  <c r="AE85" i="1"/>
  <c r="AE92" i="1"/>
  <c r="AC114" i="1" l="1"/>
  <c r="Z129" i="1"/>
  <c r="AE93" i="1"/>
  <c r="AE74" i="1"/>
  <c r="AE70" i="1"/>
  <c r="AE71" i="1" s="1"/>
  <c r="AF171" i="1"/>
  <c r="AF194" i="1"/>
  <c r="AE149" i="1"/>
  <c r="AE107" i="1" s="1"/>
  <c r="AE142" i="1"/>
  <c r="Y105" i="1"/>
  <c r="Y144" i="1"/>
  <c r="AA118" i="1"/>
  <c r="AA95" i="1" s="1"/>
  <c r="AA117" i="1"/>
  <c r="AA94" i="1" s="1"/>
  <c r="AA115" i="1"/>
  <c r="AE104" i="1" l="1"/>
  <c r="AE143" i="1"/>
  <c r="AE105" i="1" s="1"/>
  <c r="AF68" i="1"/>
  <c r="AF195" i="1"/>
  <c r="AF196" i="1" s="1"/>
  <c r="AF172" i="1"/>
  <c r="AG169" i="1" s="1"/>
  <c r="AG188" i="1" s="1"/>
  <c r="AG189" i="1" s="1"/>
  <c r="Z100" i="1"/>
  <c r="Z101" i="1" s="1"/>
  <c r="Z138" i="1" s="1"/>
  <c r="Z130" i="1"/>
  <c r="AA125" i="1" s="1"/>
  <c r="AA119" i="1"/>
  <c r="W210" i="1"/>
  <c r="AE75" i="1"/>
  <c r="AE80" i="1" s="1"/>
  <c r="AE83" i="1" s="1"/>
  <c r="AE86" i="1" s="1"/>
  <c r="Y148" i="1"/>
  <c r="Y150" i="1" s="1"/>
  <c r="Z147" i="1" s="1"/>
  <c r="Y106" i="1"/>
  <c r="Y108" i="1" s="1"/>
  <c r="Y204" i="1" s="1"/>
  <c r="Y145" i="1"/>
  <c r="AE76" i="1" l="1"/>
  <c r="AF73" i="1" s="1"/>
  <c r="Y210" i="1"/>
  <c r="AF85" i="1"/>
  <c r="AF92" i="1"/>
  <c r="AF69" i="1"/>
  <c r="AF91" i="1"/>
  <c r="AF84" i="1"/>
  <c r="AF198" i="1"/>
  <c r="AF141" i="1"/>
  <c r="AA121" i="1"/>
  <c r="AA96" i="1" s="1"/>
  <c r="AA97" i="1" s="1"/>
  <c r="AD114" i="1" l="1"/>
  <c r="Z102" i="1"/>
  <c r="Z103" i="1" s="1"/>
  <c r="Z144" i="1" s="1"/>
  <c r="Z139" i="1"/>
  <c r="AA133" i="1" s="1"/>
  <c r="AA122" i="1"/>
  <c r="AG171" i="1"/>
  <c r="AG194" i="1"/>
  <c r="AF93" i="1"/>
  <c r="AF142" i="1"/>
  <c r="AF149" i="1"/>
  <c r="AF107" i="1" s="1"/>
  <c r="AF70" i="1"/>
  <c r="AF71" i="1" s="1"/>
  <c r="AF74" i="1"/>
  <c r="Z106" i="1" l="1"/>
  <c r="Z148" i="1"/>
  <c r="AG195" i="1"/>
  <c r="AG196" i="1" s="1"/>
  <c r="AG172" i="1"/>
  <c r="AH169" i="1" s="1"/>
  <c r="AH188" i="1" s="1"/>
  <c r="AH189" i="1" s="1"/>
  <c r="AA98" i="1"/>
  <c r="AA99" i="1" s="1"/>
  <c r="AB113" i="1"/>
  <c r="AF143" i="1"/>
  <c r="AF105" i="1" s="1"/>
  <c r="AF104" i="1"/>
  <c r="AA137" i="1"/>
  <c r="AF75" i="1"/>
  <c r="AF80" i="1" s="1"/>
  <c r="AF83" i="1" s="1"/>
  <c r="AF86" i="1" s="1"/>
  <c r="AG68" i="1"/>
  <c r="Z145" i="1"/>
  <c r="Z149" i="1" l="1"/>
  <c r="Z107" i="1" s="1"/>
  <c r="Z108" i="1" s="1"/>
  <c r="AG198" i="1"/>
  <c r="AG141" i="1"/>
  <c r="AG69" i="1"/>
  <c r="AG84" i="1"/>
  <c r="AG91" i="1"/>
  <c r="AB118" i="1"/>
  <c r="AB95" i="1" s="1"/>
  <c r="AB115" i="1"/>
  <c r="AB117" i="1"/>
  <c r="AB94" i="1" s="1"/>
  <c r="AA129" i="1"/>
  <c r="AF76" i="1"/>
  <c r="AG73" i="1" s="1"/>
  <c r="AG92" i="1"/>
  <c r="AG85" i="1"/>
  <c r="Z204" i="1" l="1"/>
  <c r="Z210" i="1" s="1"/>
  <c r="AE114" i="1"/>
  <c r="Z150" i="1"/>
  <c r="AA147" i="1" s="1"/>
  <c r="AG149" i="1"/>
  <c r="AG107" i="1" s="1"/>
  <c r="AA100" i="1"/>
  <c r="AA101" i="1" s="1"/>
  <c r="AA138" i="1" s="1"/>
  <c r="AA130" i="1"/>
  <c r="AB125" i="1" s="1"/>
  <c r="AG70" i="1"/>
  <c r="AG71" i="1" s="1"/>
  <c r="AG74" i="1"/>
  <c r="AG75" i="1" s="1"/>
  <c r="AG80" i="1" s="1"/>
  <c r="AG83" i="1" s="1"/>
  <c r="AG86" i="1" s="1"/>
  <c r="AH171" i="1"/>
  <c r="AH194" i="1"/>
  <c r="AB119" i="1"/>
  <c r="AG93" i="1"/>
  <c r="AB121" i="1" l="1"/>
  <c r="AB96" i="1" s="1"/>
  <c r="AB97" i="1" s="1"/>
  <c r="AH68" i="1"/>
  <c r="AG76" i="1"/>
  <c r="AH73" i="1" s="1"/>
  <c r="AH195" i="1"/>
  <c r="AH172" i="1"/>
  <c r="AI169" i="1" s="1"/>
  <c r="AI188" i="1" s="1"/>
  <c r="AI189" i="1" s="1"/>
  <c r="AB122" i="1" l="1"/>
  <c r="AH85" i="1"/>
  <c r="AH92" i="1"/>
  <c r="AH69" i="1"/>
  <c r="AH91" i="1"/>
  <c r="AH84" i="1"/>
  <c r="AH196" i="1"/>
  <c r="AA102" i="1"/>
  <c r="AA103" i="1" s="1"/>
  <c r="AA144" i="1" s="1"/>
  <c r="AA139" i="1"/>
  <c r="AB133" i="1" s="1"/>
  <c r="AH93" i="1" l="1"/>
  <c r="AF114" i="1"/>
  <c r="AA106" i="1"/>
  <c r="AA108" i="1" s="1"/>
  <c r="AA204" i="1" s="1"/>
  <c r="AA148" i="1"/>
  <c r="AA150" i="1" s="1"/>
  <c r="AB147" i="1" s="1"/>
  <c r="AA145" i="1"/>
  <c r="AH198" i="1"/>
  <c r="AH141" i="1"/>
  <c r="AI171" i="1"/>
  <c r="AI194" i="1"/>
  <c r="AH70" i="1"/>
  <c r="AH71" i="1" s="1"/>
  <c r="AH74" i="1"/>
  <c r="AB137" i="1"/>
  <c r="AB98" i="1"/>
  <c r="AB99" i="1" s="1"/>
  <c r="AC113" i="1"/>
  <c r="AI195" i="1" l="1"/>
  <c r="AI196" i="1" s="1"/>
  <c r="AI172" i="1"/>
  <c r="AH75" i="1"/>
  <c r="AH80" i="1" s="1"/>
  <c r="AH83" i="1" s="1"/>
  <c r="AH86" i="1" s="1"/>
  <c r="AI68" i="1"/>
  <c r="AH142" i="1"/>
  <c r="AC118" i="1"/>
  <c r="AC95" i="1" s="1"/>
  <c r="AC117" i="1"/>
  <c r="AC94" i="1" s="1"/>
  <c r="AC115" i="1"/>
  <c r="AB129" i="1"/>
  <c r="AA210" i="1"/>
  <c r="AJ169" i="1" l="1"/>
  <c r="AJ188" i="1" s="1"/>
  <c r="AJ189" i="1" s="1"/>
  <c r="AI84" i="1"/>
  <c r="AI69" i="1"/>
  <c r="AI91" i="1"/>
  <c r="AH76" i="1"/>
  <c r="AI73" i="1" s="1"/>
  <c r="AC119" i="1"/>
  <c r="AH143" i="1"/>
  <c r="AH105" i="1" s="1"/>
  <c r="AH104" i="1"/>
  <c r="AI92" i="1"/>
  <c r="AI85" i="1"/>
  <c r="AB100" i="1"/>
  <c r="AB101" i="1" s="1"/>
  <c r="AB138" i="1" s="1"/>
  <c r="AB130" i="1"/>
  <c r="AC125" i="1" s="1"/>
  <c r="AI141" i="1"/>
  <c r="AI198" i="1"/>
  <c r="AG114" i="1" l="1"/>
  <c r="AI149" i="1"/>
  <c r="AI107" i="1" s="1"/>
  <c r="AI142" i="1"/>
  <c r="AJ171" i="1"/>
  <c r="AJ194" i="1"/>
  <c r="AC121" i="1"/>
  <c r="AC96" i="1" s="1"/>
  <c r="AC97" i="1" s="1"/>
  <c r="AI93" i="1"/>
  <c r="AI74" i="1"/>
  <c r="AI75" i="1" s="1"/>
  <c r="AI70" i="1"/>
  <c r="AI71" i="1" s="1"/>
  <c r="AI80" i="1" l="1"/>
  <c r="AI83" i="1" s="1"/>
  <c r="AI86" i="1" s="1"/>
  <c r="AI76" i="1"/>
  <c r="AJ73" i="1" s="1"/>
  <c r="AJ68" i="1"/>
  <c r="AJ195" i="1"/>
  <c r="AJ172" i="1"/>
  <c r="AK169" i="1" s="1"/>
  <c r="AK188" i="1" s="1"/>
  <c r="AK189" i="1" s="1"/>
  <c r="AB102" i="1"/>
  <c r="AB103" i="1" s="1"/>
  <c r="AB144" i="1" s="1"/>
  <c r="AB139" i="1"/>
  <c r="AC133" i="1" s="1"/>
  <c r="AC122" i="1"/>
  <c r="AI143" i="1"/>
  <c r="AI105" i="1" s="1"/>
  <c r="AI104" i="1"/>
  <c r="AB106" i="1" l="1"/>
  <c r="AB108" i="1" s="1"/>
  <c r="AB204" i="1" s="1"/>
  <c r="AB148" i="1"/>
  <c r="AB150" i="1" s="1"/>
  <c r="AC147" i="1" s="1"/>
  <c r="AJ92" i="1"/>
  <c r="AJ85" i="1"/>
  <c r="AJ69" i="1"/>
  <c r="AJ91" i="1"/>
  <c r="AJ84" i="1"/>
  <c r="AJ196" i="1"/>
  <c r="AC137" i="1"/>
  <c r="AB145" i="1"/>
  <c r="AC98" i="1"/>
  <c r="AC99" i="1" s="1"/>
  <c r="AD113" i="1"/>
  <c r="AJ93" i="1" l="1"/>
  <c r="AH114" i="1"/>
  <c r="AJ74" i="1"/>
  <c r="AJ70" i="1"/>
  <c r="AJ71" i="1" s="1"/>
  <c r="AC129" i="1"/>
  <c r="AJ198" i="1"/>
  <c r="AJ141" i="1"/>
  <c r="AK171" i="1"/>
  <c r="AK194" i="1"/>
  <c r="AB210" i="1"/>
  <c r="AD118" i="1"/>
  <c r="AD95" i="1" s="1"/>
  <c r="AD117" i="1"/>
  <c r="AD94" i="1" s="1"/>
  <c r="AD115" i="1"/>
  <c r="AK195" i="1" l="1"/>
  <c r="AK196" i="1" s="1"/>
  <c r="AK172" i="1"/>
  <c r="AL169" i="1" s="1"/>
  <c r="AL188" i="1" s="1"/>
  <c r="AL189" i="1" s="1"/>
  <c r="AJ149" i="1"/>
  <c r="AJ107" i="1" s="1"/>
  <c r="AJ142" i="1"/>
  <c r="AJ75" i="1"/>
  <c r="AJ80" i="1" s="1"/>
  <c r="AJ83" i="1" s="1"/>
  <c r="AJ86" i="1" s="1"/>
  <c r="AK68" i="1"/>
  <c r="AC100" i="1"/>
  <c r="AC101" i="1" s="1"/>
  <c r="AC138" i="1" s="1"/>
  <c r="AC130" i="1"/>
  <c r="AD125" i="1" s="1"/>
  <c r="AD119" i="1"/>
  <c r="AJ143" i="1" l="1"/>
  <c r="AJ105" i="1" s="1"/>
  <c r="AJ104" i="1"/>
  <c r="AD121" i="1"/>
  <c r="AD96" i="1" s="1"/>
  <c r="AD97" i="1" s="1"/>
  <c r="AK198" i="1"/>
  <c r="AK141" i="1"/>
  <c r="AJ76" i="1"/>
  <c r="AK73" i="1" s="1"/>
  <c r="AK69" i="1"/>
  <c r="AK91" i="1"/>
  <c r="AK84" i="1"/>
  <c r="AK85" i="1"/>
  <c r="AK92" i="1"/>
  <c r="AI114" i="1" l="1"/>
  <c r="AD122" i="1"/>
  <c r="AD98" i="1" s="1"/>
  <c r="AD99" i="1" s="1"/>
  <c r="AK93" i="1"/>
  <c r="AK149" i="1"/>
  <c r="AK107" i="1" s="1"/>
  <c r="AK70" i="1"/>
  <c r="AK71" i="1" s="1"/>
  <c r="AK74" i="1"/>
  <c r="AK75" i="1" s="1"/>
  <c r="AK80" i="1" s="1"/>
  <c r="AK83" i="1" s="1"/>
  <c r="AK86" i="1" s="1"/>
  <c r="AL171" i="1"/>
  <c r="AL194" i="1"/>
  <c r="AC102" i="1"/>
  <c r="AC103" i="1" s="1"/>
  <c r="AC142" i="1" s="1"/>
  <c r="AC139" i="1"/>
  <c r="AD133" i="1" s="1"/>
  <c r="AE113" i="1" l="1"/>
  <c r="AE117" i="1" s="1"/>
  <c r="AE94" i="1" s="1"/>
  <c r="AC143" i="1"/>
  <c r="AC105" i="1" s="1"/>
  <c r="AC104" i="1"/>
  <c r="AK76" i="1"/>
  <c r="AL73" i="1" s="1"/>
  <c r="AD129" i="1"/>
  <c r="AD137" i="1"/>
  <c r="AL68" i="1"/>
  <c r="AL195" i="1"/>
  <c r="AL196" i="1" s="1"/>
  <c r="AL172" i="1"/>
  <c r="AM169" i="1" s="1"/>
  <c r="AM188" i="1" s="1"/>
  <c r="AM189" i="1" s="1"/>
  <c r="AE115" i="1" l="1"/>
  <c r="AE118" i="1"/>
  <c r="AE95" i="1" s="1"/>
  <c r="AC144" i="1"/>
  <c r="AC145" i="1" s="1"/>
  <c r="AL198" i="1"/>
  <c r="AL141" i="1"/>
  <c r="AL69" i="1"/>
  <c r="AL84" i="1"/>
  <c r="AL91" i="1"/>
  <c r="AD100" i="1"/>
  <c r="AD101" i="1" s="1"/>
  <c r="AD138" i="1" s="1"/>
  <c r="AD130" i="1"/>
  <c r="AE125" i="1" s="1"/>
  <c r="AL85" i="1"/>
  <c r="AL92" i="1"/>
  <c r="AE119" i="1" l="1"/>
  <c r="AE121" i="1" s="1"/>
  <c r="AE96" i="1" s="1"/>
  <c r="AE97" i="1" s="1"/>
  <c r="AC148" i="1"/>
  <c r="AC150" i="1" s="1"/>
  <c r="AD147" i="1" s="1"/>
  <c r="AC106" i="1"/>
  <c r="AC108" i="1" s="1"/>
  <c r="AJ114" i="1"/>
  <c r="AM171" i="1"/>
  <c r="AM194" i="1"/>
  <c r="AL93" i="1"/>
  <c r="AL74" i="1"/>
  <c r="AL70" i="1"/>
  <c r="AL71" i="1" s="1"/>
  <c r="AL142" i="1"/>
  <c r="AC204" i="1" l="1"/>
  <c r="AC210" i="1" s="1"/>
  <c r="AD102" i="1"/>
  <c r="AD103" i="1" s="1"/>
  <c r="AD144" i="1" s="1"/>
  <c r="AD139" i="1"/>
  <c r="AE133" i="1" s="1"/>
  <c r="AM68" i="1"/>
  <c r="AL143" i="1"/>
  <c r="AL105" i="1" s="1"/>
  <c r="AL104" i="1"/>
  <c r="AM195" i="1"/>
  <c r="AM196" i="1" s="1"/>
  <c r="AM172" i="1"/>
  <c r="AE122" i="1"/>
  <c r="AL75" i="1"/>
  <c r="AL80" i="1" s="1"/>
  <c r="AL83" i="1" s="1"/>
  <c r="AL86" i="1" s="1"/>
  <c r="AN169" i="1" l="1"/>
  <c r="AN188" i="1" s="1"/>
  <c r="AN189" i="1" s="1"/>
  <c r="AM209" i="1"/>
  <c r="AD148" i="1"/>
  <c r="AD106" i="1"/>
  <c r="AM198" i="1"/>
  <c r="AM141" i="1"/>
  <c r="AM69" i="1"/>
  <c r="AM84" i="1"/>
  <c r="AM91" i="1"/>
  <c r="AL76" i="1"/>
  <c r="AM73" i="1" s="1"/>
  <c r="AE137" i="1"/>
  <c r="AM92" i="1"/>
  <c r="AM85" i="1"/>
  <c r="AE98" i="1"/>
  <c r="AE99" i="1" s="1"/>
  <c r="AF113" i="1"/>
  <c r="AD145" i="1"/>
  <c r="AK114" i="1" l="1"/>
  <c r="AD149" i="1"/>
  <c r="AD107" i="1" s="1"/>
  <c r="AD108" i="1" s="1"/>
  <c r="AM93" i="1"/>
  <c r="AM74" i="1"/>
  <c r="AM75" i="1" s="1"/>
  <c r="AM80" i="1" s="1"/>
  <c r="AM83" i="1" s="1"/>
  <c r="AM86" i="1" s="1"/>
  <c r="AM70" i="1"/>
  <c r="AM71" i="1" s="1"/>
  <c r="AN171" i="1"/>
  <c r="AN194" i="1"/>
  <c r="AM149" i="1"/>
  <c r="AM107" i="1" s="1"/>
  <c r="AM142" i="1"/>
  <c r="AF118" i="1"/>
  <c r="AF95" i="1" s="1"/>
  <c r="AF115" i="1"/>
  <c r="AF117" i="1"/>
  <c r="AF94" i="1" s="1"/>
  <c r="AE129" i="1"/>
  <c r="AD204" i="1" l="1"/>
  <c r="AD210" i="1" s="1"/>
  <c r="AD150" i="1"/>
  <c r="AE147" i="1" s="1"/>
  <c r="AM76" i="1"/>
  <c r="AN73" i="1" s="1"/>
  <c r="AE100" i="1"/>
  <c r="AE101" i="1" s="1"/>
  <c r="AE138" i="1" s="1"/>
  <c r="AE130" i="1"/>
  <c r="AF125" i="1" s="1"/>
  <c r="AN68" i="1"/>
  <c r="AF119" i="1"/>
  <c r="AN195" i="1"/>
  <c r="AN196" i="1" s="1"/>
  <c r="AN172" i="1"/>
  <c r="AO169" i="1" s="1"/>
  <c r="AO188" i="1" s="1"/>
  <c r="AO189" i="1" s="1"/>
  <c r="AM143" i="1"/>
  <c r="AM105" i="1" s="1"/>
  <c r="AM104" i="1"/>
  <c r="AN198" i="1" l="1"/>
  <c r="AN141" i="1"/>
  <c r="AN69" i="1"/>
  <c r="AN84" i="1"/>
  <c r="AN91" i="1"/>
  <c r="AN92" i="1"/>
  <c r="AN85" i="1"/>
  <c r="AF121" i="1"/>
  <c r="AF96" i="1" s="1"/>
  <c r="AF97" i="1" s="1"/>
  <c r="AL114" i="1" l="1"/>
  <c r="AO171" i="1"/>
  <c r="AO194" i="1"/>
  <c r="AN70" i="1"/>
  <c r="AN71" i="1" s="1"/>
  <c r="AN74" i="1"/>
  <c r="AN93" i="1"/>
  <c r="AE102" i="1"/>
  <c r="AE103" i="1" s="1"/>
  <c r="AE144" i="1" s="1"/>
  <c r="AE139" i="1"/>
  <c r="AF133" i="1" s="1"/>
  <c r="AF122" i="1"/>
  <c r="AN149" i="1"/>
  <c r="AN107" i="1" s="1"/>
  <c r="AN142" i="1"/>
  <c r="AE106" i="1" l="1"/>
  <c r="AE108" i="1" s="1"/>
  <c r="AE148" i="1"/>
  <c r="AE150" i="1" s="1"/>
  <c r="AF147" i="1" s="1"/>
  <c r="AN75" i="1"/>
  <c r="AN80" i="1" s="1"/>
  <c r="AN83" i="1" s="1"/>
  <c r="AN86" i="1" s="1"/>
  <c r="AN143" i="1"/>
  <c r="AN105" i="1" s="1"/>
  <c r="AN104" i="1"/>
  <c r="AF98" i="1"/>
  <c r="AF99" i="1" s="1"/>
  <c r="AG113" i="1"/>
  <c r="AO68" i="1"/>
  <c r="AO195" i="1"/>
  <c r="AO196" i="1" s="1"/>
  <c r="AO172" i="1"/>
  <c r="AP169" i="1" s="1"/>
  <c r="AP188" i="1" s="1"/>
  <c r="AP189" i="1" s="1"/>
  <c r="AF137" i="1"/>
  <c r="AE145" i="1"/>
  <c r="AE204" i="1" l="1"/>
  <c r="AE210" i="1" s="1"/>
  <c r="AO85" i="1"/>
  <c r="AO92" i="1"/>
  <c r="AO198" i="1"/>
  <c r="AO141" i="1"/>
  <c r="AO69" i="1"/>
  <c r="AO91" i="1"/>
  <c r="AO84" i="1"/>
  <c r="AG118" i="1"/>
  <c r="AG95" i="1" s="1"/>
  <c r="AG117" i="1"/>
  <c r="AG94" i="1" s="1"/>
  <c r="AG115" i="1"/>
  <c r="AN76" i="1"/>
  <c r="AO73" i="1" s="1"/>
  <c r="AF129" i="1"/>
  <c r="AM114" i="1" l="1"/>
  <c r="AO93" i="1"/>
  <c r="AG119" i="1"/>
  <c r="AF100" i="1"/>
  <c r="AF101" i="1" s="1"/>
  <c r="AF138" i="1" s="1"/>
  <c r="AF130" i="1"/>
  <c r="AG125" i="1" s="1"/>
  <c r="AO74" i="1"/>
  <c r="AO75" i="1" s="1"/>
  <c r="AO76" i="1" s="1"/>
  <c r="AP73" i="1" s="1"/>
  <c r="AO70" i="1"/>
  <c r="AO71" i="1" s="1"/>
  <c r="AP171" i="1"/>
  <c r="AP194" i="1"/>
  <c r="AO149" i="1"/>
  <c r="AO107" i="1" s="1"/>
  <c r="AP195" i="1" l="1"/>
  <c r="AP196" i="1" s="1"/>
  <c r="AP172" i="1"/>
  <c r="AQ169" i="1" s="1"/>
  <c r="AQ188" i="1" s="1"/>
  <c r="AQ189" i="1" s="1"/>
  <c r="AP68" i="1"/>
  <c r="AO80" i="1"/>
  <c r="AO83" i="1" s="1"/>
  <c r="AO86" i="1" s="1"/>
  <c r="AG121" i="1"/>
  <c r="AG96" i="1" s="1"/>
  <c r="AG97" i="1" s="1"/>
  <c r="AP141" i="1" l="1"/>
  <c r="AP198" i="1"/>
  <c r="AP92" i="1"/>
  <c r="AP85" i="1"/>
  <c r="AF102" i="1"/>
  <c r="AF103" i="1" s="1"/>
  <c r="AF144" i="1" s="1"/>
  <c r="AF139" i="1"/>
  <c r="AG133" i="1" s="1"/>
  <c r="AG122" i="1"/>
  <c r="AP69" i="1"/>
  <c r="AP91" i="1"/>
  <c r="AP84" i="1"/>
  <c r="AN114" i="1" l="1"/>
  <c r="AF148" i="1"/>
  <c r="AF150" i="1" s="1"/>
  <c r="AG147" i="1" s="1"/>
  <c r="AF106" i="1"/>
  <c r="AF108" i="1" s="1"/>
  <c r="AP93" i="1"/>
  <c r="AP74" i="1"/>
  <c r="AP70" i="1"/>
  <c r="AP71" i="1" s="1"/>
  <c r="AG98" i="1"/>
  <c r="AG99" i="1" s="1"/>
  <c r="AH113" i="1"/>
  <c r="AG137" i="1"/>
  <c r="AQ171" i="1"/>
  <c r="AQ194" i="1"/>
  <c r="AF145" i="1"/>
  <c r="AP142" i="1"/>
  <c r="AP149" i="1"/>
  <c r="AP107" i="1" s="1"/>
  <c r="AF204" i="1" l="1"/>
  <c r="AF210" i="1" s="1"/>
  <c r="AQ195" i="1"/>
  <c r="AQ196" i="1" s="1"/>
  <c r="AQ172" i="1"/>
  <c r="AP143" i="1"/>
  <c r="AP105" i="1" s="1"/>
  <c r="AP104" i="1"/>
  <c r="AG129" i="1"/>
  <c r="AH118" i="1"/>
  <c r="AH95" i="1" s="1"/>
  <c r="AH117" i="1"/>
  <c r="AH94" i="1" s="1"/>
  <c r="AH115" i="1"/>
  <c r="AQ68" i="1"/>
  <c r="AP75" i="1"/>
  <c r="AP80" i="1" s="1"/>
  <c r="AP83" i="1" s="1"/>
  <c r="AP86" i="1" s="1"/>
  <c r="AR169" i="1" l="1"/>
  <c r="AR188" i="1" s="1"/>
  <c r="AR189" i="1" s="1"/>
  <c r="AQ209" i="1"/>
  <c r="AH119" i="1"/>
  <c r="AP76" i="1"/>
  <c r="AQ73" i="1" s="1"/>
  <c r="AG100" i="1"/>
  <c r="AG101" i="1" s="1"/>
  <c r="AG138" i="1" s="1"/>
  <c r="AG130" i="1"/>
  <c r="AH125" i="1" s="1"/>
  <c r="AQ141" i="1"/>
  <c r="AQ198" i="1"/>
  <c r="AQ69" i="1"/>
  <c r="AQ84" i="1"/>
  <c r="AQ91" i="1"/>
  <c r="AQ85" i="1"/>
  <c r="AQ92" i="1"/>
  <c r="AO114" i="1" l="1"/>
  <c r="AQ149" i="1"/>
  <c r="AQ107" i="1" s="1"/>
  <c r="AQ142" i="1"/>
  <c r="AH121" i="1"/>
  <c r="AH96" i="1" s="1"/>
  <c r="AH97" i="1" s="1"/>
  <c r="AQ70" i="1"/>
  <c r="AQ71" i="1" s="1"/>
  <c r="AQ74" i="1"/>
  <c r="AR171" i="1"/>
  <c r="AR194" i="1"/>
  <c r="AQ93" i="1"/>
  <c r="AH122" i="1" l="1"/>
  <c r="AH98" i="1" s="1"/>
  <c r="AH99" i="1" s="1"/>
  <c r="AQ104" i="1"/>
  <c r="AQ143" i="1"/>
  <c r="AQ105" i="1" s="1"/>
  <c r="AR68" i="1"/>
  <c r="AQ75" i="1"/>
  <c r="AQ80" i="1" s="1"/>
  <c r="AQ83" i="1" s="1"/>
  <c r="AQ86" i="1" s="1"/>
  <c r="AR195" i="1"/>
  <c r="AR196" i="1" s="1"/>
  <c r="AR172" i="1"/>
  <c r="AS169" i="1" s="1"/>
  <c r="AS188" i="1" s="1"/>
  <c r="AS189" i="1" s="1"/>
  <c r="AG102" i="1"/>
  <c r="AG103" i="1" s="1"/>
  <c r="AG142" i="1" s="1"/>
  <c r="AG139" i="1"/>
  <c r="AH133" i="1" s="1"/>
  <c r="AI113" i="1" l="1"/>
  <c r="AI115" i="1" s="1"/>
  <c r="AG143" i="1"/>
  <c r="AG105" i="1" s="1"/>
  <c r="AG104" i="1"/>
  <c r="AR198" i="1"/>
  <c r="AR141" i="1"/>
  <c r="AH137" i="1"/>
  <c r="AR69" i="1"/>
  <c r="AR84" i="1"/>
  <c r="AR91" i="1"/>
  <c r="AH129" i="1"/>
  <c r="AR85" i="1"/>
  <c r="AR92" i="1"/>
  <c r="AQ76" i="1"/>
  <c r="AR73" i="1" s="1"/>
  <c r="AI118" i="1" l="1"/>
  <c r="AI95" i="1" s="1"/>
  <c r="AI117" i="1"/>
  <c r="AI94" i="1" s="1"/>
  <c r="AP114" i="1"/>
  <c r="AG144" i="1"/>
  <c r="AG106" i="1" s="1"/>
  <c r="AG108" i="1" s="1"/>
  <c r="AR93" i="1"/>
  <c r="AH100" i="1"/>
  <c r="AH101" i="1" s="1"/>
  <c r="AH138" i="1" s="1"/>
  <c r="AH130" i="1"/>
  <c r="AI125" i="1" s="1"/>
  <c r="AR74" i="1"/>
  <c r="AR75" i="1" s="1"/>
  <c r="AR80" i="1" s="1"/>
  <c r="AR83" i="1" s="1"/>
  <c r="AR86" i="1" s="1"/>
  <c r="AR70" i="1"/>
  <c r="AR71" i="1" s="1"/>
  <c r="AR149" i="1"/>
  <c r="AR107" i="1" s="1"/>
  <c r="AR142" i="1"/>
  <c r="AS171" i="1"/>
  <c r="AS194" i="1"/>
  <c r="AI119" i="1" l="1"/>
  <c r="AI121" i="1" s="1"/>
  <c r="AI96" i="1" s="1"/>
  <c r="AI97" i="1" s="1"/>
  <c r="AG204" i="1"/>
  <c r="AG210" i="1" s="1"/>
  <c r="AG148" i="1"/>
  <c r="AG150" i="1" s="1"/>
  <c r="AH147" i="1" s="1"/>
  <c r="AG145" i="1"/>
  <c r="AS68" i="1"/>
  <c r="AR143" i="1"/>
  <c r="AR105" i="1" s="1"/>
  <c r="AR104" i="1"/>
  <c r="AR76" i="1"/>
  <c r="AS73" i="1" s="1"/>
  <c r="AS195" i="1"/>
  <c r="AS172" i="1"/>
  <c r="AT169" i="1" s="1"/>
  <c r="AT188" i="1" s="1"/>
  <c r="AT189" i="1" s="1"/>
  <c r="AH102" i="1" l="1"/>
  <c r="AH103" i="1" s="1"/>
  <c r="AH144" i="1" s="1"/>
  <c r="AH139" i="1"/>
  <c r="AI133" i="1" s="1"/>
  <c r="AS92" i="1"/>
  <c r="AS85" i="1"/>
  <c r="AS196" i="1"/>
  <c r="AI122" i="1"/>
  <c r="AS69" i="1"/>
  <c r="AS84" i="1"/>
  <c r="AS91" i="1"/>
  <c r="AQ114" i="1" l="1"/>
  <c r="AH106" i="1"/>
  <c r="AH148" i="1"/>
  <c r="AS93" i="1"/>
  <c r="AT171" i="1"/>
  <c r="AT194" i="1"/>
  <c r="AS74" i="1"/>
  <c r="AS70" i="1"/>
  <c r="AS71" i="1" s="1"/>
  <c r="AS198" i="1"/>
  <c r="AS141" i="1"/>
  <c r="AI137" i="1"/>
  <c r="AI98" i="1"/>
  <c r="AI99" i="1" s="1"/>
  <c r="AJ113" i="1"/>
  <c r="AH145" i="1"/>
  <c r="AH149" i="1" l="1"/>
  <c r="AH107" i="1" s="1"/>
  <c r="AH108" i="1" s="1"/>
  <c r="AS149" i="1"/>
  <c r="AS107" i="1" s="1"/>
  <c r="AJ118" i="1"/>
  <c r="AJ95" i="1" s="1"/>
  <c r="AJ115" i="1"/>
  <c r="AJ117" i="1"/>
  <c r="AJ94" i="1" s="1"/>
  <c r="AI129" i="1"/>
  <c r="AT195" i="1"/>
  <c r="AT196" i="1" s="1"/>
  <c r="AT172" i="1"/>
  <c r="AU169" i="1" s="1"/>
  <c r="AU188" i="1" s="1"/>
  <c r="AU189" i="1" s="1"/>
  <c r="AS75" i="1"/>
  <c r="AS80" i="1" s="1"/>
  <c r="AS83" i="1" s="1"/>
  <c r="AS86" i="1" s="1"/>
  <c r="AT68" i="1"/>
  <c r="AH204" i="1" l="1"/>
  <c r="AH210" i="1" s="1"/>
  <c r="AH150" i="1"/>
  <c r="AI147" i="1" s="1"/>
  <c r="AS76" i="1"/>
  <c r="AT73" i="1" s="1"/>
  <c r="AJ119" i="1"/>
  <c r="AT198" i="1"/>
  <c r="AT141" i="1"/>
  <c r="AT85" i="1"/>
  <c r="AT92" i="1"/>
  <c r="AI100" i="1"/>
  <c r="AI101" i="1" s="1"/>
  <c r="AI138" i="1" s="1"/>
  <c r="AI130" i="1"/>
  <c r="AJ125" i="1" s="1"/>
  <c r="AT69" i="1"/>
  <c r="AT84" i="1"/>
  <c r="AT91" i="1"/>
  <c r="AR114" i="1" l="1"/>
  <c r="AU171" i="1"/>
  <c r="AU194" i="1"/>
  <c r="AT93" i="1"/>
  <c r="AT70" i="1"/>
  <c r="AT71" i="1" s="1"/>
  <c r="AT74" i="1"/>
  <c r="AT149" i="1"/>
  <c r="AT107" i="1" s="1"/>
  <c r="AT142" i="1"/>
  <c r="AJ121" i="1"/>
  <c r="AJ96" i="1" s="1"/>
  <c r="AJ97" i="1" s="1"/>
  <c r="AJ122" i="1" l="1"/>
  <c r="AJ98" i="1" s="1"/>
  <c r="AJ99" i="1" s="1"/>
  <c r="AT143" i="1"/>
  <c r="AT105" i="1" s="1"/>
  <c r="AT104" i="1"/>
  <c r="AU68" i="1"/>
  <c r="AT75" i="1"/>
  <c r="AT80" i="1" s="1"/>
  <c r="AT83" i="1" s="1"/>
  <c r="AT86" i="1" s="1"/>
  <c r="AU195" i="1"/>
  <c r="AU172" i="1"/>
  <c r="AI102" i="1"/>
  <c r="AI103" i="1" s="1"/>
  <c r="AI144" i="1" s="1"/>
  <c r="AI139" i="1"/>
  <c r="AJ133" i="1" s="1"/>
  <c r="AV169" i="1" l="1"/>
  <c r="AV188" i="1" s="1"/>
  <c r="AV189" i="1" s="1"/>
  <c r="AK113" i="1"/>
  <c r="AK118" i="1" s="1"/>
  <c r="AK95" i="1" s="1"/>
  <c r="AI148" i="1"/>
  <c r="AI150" i="1" s="1"/>
  <c r="AJ147" i="1" s="1"/>
  <c r="AI106" i="1"/>
  <c r="AI108" i="1" s="1"/>
  <c r="AJ129" i="1"/>
  <c r="AI145" i="1"/>
  <c r="AU69" i="1"/>
  <c r="AU84" i="1"/>
  <c r="AU91" i="1"/>
  <c r="AJ137" i="1"/>
  <c r="AU85" i="1"/>
  <c r="AU92" i="1"/>
  <c r="AU196" i="1"/>
  <c r="AT76" i="1"/>
  <c r="AU73" i="1" s="1"/>
  <c r="AI204" i="1" l="1"/>
  <c r="AI210" i="1" s="1"/>
  <c r="AK117" i="1"/>
  <c r="AK94" i="1" s="1"/>
  <c r="AK115" i="1"/>
  <c r="AS114" i="1"/>
  <c r="AU93" i="1"/>
  <c r="AV171" i="1"/>
  <c r="AV194" i="1"/>
  <c r="AU141" i="1"/>
  <c r="AU198" i="1"/>
  <c r="AJ100" i="1"/>
  <c r="AJ101" i="1" s="1"/>
  <c r="AJ138" i="1" s="1"/>
  <c r="AJ130" i="1"/>
  <c r="AK125" i="1" s="1"/>
  <c r="AU74" i="1"/>
  <c r="AU75" i="1" s="1"/>
  <c r="AU80" i="1" s="1"/>
  <c r="AU83" i="1" s="1"/>
  <c r="AU86" i="1" s="1"/>
  <c r="AU70" i="1"/>
  <c r="AU71" i="1" s="1"/>
  <c r="AK119" i="1" l="1"/>
  <c r="AK121" i="1" s="1"/>
  <c r="AK96" i="1" s="1"/>
  <c r="AK97" i="1" s="1"/>
  <c r="AU149" i="1"/>
  <c r="AU107" i="1" s="1"/>
  <c r="AU142" i="1"/>
  <c r="AU76" i="1"/>
  <c r="AV73" i="1" s="1"/>
  <c r="AV68" i="1"/>
  <c r="AV195" i="1"/>
  <c r="AV172" i="1"/>
  <c r="AW169" i="1" s="1"/>
  <c r="AW188" i="1" s="1"/>
  <c r="AW189" i="1" s="1"/>
  <c r="AK122" i="1" l="1"/>
  <c r="AV92" i="1"/>
  <c r="AV85" i="1"/>
  <c r="AV196" i="1"/>
  <c r="AJ102" i="1"/>
  <c r="AJ103" i="1" s="1"/>
  <c r="AJ144" i="1" s="1"/>
  <c r="AJ139" i="1"/>
  <c r="AK133" i="1" s="1"/>
  <c r="AV69" i="1"/>
  <c r="AV91" i="1"/>
  <c r="AV84" i="1"/>
  <c r="AU143" i="1"/>
  <c r="AU105" i="1" s="1"/>
  <c r="AU104" i="1"/>
  <c r="AT114" i="1" l="1"/>
  <c r="AJ148" i="1"/>
  <c r="AJ150" i="1" s="1"/>
  <c r="AK147" i="1" s="1"/>
  <c r="AJ106" i="1"/>
  <c r="AJ108" i="1" s="1"/>
  <c r="AV93" i="1"/>
  <c r="AW171" i="1"/>
  <c r="AW194" i="1"/>
  <c r="AV198" i="1"/>
  <c r="AV141" i="1"/>
  <c r="AV70" i="1"/>
  <c r="AV71" i="1" s="1"/>
  <c r="AV74" i="1"/>
  <c r="AK137" i="1"/>
  <c r="AJ145" i="1"/>
  <c r="AK98" i="1"/>
  <c r="AK99" i="1" s="1"/>
  <c r="AL113" i="1"/>
  <c r="AJ204" i="1" l="1"/>
  <c r="AJ210" i="1" s="1"/>
  <c r="AV149" i="1"/>
  <c r="AV107" i="1" s="1"/>
  <c r="AV142" i="1"/>
  <c r="AK129" i="1"/>
  <c r="AL118" i="1"/>
  <c r="AL95" i="1" s="1"/>
  <c r="AL117" i="1"/>
  <c r="AL94" i="1" s="1"/>
  <c r="AL115" i="1"/>
  <c r="AV75" i="1"/>
  <c r="AV80" i="1" s="1"/>
  <c r="AV83" i="1" s="1"/>
  <c r="AV86" i="1" s="1"/>
  <c r="AW68" i="1"/>
  <c r="AW195" i="1"/>
  <c r="AW172" i="1"/>
  <c r="AX169" i="1" s="1"/>
  <c r="AX188" i="1" s="1"/>
  <c r="AX189" i="1" s="1"/>
  <c r="AL119" i="1" l="1"/>
  <c r="AK100" i="1"/>
  <c r="AK101" i="1" s="1"/>
  <c r="AK138" i="1" s="1"/>
  <c r="AK130" i="1"/>
  <c r="AL125" i="1" s="1"/>
  <c r="AW85" i="1"/>
  <c r="AW92" i="1"/>
  <c r="AW196" i="1"/>
  <c r="AW69" i="1"/>
  <c r="AW84" i="1"/>
  <c r="AW91" i="1"/>
  <c r="AV104" i="1"/>
  <c r="AV143" i="1"/>
  <c r="AV105" i="1" s="1"/>
  <c r="AV76" i="1"/>
  <c r="AW73" i="1" s="1"/>
  <c r="AU114" i="1" l="1"/>
  <c r="AX171" i="1"/>
  <c r="AX194" i="1"/>
  <c r="AW70" i="1"/>
  <c r="AW71" i="1" s="1"/>
  <c r="AW74" i="1"/>
  <c r="AW75" i="1" s="1"/>
  <c r="AW80" i="1" s="1"/>
  <c r="AW83" i="1" s="1"/>
  <c r="AW86" i="1" s="1"/>
  <c r="AW93" i="1"/>
  <c r="AW198" i="1"/>
  <c r="AW141" i="1"/>
  <c r="AL121" i="1"/>
  <c r="AL96" i="1" s="1"/>
  <c r="AL97" i="1" s="1"/>
  <c r="AL122" i="1" l="1"/>
  <c r="AL98" i="1" s="1"/>
  <c r="AL99" i="1" s="1"/>
  <c r="AX68" i="1"/>
  <c r="AX195" i="1"/>
  <c r="AX172" i="1"/>
  <c r="AY169" i="1" s="1"/>
  <c r="AY188" i="1" s="1"/>
  <c r="AY189" i="1" s="1"/>
  <c r="AK102" i="1"/>
  <c r="AK103" i="1" s="1"/>
  <c r="AK142" i="1" s="1"/>
  <c r="AK139" i="1"/>
  <c r="AL133" i="1" s="1"/>
  <c r="AW149" i="1"/>
  <c r="AW107" i="1" s="1"/>
  <c r="AW76" i="1"/>
  <c r="AX73" i="1" s="1"/>
  <c r="AM113" i="1" l="1"/>
  <c r="AM117" i="1" s="1"/>
  <c r="AM94" i="1" s="1"/>
  <c r="AK143" i="1"/>
  <c r="AK105" i="1" s="1"/>
  <c r="AK104" i="1"/>
  <c r="AL137" i="1"/>
  <c r="AL129" i="1"/>
  <c r="AX85" i="1"/>
  <c r="AX92" i="1"/>
  <c r="AX196" i="1"/>
  <c r="AX69" i="1"/>
  <c r="AX84" i="1"/>
  <c r="AX91" i="1"/>
  <c r="AM118" i="1" l="1"/>
  <c r="AM95" i="1" s="1"/>
  <c r="AV114" i="1"/>
  <c r="AM115" i="1"/>
  <c r="AK144" i="1"/>
  <c r="AK145" i="1" s="1"/>
  <c r="AX93" i="1"/>
  <c r="AX141" i="1"/>
  <c r="AX198" i="1"/>
  <c r="AY171" i="1"/>
  <c r="AY194" i="1"/>
  <c r="AX74" i="1"/>
  <c r="AX70" i="1"/>
  <c r="AX71" i="1" s="1"/>
  <c r="AL100" i="1"/>
  <c r="AL101" i="1" s="1"/>
  <c r="AL138" i="1" s="1"/>
  <c r="AL130" i="1"/>
  <c r="AM125" i="1" s="1"/>
  <c r="AM119" i="1" l="1"/>
  <c r="AM121" i="1" s="1"/>
  <c r="AM96" i="1" s="1"/>
  <c r="AM97" i="1" s="1"/>
  <c r="AK106" i="1"/>
  <c r="AK108" i="1" s="1"/>
  <c r="AK148" i="1"/>
  <c r="AK150" i="1" s="1"/>
  <c r="AL147" i="1" s="1"/>
  <c r="AY68" i="1"/>
  <c r="AY195" i="1"/>
  <c r="AY196" i="1" s="1"/>
  <c r="AY172" i="1"/>
  <c r="AX75" i="1"/>
  <c r="AX80" i="1" s="1"/>
  <c r="AX83" i="1" s="1"/>
  <c r="AX86" i="1" s="1"/>
  <c r="AX149" i="1"/>
  <c r="AX107" i="1" s="1"/>
  <c r="AX142" i="1"/>
  <c r="AZ169" i="1" l="1"/>
  <c r="AZ188" i="1" s="1"/>
  <c r="AZ189" i="1" s="1"/>
  <c r="AK204" i="1"/>
  <c r="AK210" i="1" s="1"/>
  <c r="AM122" i="1"/>
  <c r="AM98" i="1" s="1"/>
  <c r="AM99" i="1" s="1"/>
  <c r="AX76" i="1"/>
  <c r="AY73" i="1" s="1"/>
  <c r="AY141" i="1"/>
  <c r="AY198" i="1"/>
  <c r="AL102" i="1"/>
  <c r="AL103" i="1" s="1"/>
  <c r="AL144" i="1" s="1"/>
  <c r="AL139" i="1"/>
  <c r="AM133" i="1" s="1"/>
  <c r="AY69" i="1"/>
  <c r="AY84" i="1"/>
  <c r="AY91" i="1"/>
  <c r="AX143" i="1"/>
  <c r="AX105" i="1" s="1"/>
  <c r="AX104" i="1"/>
  <c r="AY92" i="1"/>
  <c r="AY85" i="1"/>
  <c r="AN113" i="1" l="1"/>
  <c r="AN118" i="1" s="1"/>
  <c r="AN95" i="1" s="1"/>
  <c r="AW114" i="1"/>
  <c r="AL106" i="1"/>
  <c r="AL148" i="1"/>
  <c r="AY70" i="1"/>
  <c r="AY71" i="1" s="1"/>
  <c r="AY74" i="1"/>
  <c r="AM137" i="1"/>
  <c r="AZ171" i="1"/>
  <c r="AZ194" i="1"/>
  <c r="AL145" i="1"/>
  <c r="AM129" i="1"/>
  <c r="AY93" i="1"/>
  <c r="AY142" i="1"/>
  <c r="AY149" i="1"/>
  <c r="AY107" i="1" s="1"/>
  <c r="AN117" i="1" l="1"/>
  <c r="AN94" i="1" s="1"/>
  <c r="AN115" i="1"/>
  <c r="AL149" i="1"/>
  <c r="AL107" i="1" s="1"/>
  <c r="AL108" i="1" s="1"/>
  <c r="AZ68" i="1"/>
  <c r="AY75" i="1"/>
  <c r="AY80" i="1" s="1"/>
  <c r="AY83" i="1" s="1"/>
  <c r="AY86" i="1" s="1"/>
  <c r="AM100" i="1"/>
  <c r="AM101" i="1" s="1"/>
  <c r="AM138" i="1" s="1"/>
  <c r="AM130" i="1"/>
  <c r="AN125" i="1" s="1"/>
  <c r="AZ195" i="1"/>
  <c r="AZ196" i="1" s="1"/>
  <c r="AZ172" i="1"/>
  <c r="BA169" i="1" s="1"/>
  <c r="BA188" i="1" s="1"/>
  <c r="BA189" i="1" s="1"/>
  <c r="AY104" i="1"/>
  <c r="AY143" i="1"/>
  <c r="AY105" i="1" s="1"/>
  <c r="AL204" i="1" l="1"/>
  <c r="AL210" i="1" s="1"/>
  <c r="AN119" i="1"/>
  <c r="AN121" i="1" s="1"/>
  <c r="AN96" i="1" s="1"/>
  <c r="AN97" i="1" s="1"/>
  <c r="AL150" i="1"/>
  <c r="AM147" i="1" s="1"/>
  <c r="AZ69" i="1"/>
  <c r="AZ84" i="1"/>
  <c r="AZ91" i="1"/>
  <c r="AZ198" i="1"/>
  <c r="AZ141" i="1"/>
  <c r="AZ92" i="1"/>
  <c r="AZ85" i="1"/>
  <c r="AY76" i="1"/>
  <c r="AZ73" i="1" s="1"/>
  <c r="AX114" i="1" l="1"/>
  <c r="AN122" i="1"/>
  <c r="AZ149" i="1"/>
  <c r="AZ107" i="1" s="1"/>
  <c r="AZ142" i="1"/>
  <c r="AM102" i="1"/>
  <c r="AM103" i="1" s="1"/>
  <c r="AM144" i="1" s="1"/>
  <c r="AM139" i="1"/>
  <c r="AZ93" i="1"/>
  <c r="BA171" i="1"/>
  <c r="BA194" i="1"/>
  <c r="AZ74" i="1"/>
  <c r="AZ75" i="1" s="1"/>
  <c r="AZ80" i="1" s="1"/>
  <c r="AZ83" i="1" s="1"/>
  <c r="AZ86" i="1" s="1"/>
  <c r="AZ70" i="1"/>
  <c r="AZ71" i="1" s="1"/>
  <c r="AN133" i="1" l="1"/>
  <c r="AM206" i="1"/>
  <c r="AM148" i="1"/>
  <c r="AM150" i="1" s="1"/>
  <c r="AN147" i="1" s="1"/>
  <c r="AM106" i="1"/>
  <c r="AM108" i="1" s="1"/>
  <c r="AM145" i="1"/>
  <c r="AZ76" i="1"/>
  <c r="BA73" i="1" s="1"/>
  <c r="AZ104" i="1"/>
  <c r="AZ143" i="1"/>
  <c r="AZ105" i="1" s="1"/>
  <c r="BA68" i="1"/>
  <c r="BA195" i="1"/>
  <c r="BA172" i="1"/>
  <c r="BB169" i="1" s="1"/>
  <c r="BB188" i="1" s="1"/>
  <c r="BB189" i="1" s="1"/>
  <c r="AN98" i="1"/>
  <c r="AN99" i="1" s="1"/>
  <c r="AO113" i="1"/>
  <c r="AN137" i="1" l="1"/>
  <c r="AM204" i="1"/>
  <c r="AM210" i="1" s="1"/>
  <c r="BA69" i="1"/>
  <c r="BA84" i="1"/>
  <c r="BA91" i="1"/>
  <c r="AO118" i="1"/>
  <c r="AO95" i="1" s="1"/>
  <c r="AO115" i="1"/>
  <c r="AO117" i="1"/>
  <c r="AO94" i="1" s="1"/>
  <c r="AN129" i="1"/>
  <c r="BA85" i="1"/>
  <c r="BA92" i="1"/>
  <c r="BA196" i="1"/>
  <c r="AY114" i="1" l="1"/>
  <c r="AO119" i="1"/>
  <c r="BA93" i="1"/>
  <c r="AN100" i="1"/>
  <c r="AN101" i="1" s="1"/>
  <c r="AN138" i="1" s="1"/>
  <c r="AN130" i="1"/>
  <c r="AO125" i="1" s="1"/>
  <c r="BA141" i="1"/>
  <c r="BA198" i="1"/>
  <c r="BB171" i="1"/>
  <c r="BB194" i="1"/>
  <c r="BA74" i="1"/>
  <c r="BA70" i="1"/>
  <c r="BA71" i="1" s="1"/>
  <c r="BA149" i="1" l="1"/>
  <c r="BA107" i="1" s="1"/>
  <c r="BB195" i="1"/>
  <c r="BB196" i="1" s="1"/>
  <c r="BB172" i="1"/>
  <c r="BC169" i="1" s="1"/>
  <c r="BC188" i="1" s="1"/>
  <c r="BC189" i="1" s="1"/>
  <c r="BA75" i="1"/>
  <c r="BA80" i="1" s="1"/>
  <c r="BA83" i="1" s="1"/>
  <c r="BA86" i="1" s="1"/>
  <c r="BB68" i="1"/>
  <c r="AO121" i="1"/>
  <c r="AO96" i="1" s="1"/>
  <c r="AO97" i="1" s="1"/>
  <c r="BA76" i="1" l="1"/>
  <c r="BB73" i="1" s="1"/>
  <c r="BB198" i="1"/>
  <c r="BB141" i="1"/>
  <c r="BB69" i="1"/>
  <c r="BB84" i="1"/>
  <c r="BB91" i="1"/>
  <c r="BB85" i="1"/>
  <c r="BB92" i="1"/>
  <c r="AN102" i="1"/>
  <c r="AN103" i="1" s="1"/>
  <c r="AN144" i="1" s="1"/>
  <c r="AN139" i="1"/>
  <c r="AO133" i="1" s="1"/>
  <c r="AO122" i="1"/>
  <c r="AZ114" i="1" l="1"/>
  <c r="AN148" i="1"/>
  <c r="AN150" i="1" s="1"/>
  <c r="AO147" i="1" s="1"/>
  <c r="AN106" i="1"/>
  <c r="AN108" i="1" s="1"/>
  <c r="AN145" i="1"/>
  <c r="BB93" i="1"/>
  <c r="AO98" i="1"/>
  <c r="AO99" i="1" s="1"/>
  <c r="AP113" i="1"/>
  <c r="AO137" i="1"/>
  <c r="BC194" i="1"/>
  <c r="BC171" i="1"/>
  <c r="BB70" i="1"/>
  <c r="BB71" i="1" s="1"/>
  <c r="BB74" i="1"/>
  <c r="BB142" i="1"/>
  <c r="BB149" i="1"/>
  <c r="BB107" i="1" s="1"/>
  <c r="AN204" i="1" l="1"/>
  <c r="AN210" i="1" s="1"/>
  <c r="AP118" i="1"/>
  <c r="AP95" i="1" s="1"/>
  <c r="AP117" i="1"/>
  <c r="AP94" i="1" s="1"/>
  <c r="AP115" i="1"/>
  <c r="BC195" i="1"/>
  <c r="BC196" i="1" s="1"/>
  <c r="BC172" i="1"/>
  <c r="AO129" i="1"/>
  <c r="BB104" i="1"/>
  <c r="BB143" i="1"/>
  <c r="BB105" i="1" s="1"/>
  <c r="BC68" i="1"/>
  <c r="BB75" i="1"/>
  <c r="BB80" i="1" s="1"/>
  <c r="BB83" i="1" s="1"/>
  <c r="BB86" i="1" s="1"/>
  <c r="BD169" i="1" l="1"/>
  <c r="BD188" i="1" s="1"/>
  <c r="BD189" i="1" s="1"/>
  <c r="BC69" i="1"/>
  <c r="BC84" i="1"/>
  <c r="BC91" i="1"/>
  <c r="BC198" i="1"/>
  <c r="BC141" i="1"/>
  <c r="BC92" i="1"/>
  <c r="BC85" i="1"/>
  <c r="AO100" i="1"/>
  <c r="AO101" i="1" s="1"/>
  <c r="AO138" i="1" s="1"/>
  <c r="AO130" i="1"/>
  <c r="AP125" i="1" s="1"/>
  <c r="BB76" i="1"/>
  <c r="BC73" i="1" s="1"/>
  <c r="AP119" i="1"/>
  <c r="BA114" i="1" l="1"/>
  <c r="BC93" i="1"/>
  <c r="BC149" i="1"/>
  <c r="BC107" i="1" s="1"/>
  <c r="BC142" i="1"/>
  <c r="BD171" i="1"/>
  <c r="BD194" i="1"/>
  <c r="AP121" i="1"/>
  <c r="AP96" i="1" s="1"/>
  <c r="AP97" i="1" s="1"/>
  <c r="BC70" i="1"/>
  <c r="BC71" i="1" s="1"/>
  <c r="BC74" i="1"/>
  <c r="BC75" i="1" s="1"/>
  <c r="BC80" i="1" s="1"/>
  <c r="BC83" i="1" s="1"/>
  <c r="BC86" i="1" s="1"/>
  <c r="AP122" i="1" l="1"/>
  <c r="AO102" i="1"/>
  <c r="AO103" i="1" s="1"/>
  <c r="AO142" i="1" s="1"/>
  <c r="AO139" i="1"/>
  <c r="AP133" i="1" s="1"/>
  <c r="BC104" i="1"/>
  <c r="BC143" i="1"/>
  <c r="BC105" i="1" s="1"/>
  <c r="BD68" i="1"/>
  <c r="BC76" i="1"/>
  <c r="BD73" i="1" s="1"/>
  <c r="BD195" i="1"/>
  <c r="BD172" i="1"/>
  <c r="BE169" i="1" s="1"/>
  <c r="BE188" i="1" s="1"/>
  <c r="BE189" i="1" s="1"/>
  <c r="AO143" i="1" l="1"/>
  <c r="AO105" i="1" s="1"/>
  <c r="AO104" i="1"/>
  <c r="BD69" i="1"/>
  <c r="BD84" i="1"/>
  <c r="BD91" i="1"/>
  <c r="BD85" i="1"/>
  <c r="BD92" i="1"/>
  <c r="BD196" i="1"/>
  <c r="AP137" i="1"/>
  <c r="AP98" i="1"/>
  <c r="AP99" i="1" s="1"/>
  <c r="AQ113" i="1"/>
  <c r="BB114" i="1" l="1"/>
  <c r="AO144" i="1"/>
  <c r="AO106" i="1" s="1"/>
  <c r="AO108" i="1" s="1"/>
  <c r="BD93" i="1"/>
  <c r="AP129" i="1"/>
  <c r="AQ118" i="1"/>
  <c r="AQ95" i="1" s="1"/>
  <c r="AQ117" i="1"/>
  <c r="AQ94" i="1" s="1"/>
  <c r="AQ115" i="1"/>
  <c r="BD74" i="1"/>
  <c r="BD70" i="1"/>
  <c r="BD71" i="1" s="1"/>
  <c r="BE171" i="1"/>
  <c r="BE194" i="1"/>
  <c r="BD198" i="1"/>
  <c r="BD141" i="1"/>
  <c r="AO204" i="1" l="1"/>
  <c r="AO210" i="1" s="1"/>
  <c r="AO145" i="1"/>
  <c r="AO148" i="1"/>
  <c r="AO150" i="1" s="1"/>
  <c r="AP147" i="1" s="1"/>
  <c r="AQ119" i="1"/>
  <c r="AQ121" i="1" s="1"/>
  <c r="BE195" i="1"/>
  <c r="BE196" i="1" s="1"/>
  <c r="BE172" i="1"/>
  <c r="BF169" i="1" s="1"/>
  <c r="BF188" i="1" s="1"/>
  <c r="BF189" i="1" s="1"/>
  <c r="AP100" i="1"/>
  <c r="AP101" i="1" s="1"/>
  <c r="AP138" i="1" s="1"/>
  <c r="AP130" i="1"/>
  <c r="AQ125" i="1" s="1"/>
  <c r="BD75" i="1"/>
  <c r="BD80" i="1" s="1"/>
  <c r="BD83" i="1" s="1"/>
  <c r="BD86" i="1" s="1"/>
  <c r="BD149" i="1"/>
  <c r="BD107" i="1" s="1"/>
  <c r="BD142" i="1"/>
  <c r="BE68" i="1"/>
  <c r="BD76" i="1" l="1"/>
  <c r="BE73" i="1" s="1"/>
  <c r="AQ96" i="1"/>
  <c r="AQ97" i="1" s="1"/>
  <c r="AQ122" i="1"/>
  <c r="AQ98" i="1" s="1"/>
  <c r="BE198" i="1"/>
  <c r="BE141" i="1"/>
  <c r="BD143" i="1"/>
  <c r="BD105" i="1" s="1"/>
  <c r="BD104" i="1"/>
  <c r="BE92" i="1"/>
  <c r="BE85" i="1"/>
  <c r="BE69" i="1"/>
  <c r="BE84" i="1"/>
  <c r="BE91" i="1"/>
  <c r="AR113" i="1" l="1"/>
  <c r="AR118" i="1" s="1"/>
  <c r="AR95" i="1" s="1"/>
  <c r="AQ99" i="1"/>
  <c r="AQ129" i="1" s="1"/>
  <c r="AQ100" i="1" s="1"/>
  <c r="BC114" i="1"/>
  <c r="BE93" i="1"/>
  <c r="BE74" i="1"/>
  <c r="BE70" i="1"/>
  <c r="BE71" i="1" s="1"/>
  <c r="AP102" i="1"/>
  <c r="AP103" i="1" s="1"/>
  <c r="AP144" i="1" s="1"/>
  <c r="AP139" i="1"/>
  <c r="AQ133" i="1" s="1"/>
  <c r="BE149" i="1"/>
  <c r="BE107" i="1" s="1"/>
  <c r="BF171" i="1"/>
  <c r="BF194" i="1"/>
  <c r="AR115" i="1" l="1"/>
  <c r="AR117" i="1"/>
  <c r="AR94" i="1" s="1"/>
  <c r="AQ130" i="1"/>
  <c r="AR125" i="1" s="1"/>
  <c r="AQ101" i="1"/>
  <c r="AP106" i="1"/>
  <c r="AP108" i="1" s="1"/>
  <c r="AP148" i="1"/>
  <c r="AP150" i="1" s="1"/>
  <c r="AQ147" i="1" s="1"/>
  <c r="BF68" i="1"/>
  <c r="BF195" i="1"/>
  <c r="BF172" i="1"/>
  <c r="BG169" i="1" s="1"/>
  <c r="BG188" i="1" s="1"/>
  <c r="BG189" i="1" s="1"/>
  <c r="AQ137" i="1"/>
  <c r="AP145" i="1"/>
  <c r="BE75" i="1"/>
  <c r="BE80" i="1" s="1"/>
  <c r="BE83" i="1" s="1"/>
  <c r="BE86" i="1" s="1"/>
  <c r="AQ138" i="1" l="1"/>
  <c r="AQ139" i="1" s="1"/>
  <c r="AR119" i="1"/>
  <c r="AR121" i="1" s="1"/>
  <c r="AR96" i="1" s="1"/>
  <c r="AR97" i="1" s="1"/>
  <c r="AP204" i="1"/>
  <c r="AP210" i="1" s="1"/>
  <c r="BE76" i="1"/>
  <c r="BF73" i="1" s="1"/>
  <c r="BF85" i="1"/>
  <c r="BF92" i="1"/>
  <c r="BF196" i="1"/>
  <c r="BF69" i="1"/>
  <c r="BF84" i="1"/>
  <c r="BF91" i="1"/>
  <c r="AQ102" i="1" l="1"/>
  <c r="AQ103" i="1" s="1"/>
  <c r="AQ144" i="1" s="1"/>
  <c r="AQ148" i="1" s="1"/>
  <c r="AQ150" i="1" s="1"/>
  <c r="AR147" i="1" s="1"/>
  <c r="AR133" i="1"/>
  <c r="AQ206" i="1"/>
  <c r="BD114" i="1"/>
  <c r="BF93" i="1"/>
  <c r="AR122" i="1"/>
  <c r="AR98" i="1" s="1"/>
  <c r="AR99" i="1" s="1"/>
  <c r="BG171" i="1"/>
  <c r="BG194" i="1"/>
  <c r="BF70" i="1"/>
  <c r="BF71" i="1" s="1"/>
  <c r="BF74" i="1"/>
  <c r="BF198" i="1"/>
  <c r="BF141" i="1"/>
  <c r="AR137" i="1" l="1"/>
  <c r="AQ145" i="1"/>
  <c r="AQ106" i="1"/>
  <c r="AQ108" i="1" s="1"/>
  <c r="AQ204" i="1"/>
  <c r="AQ210" i="1" s="1"/>
  <c r="AS113" i="1"/>
  <c r="AS118" i="1" s="1"/>
  <c r="AS95" i="1" s="1"/>
  <c r="AR129" i="1"/>
  <c r="BF149" i="1"/>
  <c r="BF107" i="1" s="1"/>
  <c r="BF142" i="1"/>
  <c r="BG68" i="1"/>
  <c r="BG195" i="1"/>
  <c r="BG172" i="1"/>
  <c r="BF75" i="1"/>
  <c r="BF80" i="1" s="1"/>
  <c r="BF83" i="1" s="1"/>
  <c r="BF86" i="1" s="1"/>
  <c r="BH169" i="1" l="1"/>
  <c r="BH188" i="1" s="1"/>
  <c r="BH189" i="1" s="1"/>
  <c r="AS117" i="1"/>
  <c r="AS94" i="1" s="1"/>
  <c r="AS115" i="1"/>
  <c r="BG92" i="1"/>
  <c r="BG85" i="1"/>
  <c r="BG69" i="1"/>
  <c r="BG84" i="1"/>
  <c r="BG91" i="1"/>
  <c r="BG196" i="1"/>
  <c r="BF143" i="1"/>
  <c r="BF105" i="1" s="1"/>
  <c r="BF104" i="1"/>
  <c r="AR100" i="1"/>
  <c r="AR101" i="1" s="1"/>
  <c r="AR138" i="1" s="1"/>
  <c r="AR130" i="1"/>
  <c r="AS125" i="1" s="1"/>
  <c r="BF76" i="1"/>
  <c r="BG73" i="1" s="1"/>
  <c r="BG93" i="1" l="1"/>
  <c r="BE114" i="1"/>
  <c r="AS119" i="1"/>
  <c r="AS121" i="1" s="1"/>
  <c r="AS96" i="1" s="1"/>
  <c r="AS97" i="1" s="1"/>
  <c r="BG70" i="1"/>
  <c r="BG71" i="1" s="1"/>
  <c r="BG74" i="1"/>
  <c r="BG75" i="1" s="1"/>
  <c r="BG80" i="1" s="1"/>
  <c r="BG83" i="1" s="1"/>
  <c r="BG86" i="1" s="1"/>
  <c r="BG198" i="1"/>
  <c r="BG141" i="1"/>
  <c r="BH171" i="1"/>
  <c r="BH194" i="1"/>
  <c r="AS122" i="1" l="1"/>
  <c r="BH195" i="1"/>
  <c r="BH172" i="1"/>
  <c r="BI169" i="1" s="1"/>
  <c r="BI188" i="1" s="1"/>
  <c r="BI189" i="1" s="1"/>
  <c r="BG76" i="1"/>
  <c r="BH73" i="1" s="1"/>
  <c r="BH68" i="1"/>
  <c r="BG149" i="1"/>
  <c r="BG107" i="1" s="1"/>
  <c r="BG142" i="1"/>
  <c r="AR102" i="1"/>
  <c r="AR103" i="1" s="1"/>
  <c r="AR144" i="1" s="1"/>
  <c r="AR139" i="1"/>
  <c r="AS133" i="1" s="1"/>
  <c r="AR148" i="1" l="1"/>
  <c r="AR150" i="1" s="1"/>
  <c r="AS147" i="1" s="1"/>
  <c r="AR106" i="1"/>
  <c r="AR108" i="1" s="1"/>
  <c r="BH69" i="1"/>
  <c r="BH91" i="1"/>
  <c r="BH84" i="1"/>
  <c r="AS137" i="1"/>
  <c r="BG143" i="1"/>
  <c r="BG105" i="1" s="1"/>
  <c r="BG104" i="1"/>
  <c r="BH85" i="1"/>
  <c r="BH92" i="1"/>
  <c r="AR145" i="1"/>
  <c r="BH196" i="1"/>
  <c r="AS98" i="1"/>
  <c r="AS99" i="1" s="1"/>
  <c r="AT113" i="1"/>
  <c r="AR204" i="1" l="1"/>
  <c r="AR210" i="1" s="1"/>
  <c r="BF114" i="1"/>
  <c r="AT118" i="1"/>
  <c r="AT95" i="1" s="1"/>
  <c r="AT117" i="1"/>
  <c r="AT94" i="1" s="1"/>
  <c r="AT115" i="1"/>
  <c r="AS129" i="1"/>
  <c r="BI171" i="1"/>
  <c r="BI194" i="1"/>
  <c r="BH141" i="1"/>
  <c r="BH198" i="1"/>
  <c r="BH93" i="1"/>
  <c r="BH70" i="1"/>
  <c r="BH71" i="1" s="1"/>
  <c r="BH74" i="1"/>
  <c r="BH75" i="1" l="1"/>
  <c r="BH80" i="1" s="1"/>
  <c r="BH83" i="1" s="1"/>
  <c r="BH86" i="1" s="1"/>
  <c r="BH149" i="1"/>
  <c r="BH107" i="1" s="1"/>
  <c r="BH142" i="1"/>
  <c r="BI68" i="1"/>
  <c r="BI195" i="1"/>
  <c r="BI172" i="1"/>
  <c r="BJ169" i="1" s="1"/>
  <c r="BJ188" i="1" s="1"/>
  <c r="BJ189" i="1" s="1"/>
  <c r="AT119" i="1"/>
  <c r="AS100" i="1"/>
  <c r="AS101" i="1" s="1"/>
  <c r="AS138" i="1" s="1"/>
  <c r="AS130" i="1"/>
  <c r="AT125" i="1" s="1"/>
  <c r="BI92" i="1" l="1"/>
  <c r="BI85" i="1"/>
  <c r="BH104" i="1"/>
  <c r="BH143" i="1"/>
  <c r="BH105" i="1" s="1"/>
  <c r="BI196" i="1"/>
  <c r="AT121" i="1"/>
  <c r="AT96" i="1" s="1"/>
  <c r="AT97" i="1" s="1"/>
  <c r="BI69" i="1"/>
  <c r="BI91" i="1"/>
  <c r="BI84" i="1"/>
  <c r="BH76" i="1"/>
  <c r="BI73" i="1" s="1"/>
  <c r="BG114" i="1" l="1"/>
  <c r="BI93" i="1"/>
  <c r="AT122" i="1"/>
  <c r="AT98" i="1" s="1"/>
  <c r="AT99" i="1" s="1"/>
  <c r="BJ171" i="1"/>
  <c r="BJ194" i="1"/>
  <c r="AS102" i="1"/>
  <c r="AS103" i="1" s="1"/>
  <c r="AS142" i="1" s="1"/>
  <c r="AS139" i="1"/>
  <c r="AT133" i="1" s="1"/>
  <c r="BI74" i="1"/>
  <c r="BI75" i="1" s="1"/>
  <c r="BI80" i="1" s="1"/>
  <c r="BI83" i="1" s="1"/>
  <c r="BI86" i="1" s="1"/>
  <c r="BI70" i="1"/>
  <c r="BI71" i="1" s="1"/>
  <c r="BI141" i="1"/>
  <c r="BI198" i="1"/>
  <c r="AS104" i="1" l="1"/>
  <c r="AS143" i="1"/>
  <c r="AS105" i="1" s="1"/>
  <c r="AU113" i="1"/>
  <c r="AU117" i="1" s="1"/>
  <c r="AU94" i="1" s="1"/>
  <c r="AT129" i="1"/>
  <c r="AT137" i="1"/>
  <c r="BI76" i="1"/>
  <c r="BJ73" i="1" s="1"/>
  <c r="BI149" i="1"/>
  <c r="BI107" i="1" s="1"/>
  <c r="BJ68" i="1"/>
  <c r="BJ195" i="1"/>
  <c r="BJ172" i="1"/>
  <c r="BK169" i="1" s="1"/>
  <c r="BK188" i="1" s="1"/>
  <c r="BK189" i="1" s="1"/>
  <c r="AU118" i="1" l="1"/>
  <c r="AU95" i="1" s="1"/>
  <c r="AU115" i="1"/>
  <c r="AS144" i="1"/>
  <c r="AS145" i="1" s="1"/>
  <c r="BJ85" i="1"/>
  <c r="BJ92" i="1"/>
  <c r="AT100" i="1"/>
  <c r="AT101" i="1" s="1"/>
  <c r="AT138" i="1" s="1"/>
  <c r="AT130" i="1"/>
  <c r="AU125" i="1" s="1"/>
  <c r="BJ196" i="1"/>
  <c r="BJ69" i="1"/>
  <c r="BJ91" i="1"/>
  <c r="BJ84" i="1"/>
  <c r="AU119" i="1" l="1"/>
  <c r="AU121" i="1" s="1"/>
  <c r="AU96" i="1" s="1"/>
  <c r="AU97" i="1" s="1"/>
  <c r="BH114" i="1"/>
  <c r="AS148" i="1"/>
  <c r="AS150" i="1" s="1"/>
  <c r="AT147" i="1" s="1"/>
  <c r="AS106" i="1"/>
  <c r="AS108" i="1" s="1"/>
  <c r="BJ93" i="1"/>
  <c r="BJ198" i="1"/>
  <c r="BJ141" i="1"/>
  <c r="BJ74" i="1"/>
  <c r="BJ70" i="1"/>
  <c r="BJ71" i="1" s="1"/>
  <c r="BK171" i="1"/>
  <c r="BK194" i="1"/>
  <c r="AS204" i="1" l="1"/>
  <c r="AS210" i="1" s="1"/>
  <c r="AU122" i="1"/>
  <c r="AU98" i="1" s="1"/>
  <c r="AU99" i="1" s="1"/>
  <c r="AT102" i="1"/>
  <c r="AT103" i="1" s="1"/>
  <c r="AT144" i="1" s="1"/>
  <c r="AT139" i="1"/>
  <c r="AU133" i="1" s="1"/>
  <c r="BJ75" i="1"/>
  <c r="BJ80" i="1" s="1"/>
  <c r="BJ83" i="1" s="1"/>
  <c r="BJ86" i="1" s="1"/>
  <c r="BJ149" i="1"/>
  <c r="BJ107" i="1" s="1"/>
  <c r="BJ142" i="1"/>
  <c r="BK68" i="1"/>
  <c r="BK195" i="1"/>
  <c r="BK172" i="1"/>
  <c r="BL169" i="1" l="1"/>
  <c r="BL188" i="1" s="1"/>
  <c r="BL189" i="1" s="1"/>
  <c r="AV113" i="1"/>
  <c r="AV117" i="1" s="1"/>
  <c r="AV94" i="1" s="1"/>
  <c r="AT106" i="1"/>
  <c r="AT108" i="1" s="1"/>
  <c r="AT148" i="1"/>
  <c r="AT150" i="1" s="1"/>
  <c r="AU147" i="1" s="1"/>
  <c r="AU129" i="1"/>
  <c r="BK85" i="1"/>
  <c r="BK92" i="1"/>
  <c r="BJ76" i="1"/>
  <c r="BK73" i="1" s="1"/>
  <c r="BK196" i="1"/>
  <c r="BK69" i="1"/>
  <c r="BK84" i="1"/>
  <c r="BK91" i="1"/>
  <c r="BJ143" i="1"/>
  <c r="BJ105" i="1" s="1"/>
  <c r="BJ104" i="1"/>
  <c r="AU137" i="1"/>
  <c r="AT145" i="1"/>
  <c r="AT204" i="1" l="1"/>
  <c r="AT210" i="1" s="1"/>
  <c r="BI114" i="1"/>
  <c r="AV115" i="1"/>
  <c r="AV118" i="1"/>
  <c r="AV95" i="1" s="1"/>
  <c r="BK93" i="1"/>
  <c r="BL171" i="1"/>
  <c r="BL194" i="1"/>
  <c r="BK70" i="1"/>
  <c r="BK71" i="1" s="1"/>
  <c r="BK74" i="1"/>
  <c r="BK75" i="1" s="1"/>
  <c r="BK80" i="1" s="1"/>
  <c r="BK83" i="1" s="1"/>
  <c r="BK86" i="1" s="1"/>
  <c r="BK198" i="1"/>
  <c r="BK141" i="1"/>
  <c r="AU100" i="1"/>
  <c r="AU101" i="1" s="1"/>
  <c r="AU138" i="1" s="1"/>
  <c r="AU130" i="1"/>
  <c r="AV125" i="1" s="1"/>
  <c r="AV119" i="1" l="1"/>
  <c r="AV121" i="1" s="1"/>
  <c r="AV96" i="1" s="1"/>
  <c r="AV97" i="1" s="1"/>
  <c r="BK76" i="1"/>
  <c r="BL73" i="1" s="1"/>
  <c r="BK149" i="1"/>
  <c r="BK107" i="1" s="1"/>
  <c r="BK142" i="1"/>
  <c r="BL68" i="1"/>
  <c r="BL195" i="1"/>
  <c r="BL172" i="1"/>
  <c r="BM169" i="1" s="1"/>
  <c r="BM188" i="1" s="1"/>
  <c r="BM189" i="1" s="1"/>
  <c r="BL85" i="1" l="1"/>
  <c r="BL92" i="1"/>
  <c r="AU102" i="1"/>
  <c r="AU103" i="1" s="1"/>
  <c r="AU144" i="1" s="1"/>
  <c r="AU139" i="1"/>
  <c r="AV133" i="1" s="1"/>
  <c r="BL69" i="1"/>
  <c r="BL91" i="1"/>
  <c r="BL84" i="1"/>
  <c r="BL196" i="1"/>
  <c r="AV122" i="1"/>
  <c r="BK104" i="1"/>
  <c r="BK143" i="1"/>
  <c r="BK105" i="1" s="1"/>
  <c r="BL93" i="1" l="1"/>
  <c r="BJ114" i="1"/>
  <c r="AU148" i="1"/>
  <c r="AU150" i="1" s="1"/>
  <c r="AV147" i="1" s="1"/>
  <c r="AU106" i="1"/>
  <c r="AU108" i="1" s="1"/>
  <c r="BL74" i="1"/>
  <c r="BL70" i="1"/>
  <c r="BL71" i="1" s="1"/>
  <c r="AV98" i="1"/>
  <c r="AV99" i="1" s="1"/>
  <c r="AW113" i="1"/>
  <c r="AV137" i="1"/>
  <c r="BL198" i="1"/>
  <c r="BL141" i="1"/>
  <c r="AU145" i="1"/>
  <c r="BM194" i="1"/>
  <c r="BM171" i="1"/>
  <c r="AU204" i="1" l="1"/>
  <c r="AU210" i="1" s="1"/>
  <c r="BL75" i="1"/>
  <c r="BL80" i="1" s="1"/>
  <c r="BL83" i="1" s="1"/>
  <c r="BL86" i="1" s="1"/>
  <c r="BM68" i="1"/>
  <c r="BM195" i="1"/>
  <c r="BM172" i="1"/>
  <c r="BN169" i="1" s="1"/>
  <c r="BN188" i="1" s="1"/>
  <c r="BN189" i="1" s="1"/>
  <c r="AW118" i="1"/>
  <c r="AW95" i="1" s="1"/>
  <c r="AW115" i="1"/>
  <c r="AW117" i="1"/>
  <c r="AW94" i="1" s="1"/>
  <c r="AV129" i="1"/>
  <c r="BL142" i="1"/>
  <c r="BL149" i="1"/>
  <c r="BL107" i="1" s="1"/>
  <c r="AW119" i="1" l="1"/>
  <c r="AW121" i="1" s="1"/>
  <c r="AW96" i="1" s="1"/>
  <c r="AW97" i="1" s="1"/>
  <c r="BL104" i="1"/>
  <c r="BL143" i="1"/>
  <c r="BL105" i="1" s="1"/>
  <c r="BM85" i="1"/>
  <c r="BM92" i="1"/>
  <c r="AV100" i="1"/>
  <c r="AV101" i="1" s="1"/>
  <c r="AV138" i="1" s="1"/>
  <c r="AV130" i="1"/>
  <c r="AW125" i="1" s="1"/>
  <c r="BM196" i="1"/>
  <c r="BM69" i="1"/>
  <c r="BM84" i="1"/>
  <c r="BM91" i="1"/>
  <c r="BL76" i="1"/>
  <c r="BM73" i="1" s="1"/>
  <c r="BK114" i="1" l="1"/>
  <c r="BM93" i="1"/>
  <c r="AW122" i="1"/>
  <c r="BN171" i="1"/>
  <c r="BN194" i="1"/>
  <c r="BM70" i="1"/>
  <c r="BM71" i="1" s="1"/>
  <c r="BM74" i="1"/>
  <c r="BM75" i="1" s="1"/>
  <c r="BM80" i="1" s="1"/>
  <c r="BM83" i="1" s="1"/>
  <c r="BM86" i="1" s="1"/>
  <c r="BM198" i="1"/>
  <c r="BM141" i="1"/>
  <c r="BM76" i="1" l="1"/>
  <c r="BN73" i="1" s="1"/>
  <c r="BM149" i="1"/>
  <c r="BM107" i="1" s="1"/>
  <c r="BN68" i="1"/>
  <c r="BN195" i="1"/>
  <c r="BN172" i="1"/>
  <c r="BO169" i="1" s="1"/>
  <c r="BO188" i="1" s="1"/>
  <c r="BO189" i="1" s="1"/>
  <c r="AW98" i="1"/>
  <c r="AW99" i="1" s="1"/>
  <c r="AX113" i="1"/>
  <c r="AV102" i="1"/>
  <c r="AV103" i="1" s="1"/>
  <c r="AV144" i="1" s="1"/>
  <c r="AV139" i="1"/>
  <c r="AW133" i="1" s="1"/>
  <c r="AV106" i="1" l="1"/>
  <c r="AV108" i="1" s="1"/>
  <c r="AV148" i="1"/>
  <c r="AV150" i="1" s="1"/>
  <c r="AW147" i="1" s="1"/>
  <c r="BN85" i="1"/>
  <c r="BN92" i="1"/>
  <c r="BN196" i="1"/>
  <c r="BN69" i="1"/>
  <c r="BN84" i="1"/>
  <c r="BN91" i="1"/>
  <c r="AV145" i="1"/>
  <c r="AX118" i="1"/>
  <c r="AX95" i="1" s="1"/>
  <c r="AX115" i="1"/>
  <c r="AX117" i="1"/>
  <c r="AX94" i="1" s="1"/>
  <c r="AW137" i="1"/>
  <c r="AW129" i="1"/>
  <c r="BN93" i="1" l="1"/>
  <c r="AV204" i="1"/>
  <c r="AV210" i="1" s="1"/>
  <c r="BL114" i="1"/>
  <c r="BN70" i="1"/>
  <c r="BN71" i="1" s="1"/>
  <c r="BN74" i="1"/>
  <c r="BN141" i="1"/>
  <c r="BN198" i="1"/>
  <c r="AW100" i="1"/>
  <c r="AW101" i="1" s="1"/>
  <c r="AW138" i="1" s="1"/>
  <c r="AW130" i="1"/>
  <c r="AX125" i="1" s="1"/>
  <c r="AX119" i="1"/>
  <c r="BO171" i="1"/>
  <c r="BO194" i="1"/>
  <c r="BN149" i="1" l="1"/>
  <c r="BN107" i="1" s="1"/>
  <c r="BN142" i="1"/>
  <c r="BO68" i="1"/>
  <c r="BO195" i="1"/>
  <c r="BO196" i="1" s="1"/>
  <c r="BO172" i="1"/>
  <c r="BN75" i="1"/>
  <c r="BN80" i="1" s="1"/>
  <c r="BN83" i="1" s="1"/>
  <c r="BN86" i="1" s="1"/>
  <c r="AX121" i="1"/>
  <c r="AX96" i="1" s="1"/>
  <c r="AX97" i="1" s="1"/>
  <c r="BP169" i="1" l="1"/>
  <c r="BP188" i="1" s="1"/>
  <c r="BP189" i="1" s="1"/>
  <c r="AW102" i="1"/>
  <c r="AW103" i="1" s="1"/>
  <c r="AW142" i="1" s="1"/>
  <c r="AW139" i="1"/>
  <c r="AX133" i="1" s="1"/>
  <c r="BO92" i="1"/>
  <c r="BO85" i="1"/>
  <c r="BN143" i="1"/>
  <c r="BN105" i="1" s="1"/>
  <c r="BN104" i="1"/>
  <c r="BN76" i="1"/>
  <c r="BO73" i="1" s="1"/>
  <c r="BO198" i="1"/>
  <c r="BO141" i="1"/>
  <c r="BO69" i="1"/>
  <c r="BO84" i="1"/>
  <c r="BO91" i="1"/>
  <c r="AX122" i="1"/>
  <c r="BM114" i="1" l="1"/>
  <c r="AW143" i="1"/>
  <c r="AW105" i="1" s="1"/>
  <c r="AW104" i="1"/>
  <c r="BO74" i="1"/>
  <c r="BO75" i="1" s="1"/>
  <c r="BO80" i="1" s="1"/>
  <c r="BO83" i="1" s="1"/>
  <c r="BO86" i="1" s="1"/>
  <c r="BO70" i="1"/>
  <c r="BO71" i="1" s="1"/>
  <c r="AX137" i="1"/>
  <c r="AX98" i="1"/>
  <c r="AX99" i="1" s="1"/>
  <c r="AY113" i="1"/>
  <c r="BO93" i="1"/>
  <c r="BP171" i="1"/>
  <c r="BP194" i="1"/>
  <c r="BO149" i="1"/>
  <c r="BO107" i="1" s="1"/>
  <c r="BO142" i="1"/>
  <c r="AW144" i="1" l="1"/>
  <c r="BO104" i="1"/>
  <c r="BO143" i="1"/>
  <c r="BO105" i="1" s="1"/>
  <c r="AY118" i="1"/>
  <c r="AY95" i="1" s="1"/>
  <c r="AY115" i="1"/>
  <c r="AY117" i="1"/>
  <c r="AY94" i="1" s="1"/>
  <c r="BP68" i="1"/>
  <c r="AX129" i="1"/>
  <c r="BO76" i="1"/>
  <c r="BP73" i="1" s="1"/>
  <c r="BP195" i="1"/>
  <c r="BP196" i="1" s="1"/>
  <c r="BP172" i="1"/>
  <c r="BQ169" i="1" s="1"/>
  <c r="BQ188" i="1" s="1"/>
  <c r="BQ189" i="1" s="1"/>
  <c r="AW148" i="1" l="1"/>
  <c r="AW150" i="1" s="1"/>
  <c r="AX147" i="1" s="1"/>
  <c r="AW106" i="1"/>
  <c r="AW108" i="1" s="1"/>
  <c r="AW145" i="1"/>
  <c r="BP69" i="1"/>
  <c r="BP84" i="1"/>
  <c r="BP91" i="1"/>
  <c r="BP198" i="1"/>
  <c r="BP141" i="1"/>
  <c r="BP92" i="1"/>
  <c r="BP85" i="1"/>
  <c r="AX100" i="1"/>
  <c r="AX101" i="1" s="1"/>
  <c r="AX138" i="1" s="1"/>
  <c r="AX130" i="1"/>
  <c r="AY125" i="1" s="1"/>
  <c r="AY119" i="1"/>
  <c r="AW204" i="1" l="1"/>
  <c r="AW210" i="1" s="1"/>
  <c r="BN114" i="1"/>
  <c r="BP93" i="1"/>
  <c r="BP149" i="1"/>
  <c r="BP107" i="1" s="1"/>
  <c r="BP142" i="1"/>
  <c r="AY121" i="1"/>
  <c r="AY96" i="1" s="1"/>
  <c r="AY97" i="1" s="1"/>
  <c r="BP70" i="1"/>
  <c r="BP71" i="1" s="1"/>
  <c r="BP74" i="1"/>
  <c r="BQ171" i="1"/>
  <c r="BQ194" i="1"/>
  <c r="AY122" i="1" l="1"/>
  <c r="AY98" i="1" s="1"/>
  <c r="AY99" i="1" s="1"/>
  <c r="AX102" i="1"/>
  <c r="AX103" i="1" s="1"/>
  <c r="AX144" i="1" s="1"/>
  <c r="AX139" i="1"/>
  <c r="AY133" i="1" s="1"/>
  <c r="BQ195" i="1"/>
  <c r="BQ172" i="1"/>
  <c r="BR169" i="1" s="1"/>
  <c r="BR188" i="1" s="1"/>
  <c r="BR189" i="1" s="1"/>
  <c r="BP143" i="1"/>
  <c r="BP105" i="1" s="1"/>
  <c r="BP104" i="1"/>
  <c r="BQ68" i="1"/>
  <c r="BP75" i="1"/>
  <c r="BP80" i="1" s="1"/>
  <c r="BP83" i="1" s="1"/>
  <c r="BP86" i="1" s="1"/>
  <c r="AX148" i="1" l="1"/>
  <c r="AX150" i="1" s="1"/>
  <c r="AY147" i="1" s="1"/>
  <c r="AX106" i="1"/>
  <c r="AX108" i="1" s="1"/>
  <c r="AZ113" i="1"/>
  <c r="AZ118" i="1" s="1"/>
  <c r="AZ95" i="1" s="1"/>
  <c r="AY129" i="1"/>
  <c r="BQ92" i="1"/>
  <c r="BQ85" i="1"/>
  <c r="BQ69" i="1"/>
  <c r="BQ84" i="1"/>
  <c r="BQ91" i="1"/>
  <c r="AY137" i="1"/>
  <c r="BP76" i="1"/>
  <c r="BQ73" i="1" s="1"/>
  <c r="BQ196" i="1"/>
  <c r="AX145" i="1"/>
  <c r="AX204" i="1" l="1"/>
  <c r="AX210" i="1" s="1"/>
  <c r="BO114" i="1"/>
  <c r="BQ93" i="1"/>
  <c r="AZ115" i="1"/>
  <c r="AZ117" i="1"/>
  <c r="AZ94" i="1" s="1"/>
  <c r="BR171" i="1"/>
  <c r="BR194" i="1"/>
  <c r="BQ198" i="1"/>
  <c r="BQ141" i="1"/>
  <c r="BQ74" i="1"/>
  <c r="BQ75" i="1" s="1"/>
  <c r="BQ80" i="1" s="1"/>
  <c r="BQ83" i="1" s="1"/>
  <c r="BQ86" i="1" s="1"/>
  <c r="BQ70" i="1"/>
  <c r="BQ71" i="1" s="1"/>
  <c r="AY100" i="1"/>
  <c r="AY101" i="1" s="1"/>
  <c r="AY138" i="1" s="1"/>
  <c r="AY130" i="1"/>
  <c r="AZ125" i="1" s="1"/>
  <c r="AZ119" i="1" l="1"/>
  <c r="AZ121" i="1" s="1"/>
  <c r="AZ96" i="1" s="1"/>
  <c r="AZ97" i="1" s="1"/>
  <c r="BR68" i="1"/>
  <c r="BR195" i="1"/>
  <c r="BR172" i="1"/>
  <c r="BS169" i="1" s="1"/>
  <c r="BS188" i="1" s="1"/>
  <c r="BS189" i="1" s="1"/>
  <c r="BQ149" i="1"/>
  <c r="BQ107" i="1" s="1"/>
  <c r="BQ76" i="1"/>
  <c r="BR73" i="1" s="1"/>
  <c r="BR85" i="1" l="1"/>
  <c r="BR92" i="1"/>
  <c r="BR196" i="1"/>
  <c r="AZ122" i="1"/>
  <c r="AY102" i="1"/>
  <c r="AY103" i="1" s="1"/>
  <c r="AY144" i="1" s="1"/>
  <c r="AY139" i="1"/>
  <c r="AZ133" i="1" s="1"/>
  <c r="BR69" i="1"/>
  <c r="BR91" i="1"/>
  <c r="BR84" i="1"/>
  <c r="BP114" i="1" l="1"/>
  <c r="AY148" i="1"/>
  <c r="AY150" i="1" s="1"/>
  <c r="AZ147" i="1" s="1"/>
  <c r="AY106" i="1"/>
  <c r="AY108" i="1" s="1"/>
  <c r="BR93" i="1"/>
  <c r="BS171" i="1"/>
  <c r="BS194" i="1"/>
  <c r="AZ98" i="1"/>
  <c r="AZ99" i="1" s="1"/>
  <c r="BA113" i="1"/>
  <c r="BR74" i="1"/>
  <c r="BR70" i="1"/>
  <c r="BR71" i="1" s="1"/>
  <c r="BR198" i="1"/>
  <c r="BR141" i="1"/>
  <c r="AZ137" i="1"/>
  <c r="AY145" i="1"/>
  <c r="AY204" i="1" l="1"/>
  <c r="AY210" i="1" s="1"/>
  <c r="BR149" i="1"/>
  <c r="BR107" i="1" s="1"/>
  <c r="BR142" i="1"/>
  <c r="BA118" i="1"/>
  <c r="BA95" i="1" s="1"/>
  <c r="BA115" i="1"/>
  <c r="BA117" i="1"/>
  <c r="BA94" i="1" s="1"/>
  <c r="AZ129" i="1"/>
  <c r="BS68" i="1"/>
  <c r="BR75" i="1"/>
  <c r="BR80" i="1" s="1"/>
  <c r="BR83" i="1" s="1"/>
  <c r="BR86" i="1" s="1"/>
  <c r="BS195" i="1"/>
  <c r="BS172" i="1"/>
  <c r="BT169" i="1" l="1"/>
  <c r="BT188" i="1" s="1"/>
  <c r="BT189" i="1" s="1"/>
  <c r="BA119" i="1"/>
  <c r="BS85" i="1"/>
  <c r="BS92" i="1"/>
  <c r="BR76" i="1"/>
  <c r="BS73" i="1" s="1"/>
  <c r="BS69" i="1"/>
  <c r="BS84" i="1"/>
  <c r="BS91" i="1"/>
  <c r="BS196" i="1"/>
  <c r="AZ100" i="1"/>
  <c r="AZ101" i="1" s="1"/>
  <c r="AZ138" i="1" s="1"/>
  <c r="AZ130" i="1"/>
  <c r="BA125" i="1" s="1"/>
  <c r="BR143" i="1"/>
  <c r="BR105" i="1" s="1"/>
  <c r="BR104" i="1"/>
  <c r="BQ114" i="1" l="1"/>
  <c r="BS70" i="1"/>
  <c r="BS71" i="1" s="1"/>
  <c r="BS74" i="1"/>
  <c r="BS75" i="1" s="1"/>
  <c r="BS76" i="1" s="1"/>
  <c r="BT73" i="1" s="1"/>
  <c r="BS198" i="1"/>
  <c r="BS141" i="1"/>
  <c r="BT171" i="1"/>
  <c r="BT194" i="1"/>
  <c r="BA121" i="1"/>
  <c r="BA96" i="1" s="1"/>
  <c r="BA97" i="1" s="1"/>
  <c r="BS93" i="1"/>
  <c r="AZ102" i="1" l="1"/>
  <c r="AZ103" i="1" s="1"/>
  <c r="AZ144" i="1" s="1"/>
  <c r="AZ139" i="1"/>
  <c r="BA133" i="1" s="1"/>
  <c r="BT68" i="1"/>
  <c r="BT195" i="1"/>
  <c r="BT172" i="1"/>
  <c r="BU169" i="1" s="1"/>
  <c r="BU188" i="1" s="1"/>
  <c r="BU189" i="1" s="1"/>
  <c r="BS80" i="1"/>
  <c r="BS83" i="1" s="1"/>
  <c r="BS86" i="1" s="1"/>
  <c r="BA122" i="1"/>
  <c r="BS142" i="1"/>
  <c r="BS149" i="1"/>
  <c r="BS107" i="1" s="1"/>
  <c r="AZ148" i="1" l="1"/>
  <c r="AZ150" i="1" s="1"/>
  <c r="BA147" i="1" s="1"/>
  <c r="AZ106" i="1"/>
  <c r="AZ108" i="1" s="1"/>
  <c r="BA137" i="1"/>
  <c r="AZ145" i="1"/>
  <c r="BA98" i="1"/>
  <c r="BA99" i="1" s="1"/>
  <c r="BB113" i="1"/>
  <c r="BT92" i="1"/>
  <c r="BT85" i="1"/>
  <c r="BS104" i="1"/>
  <c r="BS143" i="1"/>
  <c r="BS105" i="1" s="1"/>
  <c r="BT196" i="1"/>
  <c r="BT69" i="1"/>
  <c r="BT84" i="1"/>
  <c r="BT91" i="1"/>
  <c r="AZ204" i="1" l="1"/>
  <c r="AZ210" i="1" s="1"/>
  <c r="BR114" i="1"/>
  <c r="BT93" i="1"/>
  <c r="BA129" i="1"/>
  <c r="BB118" i="1"/>
  <c r="BB95" i="1" s="1"/>
  <c r="BB115" i="1"/>
  <c r="BB117" i="1"/>
  <c r="BB94" i="1" s="1"/>
  <c r="BT74" i="1"/>
  <c r="BT70" i="1"/>
  <c r="BT71" i="1" s="1"/>
  <c r="BT198" i="1"/>
  <c r="BT141" i="1"/>
  <c r="BU171" i="1"/>
  <c r="BU194" i="1"/>
  <c r="BT149" i="1" l="1"/>
  <c r="BT107" i="1" s="1"/>
  <c r="BT142" i="1"/>
  <c r="BB119" i="1"/>
  <c r="BU195" i="1"/>
  <c r="BU196" i="1" s="1"/>
  <c r="BU172" i="1"/>
  <c r="BV169" i="1" s="1"/>
  <c r="BV188" i="1" s="1"/>
  <c r="BV189" i="1" s="1"/>
  <c r="BT75" i="1"/>
  <c r="BT80" i="1" s="1"/>
  <c r="BT83" i="1" s="1"/>
  <c r="BT86" i="1" s="1"/>
  <c r="BA100" i="1"/>
  <c r="BA101" i="1" s="1"/>
  <c r="BA138" i="1" s="1"/>
  <c r="BA130" i="1"/>
  <c r="BB125" i="1" s="1"/>
  <c r="BU68" i="1"/>
  <c r="BU85" i="1" l="1"/>
  <c r="BU92" i="1"/>
  <c r="BB121" i="1"/>
  <c r="BB96" i="1" s="1"/>
  <c r="BB97" i="1" s="1"/>
  <c r="BT143" i="1"/>
  <c r="BT105" i="1" s="1"/>
  <c r="BT104" i="1"/>
  <c r="BU198" i="1"/>
  <c r="BU141" i="1"/>
  <c r="BU69" i="1"/>
  <c r="BU91" i="1"/>
  <c r="BU84" i="1"/>
  <c r="BT76" i="1"/>
  <c r="BU73" i="1" s="1"/>
  <c r="BS114" i="1" l="1"/>
  <c r="BU93" i="1"/>
  <c r="BU149" i="1"/>
  <c r="BU107" i="1" s="1"/>
  <c r="BB122" i="1"/>
  <c r="BU70" i="1"/>
  <c r="BU71" i="1" s="1"/>
  <c r="BU74" i="1"/>
  <c r="BU75" i="1" s="1"/>
  <c r="BU80" i="1" s="1"/>
  <c r="BU83" i="1" s="1"/>
  <c r="BU86" i="1" s="1"/>
  <c r="BV171" i="1"/>
  <c r="BV194" i="1"/>
  <c r="BA102" i="1"/>
  <c r="BA103" i="1" s="1"/>
  <c r="BA142" i="1" s="1"/>
  <c r="BA139" i="1"/>
  <c r="BB133" i="1" s="1"/>
  <c r="BA143" i="1" l="1"/>
  <c r="BA105" i="1" s="1"/>
  <c r="BA104" i="1"/>
  <c r="BB98" i="1"/>
  <c r="BB99" i="1" s="1"/>
  <c r="BC113" i="1"/>
  <c r="BB137" i="1"/>
  <c r="BV68" i="1"/>
  <c r="BU76" i="1"/>
  <c r="BV73" i="1" s="1"/>
  <c r="BV195" i="1"/>
  <c r="BV196" i="1" s="1"/>
  <c r="BV172" i="1"/>
  <c r="BW169" i="1" s="1"/>
  <c r="BW188" i="1" s="1"/>
  <c r="BW189" i="1" s="1"/>
  <c r="BA144" i="1" l="1"/>
  <c r="BA148" i="1" s="1"/>
  <c r="BA150" i="1" s="1"/>
  <c r="BB147" i="1" s="1"/>
  <c r="BC118" i="1"/>
  <c r="BC95" i="1" s="1"/>
  <c r="BC117" i="1"/>
  <c r="BC94" i="1" s="1"/>
  <c r="BC115" i="1"/>
  <c r="BV198" i="1"/>
  <c r="BV141" i="1"/>
  <c r="BB129" i="1"/>
  <c r="BV85" i="1"/>
  <c r="BV92" i="1"/>
  <c r="BV69" i="1"/>
  <c r="BV84" i="1"/>
  <c r="BV91" i="1"/>
  <c r="BT114" i="1" l="1"/>
  <c r="BA145" i="1"/>
  <c r="BA106" i="1"/>
  <c r="BA108" i="1" s="1"/>
  <c r="BV93" i="1"/>
  <c r="BC119" i="1"/>
  <c r="BV70" i="1"/>
  <c r="BV71" i="1" s="1"/>
  <c r="BV74" i="1"/>
  <c r="BB100" i="1"/>
  <c r="BB101" i="1" s="1"/>
  <c r="BB138" i="1" s="1"/>
  <c r="BB130" i="1"/>
  <c r="BC125" i="1" s="1"/>
  <c r="BW171" i="1"/>
  <c r="BW194" i="1"/>
  <c r="BV149" i="1"/>
  <c r="BV107" i="1" s="1"/>
  <c r="BV142" i="1"/>
  <c r="BA204" i="1" l="1"/>
  <c r="BA210" i="1" s="1"/>
  <c r="BW68" i="1"/>
  <c r="BC121" i="1"/>
  <c r="BC96" i="1" s="1"/>
  <c r="BC97" i="1" s="1"/>
  <c r="BV143" i="1"/>
  <c r="BV105" i="1" s="1"/>
  <c r="BV104" i="1"/>
  <c r="BW195" i="1"/>
  <c r="BW172" i="1"/>
  <c r="BV75" i="1"/>
  <c r="BV80" i="1" s="1"/>
  <c r="BV83" i="1" s="1"/>
  <c r="BV86" i="1" s="1"/>
  <c r="BX169" i="1" l="1"/>
  <c r="BX188" i="1" s="1"/>
  <c r="BX189" i="1" s="1"/>
  <c r="BB102" i="1"/>
  <c r="BB103" i="1" s="1"/>
  <c r="BB144" i="1" s="1"/>
  <c r="BB139" i="1"/>
  <c r="BC133" i="1" s="1"/>
  <c r="BC122" i="1"/>
  <c r="BV76" i="1"/>
  <c r="BW73" i="1" s="1"/>
  <c r="BW69" i="1"/>
  <c r="BW84" i="1"/>
  <c r="BW91" i="1"/>
  <c r="BW85" i="1"/>
  <c r="BW92" i="1"/>
  <c r="BW196" i="1"/>
  <c r="BU114" i="1" l="1"/>
  <c r="BB106" i="1"/>
  <c r="BB108" i="1" s="1"/>
  <c r="BB148" i="1"/>
  <c r="BB150" i="1" s="1"/>
  <c r="BC147" i="1" s="1"/>
  <c r="BW70" i="1"/>
  <c r="BW71" i="1" s="1"/>
  <c r="BW74" i="1"/>
  <c r="BW75" i="1" s="1"/>
  <c r="BW80" i="1" s="1"/>
  <c r="BW83" i="1" s="1"/>
  <c r="BW86" i="1" s="1"/>
  <c r="BC98" i="1"/>
  <c r="BC99" i="1" s="1"/>
  <c r="BD113" i="1"/>
  <c r="BW93" i="1"/>
  <c r="BW198" i="1"/>
  <c r="BW141" i="1"/>
  <c r="BC137" i="1"/>
  <c r="BX194" i="1"/>
  <c r="BX171" i="1"/>
  <c r="BB145" i="1"/>
  <c r="BB204" i="1" l="1"/>
  <c r="BB210" i="1" s="1"/>
  <c r="BD118" i="1"/>
  <c r="BD95" i="1" s="1"/>
  <c r="BD117" i="1"/>
  <c r="BD94" i="1" s="1"/>
  <c r="BD115" i="1"/>
  <c r="BC129" i="1"/>
  <c r="BW149" i="1"/>
  <c r="BW107" i="1" s="1"/>
  <c r="BW142" i="1"/>
  <c r="BX68" i="1"/>
  <c r="BW76" i="1"/>
  <c r="BX73" i="1" s="1"/>
  <c r="BX195" i="1"/>
  <c r="BX172" i="1"/>
  <c r="BY169" i="1" s="1"/>
  <c r="BY188" i="1" s="1"/>
  <c r="BY189" i="1" s="1"/>
  <c r="BC100" i="1" l="1"/>
  <c r="BC101" i="1" s="1"/>
  <c r="BC138" i="1" s="1"/>
  <c r="BC130" i="1"/>
  <c r="BD125" i="1" s="1"/>
  <c r="BX85" i="1"/>
  <c r="BX92" i="1"/>
  <c r="BX69" i="1"/>
  <c r="BX84" i="1"/>
  <c r="BX91" i="1"/>
  <c r="BX196" i="1"/>
  <c r="BD119" i="1"/>
  <c r="BW143" i="1"/>
  <c r="BW105" i="1" s="1"/>
  <c r="BW104" i="1"/>
  <c r="BV114" i="1" l="1"/>
  <c r="BX93" i="1"/>
  <c r="BX74" i="1"/>
  <c r="BX70" i="1"/>
  <c r="BX71" i="1" s="1"/>
  <c r="BX198" i="1"/>
  <c r="BX141" i="1"/>
  <c r="BD121" i="1"/>
  <c r="BD96" i="1" s="1"/>
  <c r="BD97" i="1" s="1"/>
  <c r="BY171" i="1"/>
  <c r="BY194" i="1"/>
  <c r="BD122" i="1" l="1"/>
  <c r="BD98" i="1" s="1"/>
  <c r="BD99" i="1" s="1"/>
  <c r="BY68" i="1"/>
  <c r="BX75" i="1"/>
  <c r="BX80" i="1" s="1"/>
  <c r="BX83" i="1" s="1"/>
  <c r="BX86" i="1" s="1"/>
  <c r="BY195" i="1"/>
  <c r="BY172" i="1"/>
  <c r="BZ169" i="1" s="1"/>
  <c r="BZ188" i="1" s="1"/>
  <c r="BZ189" i="1" s="1"/>
  <c r="BX149" i="1"/>
  <c r="BX107" i="1" s="1"/>
  <c r="BX142" i="1"/>
  <c r="BC102" i="1"/>
  <c r="BC103" i="1" s="1"/>
  <c r="BC144" i="1" s="1"/>
  <c r="BC139" i="1"/>
  <c r="BD133" i="1" s="1"/>
  <c r="BE113" i="1" l="1"/>
  <c r="BE118" i="1" s="1"/>
  <c r="BE95" i="1" s="1"/>
  <c r="BC148" i="1"/>
  <c r="BC150" i="1" s="1"/>
  <c r="BD147" i="1" s="1"/>
  <c r="BC106" i="1"/>
  <c r="BC108" i="1" s="1"/>
  <c r="BD129" i="1"/>
  <c r="BY92" i="1"/>
  <c r="BY85" i="1"/>
  <c r="BX104" i="1"/>
  <c r="BX143" i="1"/>
  <c r="BX105" i="1" s="1"/>
  <c r="BX76" i="1"/>
  <c r="BY73" i="1" s="1"/>
  <c r="BC145" i="1"/>
  <c r="BY69" i="1"/>
  <c r="BY91" i="1"/>
  <c r="BY84" i="1"/>
  <c r="BD137" i="1"/>
  <c r="BY196" i="1"/>
  <c r="BC204" i="1" l="1"/>
  <c r="BC210" i="1" s="1"/>
  <c r="BE115" i="1"/>
  <c r="BE117" i="1"/>
  <c r="BE94" i="1" s="1"/>
  <c r="BW114" i="1"/>
  <c r="BY93" i="1"/>
  <c r="BZ194" i="1"/>
  <c r="BZ171" i="1"/>
  <c r="BY74" i="1"/>
  <c r="BY75" i="1" s="1"/>
  <c r="BY80" i="1" s="1"/>
  <c r="BY83" i="1" s="1"/>
  <c r="BY86" i="1" s="1"/>
  <c r="BY70" i="1"/>
  <c r="BY71" i="1" s="1"/>
  <c r="BD100" i="1"/>
  <c r="BD101" i="1" s="1"/>
  <c r="BD138" i="1" s="1"/>
  <c r="BD130" i="1"/>
  <c r="BE125" i="1" s="1"/>
  <c r="BY141" i="1"/>
  <c r="BY198" i="1"/>
  <c r="BE119" i="1" l="1"/>
  <c r="BE121" i="1" s="1"/>
  <c r="BE96" i="1" s="1"/>
  <c r="BE97" i="1" s="1"/>
  <c r="BY76" i="1"/>
  <c r="BZ73" i="1" s="1"/>
  <c r="BY149" i="1"/>
  <c r="BY107" i="1" s="1"/>
  <c r="BZ195" i="1"/>
  <c r="BZ172" i="1"/>
  <c r="CA169" i="1" s="1"/>
  <c r="CA188" i="1" s="1"/>
  <c r="CA189" i="1" s="1"/>
  <c r="BZ68" i="1"/>
  <c r="BE122" i="1" l="1"/>
  <c r="BZ85" i="1"/>
  <c r="BZ92" i="1"/>
  <c r="BZ196" i="1"/>
  <c r="BD102" i="1"/>
  <c r="BD103" i="1" s="1"/>
  <c r="BD144" i="1" s="1"/>
  <c r="BD139" i="1"/>
  <c r="BE133" i="1" s="1"/>
  <c r="BZ69" i="1"/>
  <c r="BZ84" i="1"/>
  <c r="BZ91" i="1"/>
  <c r="BX114" i="1" l="1"/>
  <c r="BD106" i="1"/>
  <c r="BD108" i="1" s="1"/>
  <c r="BD148" i="1"/>
  <c r="BD150" i="1" s="1"/>
  <c r="BE147" i="1" s="1"/>
  <c r="BZ93" i="1"/>
  <c r="BZ70" i="1"/>
  <c r="BZ71" i="1" s="1"/>
  <c r="BZ74" i="1"/>
  <c r="BD145" i="1"/>
  <c r="BE137" i="1"/>
  <c r="BZ198" i="1"/>
  <c r="BZ141" i="1"/>
  <c r="CA171" i="1"/>
  <c r="CA194" i="1"/>
  <c r="BE98" i="1"/>
  <c r="BE99" i="1" s="1"/>
  <c r="BF113" i="1"/>
  <c r="BD204" i="1" l="1"/>
  <c r="BD210" i="1" s="1"/>
  <c r="BZ149" i="1"/>
  <c r="BZ107" i="1" s="1"/>
  <c r="BZ142" i="1"/>
  <c r="BF118" i="1"/>
  <c r="BF95" i="1" s="1"/>
  <c r="BF115" i="1"/>
  <c r="BF117" i="1"/>
  <c r="BF94" i="1" s="1"/>
  <c r="BZ75" i="1"/>
  <c r="BZ80" i="1" s="1"/>
  <c r="BZ83" i="1" s="1"/>
  <c r="BZ86" i="1" s="1"/>
  <c r="BE129" i="1"/>
  <c r="CA68" i="1"/>
  <c r="CA195" i="1"/>
  <c r="CA196" i="1" s="1"/>
  <c r="CA172" i="1"/>
  <c r="CB169" i="1" l="1"/>
  <c r="CB188" i="1" s="1"/>
  <c r="CB189" i="1" s="1"/>
  <c r="CA209" i="1"/>
  <c r="CA141" i="1"/>
  <c r="CA198" i="1"/>
  <c r="CA69" i="1"/>
  <c r="CA84" i="1"/>
  <c r="CA91" i="1"/>
  <c r="BE100" i="1"/>
  <c r="BE101" i="1" s="1"/>
  <c r="BE138" i="1" s="1"/>
  <c r="BE130" i="1"/>
  <c r="BF125" i="1" s="1"/>
  <c r="BF119" i="1"/>
  <c r="CA92" i="1"/>
  <c r="CA85" i="1"/>
  <c r="BZ104" i="1"/>
  <c r="BZ143" i="1"/>
  <c r="BZ105" i="1" s="1"/>
  <c r="BZ76" i="1"/>
  <c r="CA73" i="1" s="1"/>
  <c r="BY114" i="1" l="1"/>
  <c r="CA93" i="1"/>
  <c r="CA70" i="1"/>
  <c r="CA71" i="1" s="1"/>
  <c r="CA74" i="1"/>
  <c r="CA75" i="1" s="1"/>
  <c r="CA80" i="1" s="1"/>
  <c r="CA83" i="1" s="1"/>
  <c r="CA86" i="1" s="1"/>
  <c r="CB171" i="1"/>
  <c r="CB194" i="1"/>
  <c r="BF121" i="1"/>
  <c r="BF96" i="1" s="1"/>
  <c r="BF97" i="1" s="1"/>
  <c r="CA149" i="1"/>
  <c r="CA107" i="1" s="1"/>
  <c r="CA142" i="1"/>
  <c r="CA76" i="1" l="1"/>
  <c r="CB73" i="1" s="1"/>
  <c r="BE102" i="1"/>
  <c r="BE103" i="1" s="1"/>
  <c r="BE142" i="1" s="1"/>
  <c r="BE139" i="1"/>
  <c r="BF133" i="1" s="1"/>
  <c r="BF122" i="1"/>
  <c r="CB68" i="1"/>
  <c r="CA143" i="1"/>
  <c r="CA105" i="1" s="1"/>
  <c r="CA104" i="1"/>
  <c r="CB195" i="1"/>
  <c r="CB172" i="1"/>
  <c r="CC169" i="1" s="1"/>
  <c r="CC188" i="1" s="1"/>
  <c r="CC189" i="1" s="1"/>
  <c r="BE143" i="1" l="1"/>
  <c r="BE105" i="1" s="1"/>
  <c r="BE104" i="1"/>
  <c r="BF98" i="1"/>
  <c r="BF99" i="1" s="1"/>
  <c r="BG113" i="1"/>
  <c r="BF137" i="1"/>
  <c r="CB69" i="1"/>
  <c r="CB84" i="1"/>
  <c r="CB91" i="1"/>
  <c r="CB92" i="1"/>
  <c r="CB85" i="1"/>
  <c r="CB196" i="1"/>
  <c r="BZ114" i="1" l="1"/>
  <c r="BE144" i="1"/>
  <c r="BE145" i="1" s="1"/>
  <c r="BG118" i="1"/>
  <c r="BG95" i="1" s="1"/>
  <c r="BG115" i="1"/>
  <c r="BG117" i="1"/>
  <c r="BG94" i="1" s="1"/>
  <c r="CC171" i="1"/>
  <c r="CC194" i="1"/>
  <c r="BF129" i="1"/>
  <c r="CB198" i="1"/>
  <c r="CB141" i="1"/>
  <c r="CB74" i="1"/>
  <c r="CB70" i="1"/>
  <c r="CB71" i="1" s="1"/>
  <c r="CB93" i="1"/>
  <c r="BE106" i="1" l="1"/>
  <c r="BE108" i="1" s="1"/>
  <c r="BE148" i="1"/>
  <c r="BE150" i="1" s="1"/>
  <c r="BF147" i="1" s="1"/>
  <c r="CB75" i="1"/>
  <c r="CB80" i="1" s="1"/>
  <c r="CB83" i="1" s="1"/>
  <c r="CB86" i="1" s="1"/>
  <c r="CC68" i="1"/>
  <c r="CC195" i="1"/>
  <c r="CC172" i="1"/>
  <c r="CD169" i="1" s="1"/>
  <c r="CD188" i="1" s="1"/>
  <c r="CD189" i="1" s="1"/>
  <c r="CB142" i="1"/>
  <c r="BF100" i="1"/>
  <c r="BF101" i="1" s="1"/>
  <c r="BF138" i="1" s="1"/>
  <c r="BF130" i="1"/>
  <c r="BG125" i="1" s="1"/>
  <c r="BG119" i="1"/>
  <c r="BE204" i="1" l="1"/>
  <c r="BE210" i="1" s="1"/>
  <c r="CC85" i="1"/>
  <c r="CC92" i="1"/>
  <c r="CC196" i="1"/>
  <c r="CC69" i="1"/>
  <c r="CC84" i="1"/>
  <c r="CC91" i="1"/>
  <c r="BG121" i="1"/>
  <c r="BG96" i="1" s="1"/>
  <c r="BG97" i="1" s="1"/>
  <c r="CB104" i="1"/>
  <c r="CB143" i="1"/>
  <c r="CB105" i="1" s="1"/>
  <c r="CB76" i="1"/>
  <c r="CC73" i="1" s="1"/>
  <c r="CA114" i="1" l="1"/>
  <c r="CC93" i="1"/>
  <c r="CC198" i="1"/>
  <c r="CC141" i="1"/>
  <c r="BF102" i="1"/>
  <c r="BF103" i="1" s="1"/>
  <c r="BF144" i="1" s="1"/>
  <c r="BF139" i="1"/>
  <c r="BG133" i="1" s="1"/>
  <c r="BG122" i="1"/>
  <c r="CC70" i="1"/>
  <c r="CC71" i="1" s="1"/>
  <c r="CC74" i="1"/>
  <c r="CD171" i="1"/>
  <c r="CD194" i="1"/>
  <c r="BF106" i="1" l="1"/>
  <c r="BF108" i="1" s="1"/>
  <c r="BF148" i="1"/>
  <c r="BF150" i="1" s="1"/>
  <c r="BG147" i="1" s="1"/>
  <c r="CC75" i="1"/>
  <c r="CC80" i="1" s="1"/>
  <c r="CC83" i="1" s="1"/>
  <c r="CC86" i="1" s="1"/>
  <c r="BG98" i="1"/>
  <c r="BG99" i="1" s="1"/>
  <c r="BH113" i="1"/>
  <c r="BG137" i="1"/>
  <c r="CD68" i="1"/>
  <c r="BF145" i="1"/>
  <c r="CD195" i="1"/>
  <c r="CD196" i="1" s="1"/>
  <c r="CD172" i="1"/>
  <c r="CE169" i="1" s="1"/>
  <c r="CE188" i="1" s="1"/>
  <c r="CE189" i="1" s="1"/>
  <c r="CC149" i="1"/>
  <c r="CC107" i="1" s="1"/>
  <c r="BF204" i="1" l="1"/>
  <c r="BF210" i="1" s="1"/>
  <c r="CC76" i="1"/>
  <c r="CD73" i="1" s="1"/>
  <c r="CD198" i="1"/>
  <c r="CD141" i="1"/>
  <c r="BH118" i="1"/>
  <c r="BH95" i="1" s="1"/>
  <c r="BH117" i="1"/>
  <c r="BH94" i="1" s="1"/>
  <c r="BH115" i="1"/>
  <c r="BG129" i="1"/>
  <c r="CD92" i="1"/>
  <c r="CD85" i="1"/>
  <c r="CD69" i="1"/>
  <c r="CD84" i="1"/>
  <c r="CD91" i="1"/>
  <c r="CB114" i="1" l="1"/>
  <c r="CD93" i="1"/>
  <c r="BH119" i="1"/>
  <c r="CD149" i="1"/>
  <c r="CD107" i="1" s="1"/>
  <c r="CD142" i="1"/>
  <c r="BG100" i="1"/>
  <c r="BG101" i="1" s="1"/>
  <c r="BG138" i="1" s="1"/>
  <c r="BG130" i="1"/>
  <c r="BH125" i="1" s="1"/>
  <c r="CD70" i="1"/>
  <c r="CD71" i="1" s="1"/>
  <c r="CD74" i="1"/>
  <c r="CE171" i="1"/>
  <c r="CE194" i="1"/>
  <c r="CD75" i="1" l="1"/>
  <c r="CD80" i="1" s="1"/>
  <c r="CD83" i="1" s="1"/>
  <c r="CD86" i="1" s="1"/>
  <c r="CD143" i="1"/>
  <c r="CD105" i="1" s="1"/>
  <c r="CD104" i="1"/>
  <c r="BH121" i="1"/>
  <c r="BH96" i="1" s="1"/>
  <c r="BH97" i="1" s="1"/>
  <c r="CE195" i="1"/>
  <c r="CE196" i="1" s="1"/>
  <c r="CE172" i="1"/>
  <c r="CE68" i="1"/>
  <c r="CF169" i="1" l="1"/>
  <c r="CF188" i="1" s="1"/>
  <c r="CF189" i="1" s="1"/>
  <c r="BH122" i="1"/>
  <c r="BH98" i="1" s="1"/>
  <c r="BH99" i="1" s="1"/>
  <c r="CE141" i="1"/>
  <c r="CE198" i="1"/>
  <c r="BG102" i="1"/>
  <c r="BG103" i="1" s="1"/>
  <c r="BG144" i="1" s="1"/>
  <c r="BG139" i="1"/>
  <c r="BH133" i="1" s="1"/>
  <c r="CE69" i="1"/>
  <c r="CE91" i="1"/>
  <c r="CE84" i="1"/>
  <c r="CD76" i="1"/>
  <c r="CE73" i="1" s="1"/>
  <c r="CE92" i="1"/>
  <c r="CE85" i="1"/>
  <c r="CC114" i="1" l="1"/>
  <c r="BI113" i="1"/>
  <c r="BI118" i="1" s="1"/>
  <c r="BI95" i="1" s="1"/>
  <c r="BG148" i="1"/>
  <c r="BG150" i="1" s="1"/>
  <c r="BH147" i="1" s="1"/>
  <c r="BG106" i="1"/>
  <c r="BG108" i="1" s="1"/>
  <c r="BH129" i="1"/>
  <c r="BH137" i="1"/>
  <c r="CF171" i="1"/>
  <c r="CF194" i="1"/>
  <c r="CE93" i="1"/>
  <c r="BG145" i="1"/>
  <c r="CE70" i="1"/>
  <c r="CE71" i="1" s="1"/>
  <c r="CE74" i="1"/>
  <c r="CE75" i="1" s="1"/>
  <c r="CE80" i="1" s="1"/>
  <c r="CE83" i="1" s="1"/>
  <c r="CE86" i="1" s="1"/>
  <c r="CE142" i="1"/>
  <c r="CE149" i="1"/>
  <c r="CE107" i="1" s="1"/>
  <c r="BG204" i="1" l="1"/>
  <c r="BG210" i="1" s="1"/>
  <c r="BI115" i="1"/>
  <c r="BI117" i="1"/>
  <c r="BI94" i="1" s="1"/>
  <c r="CE76" i="1"/>
  <c r="CF73" i="1" s="1"/>
  <c r="CF68" i="1"/>
  <c r="CF195" i="1"/>
  <c r="CF172" i="1"/>
  <c r="CG169" i="1" s="1"/>
  <c r="CG188" i="1" s="1"/>
  <c r="CG189" i="1" s="1"/>
  <c r="BH100" i="1"/>
  <c r="BH101" i="1" s="1"/>
  <c r="BH138" i="1" s="1"/>
  <c r="BH130" i="1"/>
  <c r="BI125" i="1" s="1"/>
  <c r="CE143" i="1"/>
  <c r="CE105" i="1" s="1"/>
  <c r="CE104" i="1"/>
  <c r="BI119" i="1" l="1"/>
  <c r="BI121" i="1" s="1"/>
  <c r="BI96" i="1" s="1"/>
  <c r="BI97" i="1" s="1"/>
  <c r="CF85" i="1"/>
  <c r="CF92" i="1"/>
  <c r="CF196" i="1"/>
  <c r="CF69" i="1"/>
  <c r="CF84" i="1"/>
  <c r="CF91" i="1"/>
  <c r="CD114" i="1" l="1"/>
  <c r="CF93" i="1"/>
  <c r="CF70" i="1"/>
  <c r="CF71" i="1" s="1"/>
  <c r="CF74" i="1"/>
  <c r="BH102" i="1"/>
  <c r="BH103" i="1" s="1"/>
  <c r="BH144" i="1" s="1"/>
  <c r="BH139" i="1"/>
  <c r="BI133" i="1" s="1"/>
  <c r="CF198" i="1"/>
  <c r="CF141" i="1"/>
  <c r="BI122" i="1"/>
  <c r="CG171" i="1"/>
  <c r="CG194" i="1"/>
  <c r="BH106" i="1" l="1"/>
  <c r="BH108" i="1" s="1"/>
  <c r="BH148" i="1"/>
  <c r="BH150" i="1" s="1"/>
  <c r="BI147" i="1" s="1"/>
  <c r="CF149" i="1"/>
  <c r="CF107" i="1" s="1"/>
  <c r="CF142" i="1"/>
  <c r="BI137" i="1"/>
  <c r="CG195" i="1"/>
  <c r="CG196" i="1" s="1"/>
  <c r="CG172" i="1"/>
  <c r="CH169" i="1" s="1"/>
  <c r="CH188" i="1" s="1"/>
  <c r="CH189" i="1" s="1"/>
  <c r="BH145" i="1"/>
  <c r="CF75" i="1"/>
  <c r="CF80" i="1" s="1"/>
  <c r="CF83" i="1" s="1"/>
  <c r="CF86" i="1" s="1"/>
  <c r="CG68" i="1"/>
  <c r="BI98" i="1"/>
  <c r="BI99" i="1" s="1"/>
  <c r="BJ113" i="1"/>
  <c r="BH204" i="1" l="1"/>
  <c r="BH210" i="1" s="1"/>
  <c r="CG141" i="1"/>
  <c r="CG198" i="1"/>
  <c r="CG92" i="1"/>
  <c r="CG85" i="1"/>
  <c r="CG69" i="1"/>
  <c r="CG84" i="1"/>
  <c r="CG91" i="1"/>
  <c r="CF76" i="1"/>
  <c r="CG73" i="1" s="1"/>
  <c r="BJ118" i="1"/>
  <c r="BJ95" i="1" s="1"/>
  <c r="BJ117" i="1"/>
  <c r="BJ94" i="1" s="1"/>
  <c r="BJ115" i="1"/>
  <c r="CF104" i="1"/>
  <c r="CF143" i="1"/>
  <c r="CF105" i="1" s="1"/>
  <c r="BI129" i="1"/>
  <c r="CE114" i="1" l="1"/>
  <c r="BI100" i="1"/>
  <c r="BI101" i="1" s="1"/>
  <c r="BI138" i="1" s="1"/>
  <c r="BI130" i="1"/>
  <c r="BJ125" i="1" s="1"/>
  <c r="CG70" i="1"/>
  <c r="CG71" i="1" s="1"/>
  <c r="CG74" i="1"/>
  <c r="CG75" i="1" s="1"/>
  <c r="CG142" i="1"/>
  <c r="CG149" i="1"/>
  <c r="CG107" i="1" s="1"/>
  <c r="CH194" i="1"/>
  <c r="CH171" i="1"/>
  <c r="BJ119" i="1"/>
  <c r="CG93" i="1"/>
  <c r="CG76" i="1" l="1"/>
  <c r="CH73" i="1" s="1"/>
  <c r="CG80" i="1"/>
  <c r="CG83" i="1" s="1"/>
  <c r="CG86" i="1" s="1"/>
  <c r="CG104" i="1"/>
  <c r="CG143" i="1"/>
  <c r="CG105" i="1" s="1"/>
  <c r="CH68" i="1"/>
  <c r="CH195" i="1"/>
  <c r="CH172" i="1"/>
  <c r="CI169" i="1" s="1"/>
  <c r="CI188" i="1" s="1"/>
  <c r="CI189" i="1" s="1"/>
  <c r="BJ121" i="1"/>
  <c r="BJ96" i="1" s="1"/>
  <c r="BJ97" i="1" s="1"/>
  <c r="BJ122" i="1" l="1"/>
  <c r="BK113" i="1" s="1"/>
  <c r="BI102" i="1"/>
  <c r="BI103" i="1" s="1"/>
  <c r="BI142" i="1" s="1"/>
  <c r="BI139" i="1"/>
  <c r="BJ133" i="1" s="1"/>
  <c r="CH85" i="1"/>
  <c r="CH92" i="1"/>
  <c r="CH196" i="1"/>
  <c r="CH69" i="1"/>
  <c r="CH91" i="1"/>
  <c r="CH84" i="1"/>
  <c r="CF114" i="1" l="1"/>
  <c r="BJ98" i="1"/>
  <c r="BJ99" i="1" s="1"/>
  <c r="BJ129" i="1" s="1"/>
  <c r="CH93" i="1"/>
  <c r="BI104" i="1"/>
  <c r="BI143" i="1"/>
  <c r="BI105" i="1" s="1"/>
  <c r="BK118" i="1"/>
  <c r="BK95" i="1" s="1"/>
  <c r="BK117" i="1"/>
  <c r="BK94" i="1" s="1"/>
  <c r="BK115" i="1"/>
  <c r="CH74" i="1"/>
  <c r="CH70" i="1"/>
  <c r="CH71" i="1" s="1"/>
  <c r="CH141" i="1"/>
  <c r="CH198" i="1"/>
  <c r="BJ137" i="1"/>
  <c r="CI171" i="1"/>
  <c r="CI194" i="1"/>
  <c r="BI144" i="1" l="1"/>
  <c r="CH75" i="1"/>
  <c r="CH80" i="1" s="1"/>
  <c r="CH83" i="1" s="1"/>
  <c r="CH86" i="1" s="1"/>
  <c r="CI195" i="1"/>
  <c r="CI196" i="1" s="1"/>
  <c r="CI172" i="1"/>
  <c r="CI68" i="1"/>
  <c r="CH142" i="1"/>
  <c r="CH149" i="1"/>
  <c r="CH107" i="1" s="1"/>
  <c r="BK119" i="1"/>
  <c r="BJ100" i="1"/>
  <c r="BJ101" i="1" s="1"/>
  <c r="BJ138" i="1" s="1"/>
  <c r="BJ130" i="1"/>
  <c r="BK125" i="1" s="1"/>
  <c r="CJ169" i="1" l="1"/>
  <c r="CJ188" i="1" s="1"/>
  <c r="CJ189" i="1" s="1"/>
  <c r="BI106" i="1"/>
  <c r="BI108" i="1" s="1"/>
  <c r="BI148" i="1"/>
  <c r="BI150" i="1" s="1"/>
  <c r="BJ147" i="1" s="1"/>
  <c r="BI145" i="1"/>
  <c r="CH76" i="1"/>
  <c r="CI73" i="1" s="1"/>
  <c r="CI69" i="1"/>
  <c r="CI84" i="1"/>
  <c r="CI91" i="1"/>
  <c r="CI85" i="1"/>
  <c r="CI92" i="1"/>
  <c r="CI141" i="1"/>
  <c r="CI198" i="1"/>
  <c r="BK121" i="1"/>
  <c r="BK96" i="1" s="1"/>
  <c r="BK97" i="1" s="1"/>
  <c r="CH143" i="1"/>
  <c r="CH105" i="1" s="1"/>
  <c r="CH104" i="1"/>
  <c r="BI204" i="1" l="1"/>
  <c r="BI210" i="1" s="1"/>
  <c r="CG114" i="1"/>
  <c r="CI93" i="1"/>
  <c r="BK122" i="1"/>
  <c r="CJ171" i="1"/>
  <c r="CJ194" i="1"/>
  <c r="BJ102" i="1"/>
  <c r="BJ103" i="1" s="1"/>
  <c r="BJ144" i="1" s="1"/>
  <c r="BJ139" i="1"/>
  <c r="BK133" i="1" s="1"/>
  <c r="CI149" i="1"/>
  <c r="CI107" i="1" s="1"/>
  <c r="CI142" i="1"/>
  <c r="CI74" i="1"/>
  <c r="CI70" i="1"/>
  <c r="CI71" i="1" s="1"/>
  <c r="BJ148" i="1" l="1"/>
  <c r="BJ150" i="1" s="1"/>
  <c r="BK147" i="1" s="1"/>
  <c r="BJ106" i="1"/>
  <c r="BJ108" i="1" s="1"/>
  <c r="BK137" i="1"/>
  <c r="BJ145" i="1"/>
  <c r="CJ68" i="1"/>
  <c r="CJ195" i="1"/>
  <c r="CJ172" i="1"/>
  <c r="CK169" i="1" s="1"/>
  <c r="CK188" i="1" s="1"/>
  <c r="CK189" i="1" s="1"/>
  <c r="CI75" i="1"/>
  <c r="CI80" i="1" s="1"/>
  <c r="CI83" i="1" s="1"/>
  <c r="CI86" i="1" s="1"/>
  <c r="CI143" i="1"/>
  <c r="CI105" i="1" s="1"/>
  <c r="CI104" i="1"/>
  <c r="BK98" i="1"/>
  <c r="BK99" i="1" s="1"/>
  <c r="BL113" i="1"/>
  <c r="BJ204" i="1" l="1"/>
  <c r="BJ210" i="1" s="1"/>
  <c r="BL118" i="1"/>
  <c r="BL95" i="1" s="1"/>
  <c r="BL115" i="1"/>
  <c r="BL117" i="1"/>
  <c r="BL94" i="1" s="1"/>
  <c r="BK129" i="1"/>
  <c r="CJ69" i="1"/>
  <c r="CJ84" i="1"/>
  <c r="CJ91" i="1"/>
  <c r="CI76" i="1"/>
  <c r="CJ73" i="1" s="1"/>
  <c r="CJ92" i="1"/>
  <c r="CJ85" i="1"/>
  <c r="CJ196" i="1"/>
  <c r="CH114" i="1" l="1"/>
  <c r="CJ93" i="1"/>
  <c r="CK171" i="1"/>
  <c r="CK194" i="1"/>
  <c r="CJ198" i="1"/>
  <c r="CJ141" i="1"/>
  <c r="CJ70" i="1"/>
  <c r="CJ71" i="1" s="1"/>
  <c r="CJ74" i="1"/>
  <c r="CJ75" i="1" s="1"/>
  <c r="CJ80" i="1" s="1"/>
  <c r="CJ83" i="1" s="1"/>
  <c r="CJ86" i="1" s="1"/>
  <c r="BK100" i="1"/>
  <c r="BK101" i="1" s="1"/>
  <c r="BK138" i="1" s="1"/>
  <c r="BK130" i="1"/>
  <c r="BL125" i="1" s="1"/>
  <c r="BL119" i="1"/>
  <c r="CJ76" i="1" l="1"/>
  <c r="CK73" i="1" s="1"/>
  <c r="CJ142" i="1"/>
  <c r="CJ149" i="1"/>
  <c r="CJ107" i="1" s="1"/>
  <c r="BL121" i="1"/>
  <c r="BL96" i="1" s="1"/>
  <c r="BL97" i="1" s="1"/>
  <c r="CK68" i="1"/>
  <c r="CK195" i="1"/>
  <c r="CK172" i="1"/>
  <c r="CL169" i="1" s="1"/>
  <c r="CL188" i="1" s="1"/>
  <c r="CL189" i="1" s="1"/>
  <c r="BK102" i="1" l="1"/>
  <c r="BK103" i="1" s="1"/>
  <c r="BK144" i="1" s="1"/>
  <c r="BK139" i="1"/>
  <c r="BL133" i="1" s="1"/>
  <c r="CK85" i="1"/>
  <c r="CK92" i="1"/>
  <c r="CK69" i="1"/>
  <c r="CK91" i="1"/>
  <c r="CK84" i="1"/>
  <c r="CJ143" i="1"/>
  <c r="CJ105" i="1" s="1"/>
  <c r="CJ104" i="1"/>
  <c r="CK196" i="1"/>
  <c r="BL122" i="1"/>
  <c r="CI114" i="1" l="1"/>
  <c r="BK106" i="1"/>
  <c r="BK108" i="1" s="1"/>
  <c r="BK148" i="1"/>
  <c r="BK150" i="1" s="1"/>
  <c r="BL147" i="1" s="1"/>
  <c r="BL137" i="1"/>
  <c r="BK145" i="1"/>
  <c r="CL171" i="1"/>
  <c r="CL194" i="1"/>
  <c r="CK93" i="1"/>
  <c r="BL98" i="1"/>
  <c r="BL99" i="1" s="1"/>
  <c r="BM113" i="1"/>
  <c r="CK141" i="1"/>
  <c r="CK198" i="1"/>
  <c r="CK74" i="1"/>
  <c r="CK70" i="1"/>
  <c r="CK71" i="1" s="1"/>
  <c r="BK204" i="1" l="1"/>
  <c r="BK210" i="1" s="1"/>
  <c r="BL129" i="1"/>
  <c r="BM118" i="1"/>
  <c r="BM95" i="1" s="1"/>
  <c r="BM115" i="1"/>
  <c r="BM117" i="1"/>
  <c r="BM94" i="1" s="1"/>
  <c r="CL195" i="1"/>
  <c r="CL196" i="1" s="1"/>
  <c r="CL172" i="1"/>
  <c r="CM169" i="1" s="1"/>
  <c r="CM188" i="1" s="1"/>
  <c r="CM189" i="1" s="1"/>
  <c r="CK142" i="1"/>
  <c r="CK149" i="1"/>
  <c r="CK107" i="1" s="1"/>
  <c r="CL68" i="1"/>
  <c r="CK75" i="1"/>
  <c r="CK80" i="1" s="1"/>
  <c r="CK83" i="1" s="1"/>
  <c r="CK86" i="1" s="1"/>
  <c r="CK76" i="1" l="1"/>
  <c r="CL73" i="1" s="1"/>
  <c r="CL69" i="1"/>
  <c r="CL84" i="1"/>
  <c r="CL91" i="1"/>
  <c r="CL198" i="1"/>
  <c r="CL141" i="1"/>
  <c r="BM119" i="1"/>
  <c r="CK143" i="1"/>
  <c r="CK105" i="1" s="1"/>
  <c r="CK104" i="1"/>
  <c r="BL100" i="1"/>
  <c r="BL101" i="1" s="1"/>
  <c r="BL138" i="1" s="1"/>
  <c r="BL130" i="1"/>
  <c r="BM125" i="1" s="1"/>
  <c r="CL92" i="1"/>
  <c r="CL85" i="1"/>
  <c r="CJ114" i="1" l="1"/>
  <c r="CL149" i="1"/>
  <c r="CL107" i="1" s="1"/>
  <c r="CL142" i="1"/>
  <c r="BM121" i="1"/>
  <c r="BM96" i="1" s="1"/>
  <c r="BM97" i="1" s="1"/>
  <c r="CM194" i="1"/>
  <c r="CM171" i="1"/>
  <c r="CL93" i="1"/>
  <c r="CL74" i="1"/>
  <c r="CL70" i="1"/>
  <c r="CL71" i="1" s="1"/>
  <c r="CM195" i="1" l="1"/>
  <c r="CM196" i="1" s="1"/>
  <c r="CM172" i="1"/>
  <c r="CM68" i="1"/>
  <c r="BM122" i="1"/>
  <c r="CL143" i="1"/>
  <c r="CL105" i="1" s="1"/>
  <c r="CL104" i="1"/>
  <c r="CL75" i="1"/>
  <c r="CL80" i="1" s="1"/>
  <c r="CL83" i="1" s="1"/>
  <c r="CL86" i="1" s="1"/>
  <c r="BL102" i="1"/>
  <c r="BL103" i="1" s="1"/>
  <c r="BL144" i="1" s="1"/>
  <c r="BL139" i="1"/>
  <c r="BM133" i="1" s="1"/>
  <c r="CN169" i="1" l="1"/>
  <c r="CN188" i="1" s="1"/>
  <c r="CN189" i="1" s="1"/>
  <c r="BL106" i="1"/>
  <c r="BL108" i="1" s="1"/>
  <c r="BL148" i="1"/>
  <c r="BL150" i="1" s="1"/>
  <c r="BM147" i="1" s="1"/>
  <c r="BM98" i="1"/>
  <c r="BM99" i="1" s="1"/>
  <c r="BN113" i="1"/>
  <c r="BM137" i="1"/>
  <c r="CL76" i="1"/>
  <c r="CM73" i="1" s="1"/>
  <c r="CM198" i="1"/>
  <c r="CM141" i="1"/>
  <c r="CM69" i="1"/>
  <c r="CM84" i="1"/>
  <c r="CM91" i="1"/>
  <c r="BL145" i="1"/>
  <c r="CM92" i="1"/>
  <c r="CM85" i="1"/>
  <c r="BL204" i="1" l="1"/>
  <c r="BL210" i="1" s="1"/>
  <c r="CK114" i="1"/>
  <c r="CM93" i="1"/>
  <c r="CN171" i="1"/>
  <c r="CN194" i="1"/>
  <c r="CM149" i="1"/>
  <c r="CM107" i="1" s="1"/>
  <c r="CM142" i="1"/>
  <c r="BN118" i="1"/>
  <c r="BN95" i="1" s="1"/>
  <c r="BN115" i="1"/>
  <c r="BN117" i="1"/>
  <c r="BN94" i="1" s="1"/>
  <c r="CM74" i="1"/>
  <c r="CM70" i="1"/>
  <c r="CM71" i="1" s="1"/>
  <c r="BM129" i="1"/>
  <c r="BN119" i="1" l="1"/>
  <c r="BN121" i="1" s="1"/>
  <c r="BN96" i="1" s="1"/>
  <c r="BN97" i="1" s="1"/>
  <c r="CM143" i="1"/>
  <c r="CM105" i="1" s="1"/>
  <c r="CM104" i="1"/>
  <c r="BM100" i="1"/>
  <c r="BM101" i="1" s="1"/>
  <c r="BM138" i="1" s="1"/>
  <c r="BM130" i="1"/>
  <c r="BN125" i="1" s="1"/>
  <c r="CN68" i="1"/>
  <c r="CN195" i="1"/>
  <c r="CN172" i="1"/>
  <c r="CO169" i="1" s="1"/>
  <c r="CO188" i="1" s="1"/>
  <c r="CO189" i="1" s="1"/>
  <c r="CM75" i="1"/>
  <c r="CM80" i="1" s="1"/>
  <c r="CM83" i="1" s="1"/>
  <c r="CM86" i="1" s="1"/>
  <c r="BN122" i="1" l="1"/>
  <c r="BN98" i="1" s="1"/>
  <c r="BN99" i="1" s="1"/>
  <c r="CN85" i="1"/>
  <c r="CN92" i="1"/>
  <c r="CN196" i="1"/>
  <c r="CN69" i="1"/>
  <c r="CN91" i="1"/>
  <c r="CN84" i="1"/>
  <c r="CM76" i="1"/>
  <c r="CN73" i="1" s="1"/>
  <c r="CL114" i="1" l="1"/>
  <c r="BO113" i="1"/>
  <c r="BO117" i="1" s="1"/>
  <c r="BO94" i="1" s="1"/>
  <c r="CN93" i="1"/>
  <c r="BN129" i="1"/>
  <c r="BM102" i="1"/>
  <c r="BM103" i="1" s="1"/>
  <c r="BM142" i="1" s="1"/>
  <c r="BM139" i="1"/>
  <c r="BN133" i="1" s="1"/>
  <c r="CN70" i="1"/>
  <c r="CN71" i="1" s="1"/>
  <c r="CN74" i="1"/>
  <c r="CN75" i="1" s="1"/>
  <c r="CN80" i="1" s="1"/>
  <c r="CN83" i="1" s="1"/>
  <c r="CN86" i="1" s="1"/>
  <c r="CN141" i="1"/>
  <c r="CN198" i="1"/>
  <c r="CO171" i="1"/>
  <c r="CO194" i="1"/>
  <c r="BO118" i="1" l="1"/>
  <c r="BO95" i="1" s="1"/>
  <c r="BO115" i="1"/>
  <c r="BM143" i="1"/>
  <c r="BM105" i="1" s="1"/>
  <c r="BM104" i="1"/>
  <c r="CO195" i="1"/>
  <c r="CO196" i="1" s="1"/>
  <c r="CO172" i="1"/>
  <c r="CP169" i="1" s="1"/>
  <c r="CP188" i="1" s="1"/>
  <c r="CP189" i="1" s="1"/>
  <c r="CN76" i="1"/>
  <c r="CO73" i="1" s="1"/>
  <c r="CN149" i="1"/>
  <c r="CN107" i="1" s="1"/>
  <c r="CN142" i="1"/>
  <c r="BN137" i="1"/>
  <c r="BN100" i="1"/>
  <c r="BN101" i="1" s="1"/>
  <c r="BN130" i="1"/>
  <c r="BO125" i="1" s="1"/>
  <c r="CO68" i="1"/>
  <c r="BN138" i="1" l="1"/>
  <c r="BN102" i="1" s="1"/>
  <c r="BN103" i="1" s="1"/>
  <c r="BN144" i="1" s="1"/>
  <c r="BO119" i="1"/>
  <c r="BO121" i="1" s="1"/>
  <c r="BO96" i="1" s="1"/>
  <c r="BO97" i="1" s="1"/>
  <c r="BM144" i="1"/>
  <c r="BM106" i="1" s="1"/>
  <c r="BM108" i="1" s="1"/>
  <c r="CN143" i="1"/>
  <c r="CN105" i="1" s="1"/>
  <c r="CN104" i="1"/>
  <c r="CO69" i="1"/>
  <c r="CO91" i="1"/>
  <c r="CO84" i="1"/>
  <c r="CO141" i="1"/>
  <c r="CO198" i="1"/>
  <c r="CO92" i="1"/>
  <c r="CO85" i="1"/>
  <c r="BN139" i="1" l="1"/>
  <c r="BO133" i="1" s="1"/>
  <c r="BO137" i="1" s="1"/>
  <c r="BM204" i="1"/>
  <c r="BM210" i="1" s="1"/>
  <c r="CM114" i="1"/>
  <c r="BM145" i="1"/>
  <c r="BM148" i="1"/>
  <c r="BM150" i="1" s="1"/>
  <c r="BN147" i="1" s="1"/>
  <c r="BN148" i="1"/>
  <c r="BN106" i="1"/>
  <c r="BN108" i="1" s="1"/>
  <c r="BO122" i="1"/>
  <c r="BO98" i="1" s="1"/>
  <c r="BO99" i="1" s="1"/>
  <c r="CO149" i="1"/>
  <c r="CO107" i="1" s="1"/>
  <c r="CO142" i="1"/>
  <c r="CP171" i="1"/>
  <c r="CP194" i="1"/>
  <c r="CO93" i="1"/>
  <c r="BN145" i="1"/>
  <c r="CO70" i="1"/>
  <c r="CO71" i="1" s="1"/>
  <c r="CO74" i="1"/>
  <c r="BN204" i="1" l="1"/>
  <c r="BN210" i="1" s="1"/>
  <c r="BN150" i="1"/>
  <c r="BO147" i="1" s="1"/>
  <c r="BP113" i="1"/>
  <c r="BP117" i="1" s="1"/>
  <c r="BP94" i="1" s="1"/>
  <c r="BO129" i="1"/>
  <c r="CO75" i="1"/>
  <c r="CO80" i="1" s="1"/>
  <c r="CO83" i="1" s="1"/>
  <c r="CO86" i="1" s="1"/>
  <c r="CP68" i="1"/>
  <c r="CP195" i="1"/>
  <c r="CP172" i="1"/>
  <c r="CQ169" i="1" s="1"/>
  <c r="CQ188" i="1" s="1"/>
  <c r="CQ189" i="1" s="1"/>
  <c r="CO143" i="1"/>
  <c r="CO105" i="1" s="1"/>
  <c r="CO104" i="1"/>
  <c r="BP115" i="1" l="1"/>
  <c r="BP118" i="1"/>
  <c r="BP95" i="1" s="1"/>
  <c r="CP92" i="1"/>
  <c r="CP85" i="1"/>
  <c r="CP69" i="1"/>
  <c r="CP91" i="1"/>
  <c r="CP84" i="1"/>
  <c r="CP196" i="1"/>
  <c r="CO76" i="1"/>
  <c r="CP73" i="1" s="1"/>
  <c r="BO100" i="1"/>
  <c r="BO101" i="1" s="1"/>
  <c r="BO138" i="1" s="1"/>
  <c r="BO130" i="1"/>
  <c r="BP125" i="1" s="1"/>
  <c r="CP93" i="1" l="1"/>
  <c r="CN114" i="1"/>
  <c r="BP119" i="1"/>
  <c r="BP121" i="1" s="1"/>
  <c r="BP96" i="1" s="1"/>
  <c r="BP97" i="1" s="1"/>
  <c r="CP198" i="1"/>
  <c r="CP141" i="1"/>
  <c r="CP74" i="1"/>
  <c r="CP75" i="1" s="1"/>
  <c r="CP80" i="1" s="1"/>
  <c r="CP83" i="1" s="1"/>
  <c r="CP86" i="1" s="1"/>
  <c r="CP70" i="1"/>
  <c r="CP71" i="1" s="1"/>
  <c r="CQ171" i="1"/>
  <c r="CQ194" i="1"/>
  <c r="CQ195" i="1" l="1"/>
  <c r="CQ172" i="1"/>
  <c r="BP122" i="1"/>
  <c r="CP76" i="1"/>
  <c r="CQ73" i="1" s="1"/>
  <c r="CQ68" i="1"/>
  <c r="CP149" i="1"/>
  <c r="CP107" i="1" s="1"/>
  <c r="CP142" i="1"/>
  <c r="BO102" i="1"/>
  <c r="BO103" i="1" s="1"/>
  <c r="BO144" i="1" s="1"/>
  <c r="BO139" i="1"/>
  <c r="BP133" i="1" s="1"/>
  <c r="CR169" i="1" l="1"/>
  <c r="CR188" i="1" s="1"/>
  <c r="CR189" i="1" s="1"/>
  <c r="BO106" i="1"/>
  <c r="BO108" i="1" s="1"/>
  <c r="BO148" i="1"/>
  <c r="BO150" i="1" s="1"/>
  <c r="BP147" i="1" s="1"/>
  <c r="BP137" i="1"/>
  <c r="BP98" i="1"/>
  <c r="BP99" i="1" s="1"/>
  <c r="BQ113" i="1"/>
  <c r="BO145" i="1"/>
  <c r="CP143" i="1"/>
  <c r="CP105" i="1" s="1"/>
  <c r="CP104" i="1"/>
  <c r="CQ92" i="1"/>
  <c r="CQ85" i="1"/>
  <c r="CQ69" i="1"/>
  <c r="CQ84" i="1"/>
  <c r="CQ91" i="1"/>
  <c r="CQ196" i="1"/>
  <c r="BO204" i="1" l="1"/>
  <c r="BO210" i="1" s="1"/>
  <c r="CO114" i="1"/>
  <c r="BQ118" i="1"/>
  <c r="BQ95" i="1" s="1"/>
  <c r="BQ115" i="1"/>
  <c r="BQ117" i="1"/>
  <c r="BQ94" i="1" s="1"/>
  <c r="BP129" i="1"/>
  <c r="CQ141" i="1"/>
  <c r="CQ198" i="1"/>
  <c r="CQ70" i="1"/>
  <c r="CQ71" i="1" s="1"/>
  <c r="CQ74" i="1"/>
  <c r="CR171" i="1"/>
  <c r="CR194" i="1"/>
  <c r="CQ93" i="1"/>
  <c r="CQ75" i="1" l="1"/>
  <c r="CQ80" i="1" s="1"/>
  <c r="CQ83" i="1" s="1"/>
  <c r="CQ86" i="1" s="1"/>
  <c r="BP100" i="1"/>
  <c r="BP101" i="1" s="1"/>
  <c r="BP138" i="1" s="1"/>
  <c r="BP130" i="1"/>
  <c r="BQ125" i="1" s="1"/>
  <c r="CR195" i="1"/>
  <c r="CR196" i="1" s="1"/>
  <c r="CR172" i="1"/>
  <c r="CS169" i="1" s="1"/>
  <c r="CS188" i="1" s="1"/>
  <c r="CS189" i="1" s="1"/>
  <c r="CR68" i="1"/>
  <c r="CQ142" i="1"/>
  <c r="CQ149" i="1"/>
  <c r="CQ107" i="1" s="1"/>
  <c r="BQ119" i="1"/>
  <c r="CQ104" i="1" l="1"/>
  <c r="CQ143" i="1"/>
  <c r="CQ105" i="1" s="1"/>
  <c r="CR69" i="1"/>
  <c r="CR84" i="1"/>
  <c r="CR91" i="1"/>
  <c r="CR141" i="1"/>
  <c r="CR198" i="1"/>
  <c r="CQ76" i="1"/>
  <c r="CR73" i="1" s="1"/>
  <c r="BQ121" i="1"/>
  <c r="BQ96" i="1" s="1"/>
  <c r="BQ97" i="1" s="1"/>
  <c r="CR85" i="1"/>
  <c r="CR92" i="1"/>
  <c r="CP114" i="1" l="1"/>
  <c r="CR149" i="1"/>
  <c r="CR107" i="1" s="1"/>
  <c r="CR142" i="1"/>
  <c r="BQ122" i="1"/>
  <c r="CR93" i="1"/>
  <c r="CR70" i="1"/>
  <c r="CR71" i="1" s="1"/>
  <c r="CR74" i="1"/>
  <c r="CS171" i="1"/>
  <c r="CS194" i="1"/>
  <c r="BP102" i="1"/>
  <c r="BP103" i="1" s="1"/>
  <c r="BP144" i="1" s="1"/>
  <c r="BP139" i="1"/>
  <c r="BQ133" i="1" s="1"/>
  <c r="BP148" i="1" l="1"/>
  <c r="BP150" i="1" s="1"/>
  <c r="BQ147" i="1" s="1"/>
  <c r="BP106" i="1"/>
  <c r="BP108" i="1" s="1"/>
  <c r="CR75" i="1"/>
  <c r="CR80" i="1" s="1"/>
  <c r="CR83" i="1" s="1"/>
  <c r="CR86" i="1" s="1"/>
  <c r="BQ137" i="1"/>
  <c r="BQ98" i="1"/>
  <c r="BQ99" i="1" s="1"/>
  <c r="BR113" i="1"/>
  <c r="BP145" i="1"/>
  <c r="CS68" i="1"/>
  <c r="CR143" i="1"/>
  <c r="CR105" i="1" s="1"/>
  <c r="CR104" i="1"/>
  <c r="CS195" i="1"/>
  <c r="CS196" i="1" s="1"/>
  <c r="CS172" i="1"/>
  <c r="CT169" i="1" s="1"/>
  <c r="CT188" i="1" s="1"/>
  <c r="CT189" i="1" s="1"/>
  <c r="BP204" i="1" l="1"/>
  <c r="BP210" i="1" s="1"/>
  <c r="CS198" i="1"/>
  <c r="CS141" i="1"/>
  <c r="BR118" i="1"/>
  <c r="BR95" i="1" s="1"/>
  <c r="BR115" i="1"/>
  <c r="BR117" i="1"/>
  <c r="BR94" i="1" s="1"/>
  <c r="CS85" i="1"/>
  <c r="CS92" i="1"/>
  <c r="BQ129" i="1"/>
  <c r="CS69" i="1"/>
  <c r="CS84" i="1"/>
  <c r="CS91" i="1"/>
  <c r="CR76" i="1"/>
  <c r="CS73" i="1" s="1"/>
  <c r="CQ114" i="1" l="1"/>
  <c r="CT171" i="1"/>
  <c r="CT194" i="1"/>
  <c r="CS70" i="1"/>
  <c r="CS71" i="1" s="1"/>
  <c r="CS74" i="1"/>
  <c r="CS75" i="1" s="1"/>
  <c r="CS149" i="1"/>
  <c r="CS107" i="1" s="1"/>
  <c r="CS142" i="1"/>
  <c r="G219" i="1"/>
  <c r="G218" i="1"/>
  <c r="D224" i="3" s="1" a="1"/>
  <c r="CS93" i="1"/>
  <c r="BQ100" i="1"/>
  <c r="BQ101" i="1" s="1"/>
  <c r="BQ138" i="1" s="1"/>
  <c r="BQ130" i="1"/>
  <c r="BR125" i="1" s="1"/>
  <c r="BR119" i="1"/>
  <c r="D224" i="3" l="1"/>
  <c r="C265" i="3" s="1"/>
  <c r="C269" i="3"/>
  <c r="CS80" i="1"/>
  <c r="CS83" i="1" s="1"/>
  <c r="CS86" i="1" s="1"/>
  <c r="CS76" i="1"/>
  <c r="CT73" i="1" s="1"/>
  <c r="CS143" i="1"/>
  <c r="CS105" i="1" s="1"/>
  <c r="CS104" i="1"/>
  <c r="CT68" i="1"/>
  <c r="BR121" i="1"/>
  <c r="BR96" i="1" s="1"/>
  <c r="BR97" i="1" s="1"/>
  <c r="CT195" i="1"/>
  <c r="CT172" i="1"/>
  <c r="CU169" i="1" s="1"/>
  <c r="CU188" i="1" s="1"/>
  <c r="CU189" i="1" s="1"/>
  <c r="BR122" i="1" l="1"/>
  <c r="BR98" i="1" s="1"/>
  <c r="BR99" i="1" s="1"/>
  <c r="BQ102" i="1"/>
  <c r="BQ103" i="1" s="1"/>
  <c r="BQ142" i="1" s="1"/>
  <c r="BQ139" i="1"/>
  <c r="BR133" i="1" s="1"/>
  <c r="CT69" i="1"/>
  <c r="CT84" i="1"/>
  <c r="CT91" i="1"/>
  <c r="CT85" i="1"/>
  <c r="CT92" i="1"/>
  <c r="CT196" i="1"/>
  <c r="CR114" i="1" l="1"/>
  <c r="BQ143" i="1"/>
  <c r="BQ105" i="1" s="1"/>
  <c r="BQ104" i="1"/>
  <c r="BS113" i="1"/>
  <c r="BS117" i="1" s="1"/>
  <c r="BS94" i="1" s="1"/>
  <c r="CT93" i="1"/>
  <c r="BR129" i="1"/>
  <c r="CU171" i="1"/>
  <c r="CU194" i="1"/>
  <c r="CT198" i="1"/>
  <c r="CT141" i="1"/>
  <c r="CT70" i="1"/>
  <c r="CT71" i="1" s="1"/>
  <c r="CT74" i="1"/>
  <c r="BR137" i="1"/>
  <c r="BS115" i="1" l="1"/>
  <c r="BS118" i="1"/>
  <c r="BS95" i="1" s="1"/>
  <c r="BQ144" i="1"/>
  <c r="BQ145" i="1" s="1"/>
  <c r="CT149" i="1"/>
  <c r="CT107" i="1" s="1"/>
  <c r="CT142" i="1"/>
  <c r="CU68" i="1"/>
  <c r="CU195" i="1"/>
  <c r="CU196" i="1" s="1"/>
  <c r="CU172" i="1"/>
  <c r="BR100" i="1"/>
  <c r="BR101" i="1" s="1"/>
  <c r="BR138" i="1" s="1"/>
  <c r="BR130" i="1"/>
  <c r="BS125" i="1" s="1"/>
  <c r="CT75" i="1"/>
  <c r="CT80" i="1" s="1"/>
  <c r="CT83" i="1" s="1"/>
  <c r="CT86" i="1" s="1"/>
  <c r="CU209" i="1" l="1"/>
  <c r="BS119" i="1"/>
  <c r="BS121" i="1" s="1"/>
  <c r="BS96" i="1" s="1"/>
  <c r="BS97" i="1" s="1"/>
  <c r="BQ148" i="1"/>
  <c r="BQ150" i="1" s="1"/>
  <c r="BR147" i="1" s="1"/>
  <c r="BQ106" i="1"/>
  <c r="BQ108" i="1" s="1"/>
  <c r="CT76" i="1"/>
  <c r="CU73" i="1" s="1"/>
  <c r="CU141" i="1"/>
  <c r="CU198" i="1"/>
  <c r="CT104" i="1"/>
  <c r="CT143" i="1"/>
  <c r="CT105" i="1" s="1"/>
  <c r="E209" i="1"/>
  <c r="CU69" i="1"/>
  <c r="CU91" i="1"/>
  <c r="CU84" i="1"/>
  <c r="CU92" i="1"/>
  <c r="CU85" i="1"/>
  <c r="BQ204" i="1" l="1"/>
  <c r="BQ210" i="1" s="1"/>
  <c r="CS114" i="1"/>
  <c r="CU93" i="1"/>
  <c r="BR102" i="1"/>
  <c r="BR103" i="1" s="1"/>
  <c r="BR144" i="1" s="1"/>
  <c r="BR139" i="1"/>
  <c r="BS133" i="1" s="1"/>
  <c r="CU149" i="1"/>
  <c r="CU107" i="1" s="1"/>
  <c r="CU142" i="1"/>
  <c r="CU74" i="1"/>
  <c r="CU75" i="1" s="1"/>
  <c r="CU80" i="1" s="1"/>
  <c r="CU83" i="1" s="1"/>
  <c r="CU86" i="1" s="1"/>
  <c r="CU70" i="1"/>
  <c r="CU71" i="1" s="1"/>
  <c r="BS122" i="1"/>
  <c r="BR148" i="1" l="1"/>
  <c r="BR150" i="1" s="1"/>
  <c r="BS147" i="1" s="1"/>
  <c r="BR106" i="1"/>
  <c r="BR108" i="1" s="1"/>
  <c r="BS137" i="1"/>
  <c r="CU76" i="1"/>
  <c r="CV73" i="1" s="1"/>
  <c r="BR145" i="1"/>
  <c r="BS98" i="1"/>
  <c r="BS99" i="1" s="1"/>
  <c r="BT113" i="1"/>
  <c r="CV194" i="1"/>
  <c r="CV171" i="1"/>
  <c r="CU143" i="1"/>
  <c r="CU105" i="1" s="1"/>
  <c r="CU104" i="1"/>
  <c r="BR204" i="1" l="1"/>
  <c r="BR210" i="1" s="1"/>
  <c r="BS129" i="1"/>
  <c r="CV195" i="1"/>
  <c r="CV196" i="1" s="1"/>
  <c r="CV172" i="1"/>
  <c r="CW169" i="1" s="1"/>
  <c r="CW188" i="1" s="1"/>
  <c r="CW189" i="1" s="1"/>
  <c r="CV68" i="1"/>
  <c r="BT118" i="1"/>
  <c r="BT95" i="1" s="1"/>
  <c r="BT117" i="1"/>
  <c r="BT94" i="1" s="1"/>
  <c r="BT115" i="1"/>
  <c r="CV198" i="1" l="1"/>
  <c r="BT119" i="1"/>
  <c r="CV85" i="1"/>
  <c r="CV92" i="1"/>
  <c r="BS100" i="1"/>
  <c r="BS101" i="1" s="1"/>
  <c r="BS138" i="1" s="1"/>
  <c r="BS130" i="1"/>
  <c r="BT125" i="1" s="1"/>
  <c r="CV69" i="1"/>
  <c r="CV91" i="1"/>
  <c r="CV84" i="1"/>
  <c r="CT114" i="1" l="1"/>
  <c r="CV93" i="1"/>
  <c r="CV70" i="1"/>
  <c r="CV71" i="1" s="1"/>
  <c r="CV74" i="1"/>
  <c r="BT121" i="1"/>
  <c r="BT96" i="1" s="1"/>
  <c r="BT97" i="1" s="1"/>
  <c r="CW194" i="1"/>
  <c r="CW171" i="1"/>
  <c r="CW68" i="1" l="1"/>
  <c r="BS102" i="1"/>
  <c r="BS103" i="1" s="1"/>
  <c r="BS144" i="1" s="1"/>
  <c r="BS139" i="1"/>
  <c r="BT133" i="1" s="1"/>
  <c r="CV75" i="1"/>
  <c r="CV80" i="1" s="1"/>
  <c r="CV83" i="1" s="1"/>
  <c r="CV86" i="1" s="1"/>
  <c r="BT122" i="1"/>
  <c r="CW195" i="1"/>
  <c r="CW172" i="1"/>
  <c r="CX169" i="1" s="1"/>
  <c r="CX188" i="1" s="1"/>
  <c r="CX189" i="1" s="1"/>
  <c r="BS106" i="1" l="1"/>
  <c r="BS108" i="1" s="1"/>
  <c r="BS148" i="1"/>
  <c r="BS150" i="1" s="1"/>
  <c r="BT147" i="1" s="1"/>
  <c r="BT137" i="1"/>
  <c r="BS145" i="1"/>
  <c r="BT98" i="1"/>
  <c r="BT99" i="1" s="1"/>
  <c r="BU113" i="1"/>
  <c r="CW85" i="1"/>
  <c r="CW92" i="1"/>
  <c r="CW69" i="1"/>
  <c r="CW84" i="1"/>
  <c r="CW91" i="1"/>
  <c r="CV76" i="1"/>
  <c r="CW73" i="1" s="1"/>
  <c r="CW196" i="1"/>
  <c r="CW198" i="1" l="1"/>
  <c r="BS204" i="1"/>
  <c r="BS210" i="1" s="1"/>
  <c r="CU114" i="1"/>
  <c r="CW93" i="1"/>
  <c r="BU118" i="1"/>
  <c r="BU95" i="1" s="1"/>
  <c r="BU117" i="1"/>
  <c r="BU94" i="1" s="1"/>
  <c r="BU115" i="1"/>
  <c r="CW70" i="1"/>
  <c r="CW71" i="1" s="1"/>
  <c r="CW74" i="1"/>
  <c r="CW75" i="1" s="1"/>
  <c r="CW80" i="1" s="1"/>
  <c r="CW83" i="1" s="1"/>
  <c r="CW86" i="1" s="1"/>
  <c r="BT129" i="1"/>
  <c r="CX194" i="1"/>
  <c r="CX171" i="1"/>
  <c r="BU119" i="1" l="1"/>
  <c r="CX195" i="1"/>
  <c r="CX196" i="1" s="1"/>
  <c r="CX172" i="1"/>
  <c r="CY169" i="1" s="1"/>
  <c r="CY188" i="1" s="1"/>
  <c r="CY189" i="1" s="1"/>
  <c r="CW76" i="1"/>
  <c r="CX73" i="1" s="1"/>
  <c r="CX68" i="1"/>
  <c r="BT100" i="1"/>
  <c r="BT101" i="1" s="1"/>
  <c r="BT138" i="1" s="1"/>
  <c r="BT130" i="1"/>
  <c r="BU125" i="1" s="1"/>
  <c r="CX198" i="1" l="1"/>
  <c r="CX92" i="1"/>
  <c r="CX85" i="1"/>
  <c r="CX69" i="1"/>
  <c r="CX84" i="1"/>
  <c r="CX91" i="1"/>
  <c r="BU121" i="1"/>
  <c r="BU96" i="1" s="1"/>
  <c r="BU97" i="1" s="1"/>
  <c r="CV114" i="1" l="1"/>
  <c r="CX70" i="1"/>
  <c r="CX71" i="1" s="1"/>
  <c r="CX74" i="1"/>
  <c r="CY171" i="1"/>
  <c r="CY194" i="1"/>
  <c r="BU122" i="1"/>
  <c r="CX93" i="1"/>
  <c r="BT102" i="1"/>
  <c r="BT103" i="1" s="1"/>
  <c r="BT144" i="1" s="1"/>
  <c r="BT139" i="1"/>
  <c r="BU133" i="1" s="1"/>
  <c r="BT106" i="1" l="1"/>
  <c r="BT108" i="1" s="1"/>
  <c r="BT148" i="1"/>
  <c r="BT150" i="1" s="1"/>
  <c r="BU147" i="1" s="1"/>
  <c r="BU98" i="1"/>
  <c r="BU99" i="1" s="1"/>
  <c r="BV113" i="1"/>
  <c r="CX75" i="1"/>
  <c r="CX80" i="1" s="1"/>
  <c r="CX83" i="1" s="1"/>
  <c r="CX86" i="1" s="1"/>
  <c r="CY195" i="1"/>
  <c r="CY172" i="1"/>
  <c r="CZ169" i="1" s="1"/>
  <c r="CZ188" i="1" s="1"/>
  <c r="CZ189" i="1" s="1"/>
  <c r="BU137" i="1"/>
  <c r="CY68" i="1"/>
  <c r="BT145" i="1"/>
  <c r="BT204" i="1" l="1"/>
  <c r="BT210" i="1" s="1"/>
  <c r="CX76" i="1"/>
  <c r="CY73" i="1" s="1"/>
  <c r="CY85" i="1"/>
  <c r="CY92" i="1"/>
  <c r="CY69" i="1"/>
  <c r="CY84" i="1"/>
  <c r="CY91" i="1"/>
  <c r="CY196" i="1"/>
  <c r="CY198" i="1" s="1"/>
  <c r="BV118" i="1"/>
  <c r="BV95" i="1" s="1"/>
  <c r="BV115" i="1"/>
  <c r="BV117" i="1"/>
  <c r="BV94" i="1" s="1"/>
  <c r="BU129" i="1"/>
  <c r="CW114" i="1" l="1"/>
  <c r="CY74" i="1"/>
  <c r="CY70" i="1"/>
  <c r="CY71" i="1" s="1"/>
  <c r="BV119" i="1"/>
  <c r="CZ171" i="1"/>
  <c r="CZ194" i="1"/>
  <c r="BU100" i="1"/>
  <c r="BU101" i="1" s="1"/>
  <c r="BU138" i="1" s="1"/>
  <c r="BU130" i="1"/>
  <c r="BV125" i="1" s="1"/>
  <c r="CY93" i="1"/>
  <c r="BV121" i="1" l="1"/>
  <c r="BV96" i="1" s="1"/>
  <c r="BV97" i="1" s="1"/>
  <c r="CZ68" i="1"/>
  <c r="CZ195" i="1"/>
  <c r="CZ196" i="1" s="1"/>
  <c r="CZ198" i="1" s="1"/>
  <c r="CZ172" i="1"/>
  <c r="DA169" i="1" s="1"/>
  <c r="DA188" i="1" s="1"/>
  <c r="DA189" i="1" s="1"/>
  <c r="CY75" i="1"/>
  <c r="CY80" i="1" s="1"/>
  <c r="CY83" i="1" s="1"/>
  <c r="CY86" i="1" s="1"/>
  <c r="BV122" i="1" l="1"/>
  <c r="BV98" i="1" s="1"/>
  <c r="BV99" i="1" s="1"/>
  <c r="CY76" i="1"/>
  <c r="CZ73" i="1" s="1"/>
  <c r="CZ69" i="1"/>
  <c r="CZ84" i="1"/>
  <c r="CZ91" i="1"/>
  <c r="BU102" i="1"/>
  <c r="BU103" i="1" s="1"/>
  <c r="BU142" i="1" s="1"/>
  <c r="BU139" i="1"/>
  <c r="BV133" i="1" s="1"/>
  <c r="CZ85" i="1"/>
  <c r="CZ92" i="1"/>
  <c r="CX114" i="1" l="1"/>
  <c r="BW113" i="1"/>
  <c r="BW117" i="1" s="1"/>
  <c r="BW94" i="1" s="1"/>
  <c r="BU104" i="1"/>
  <c r="BU143" i="1"/>
  <c r="BU105" i="1" s="1"/>
  <c r="CZ74" i="1"/>
  <c r="CZ75" i="1" s="1"/>
  <c r="CZ80" i="1" s="1"/>
  <c r="CZ83" i="1" s="1"/>
  <c r="CZ86" i="1" s="1"/>
  <c r="CZ70" i="1"/>
  <c r="CZ71" i="1" s="1"/>
  <c r="DA171" i="1"/>
  <c r="DA194" i="1"/>
  <c r="BV129" i="1"/>
  <c r="BV137" i="1"/>
  <c r="CZ93" i="1"/>
  <c r="BW118" i="1" l="1"/>
  <c r="BW95" i="1" s="1"/>
  <c r="BW115" i="1"/>
  <c r="BU144" i="1"/>
  <c r="DA68" i="1"/>
  <c r="CZ76" i="1"/>
  <c r="DA73" i="1" s="1"/>
  <c r="DA195" i="1"/>
  <c r="DA172" i="1"/>
  <c r="DB169" i="1" s="1"/>
  <c r="DB188" i="1" s="1"/>
  <c r="DB189" i="1" s="1"/>
  <c r="BV100" i="1"/>
  <c r="BV101" i="1" s="1"/>
  <c r="BV138" i="1" s="1"/>
  <c r="BV130" i="1"/>
  <c r="BW125" i="1" s="1"/>
  <c r="BW119" i="1" l="1"/>
  <c r="BW121" i="1" s="1"/>
  <c r="BW96" i="1" s="1"/>
  <c r="BW97" i="1" s="1"/>
  <c r="BU148" i="1"/>
  <c r="BU150" i="1" s="1"/>
  <c r="BV147" i="1" s="1"/>
  <c r="BU106" i="1"/>
  <c r="BU108" i="1" s="1"/>
  <c r="BU145" i="1"/>
  <c r="DA69" i="1"/>
  <c r="DA91" i="1"/>
  <c r="DA84" i="1"/>
  <c r="DA85" i="1"/>
  <c r="DA92" i="1"/>
  <c r="DA196" i="1"/>
  <c r="DA198" i="1" s="1"/>
  <c r="BU204" i="1" l="1"/>
  <c r="BU210" i="1" s="1"/>
  <c r="CY114" i="1"/>
  <c r="BV102" i="1"/>
  <c r="BV103" i="1" s="1"/>
  <c r="BV144" i="1" s="1"/>
  <c r="BV139" i="1"/>
  <c r="BW133" i="1" s="1"/>
  <c r="BW122" i="1"/>
  <c r="DA93" i="1"/>
  <c r="DA70" i="1"/>
  <c r="DA71" i="1" s="1"/>
  <c r="DA74" i="1"/>
  <c r="DB194" i="1"/>
  <c r="DB171" i="1"/>
  <c r="BV148" i="1" l="1"/>
  <c r="BV150" i="1" s="1"/>
  <c r="BW147" i="1" s="1"/>
  <c r="BV106" i="1"/>
  <c r="BV108" i="1" s="1"/>
  <c r="DB195" i="1"/>
  <c r="DB196" i="1" s="1"/>
  <c r="DB198" i="1" s="1"/>
  <c r="DB172" i="1"/>
  <c r="DC169" i="1" s="1"/>
  <c r="DC188" i="1" s="1"/>
  <c r="DC189" i="1" s="1"/>
  <c r="BW98" i="1"/>
  <c r="BW99" i="1" s="1"/>
  <c r="BX113" i="1"/>
  <c r="DA75" i="1"/>
  <c r="DA80" i="1" s="1"/>
  <c r="DA83" i="1" s="1"/>
  <c r="DA86" i="1" s="1"/>
  <c r="BW137" i="1"/>
  <c r="DB68" i="1"/>
  <c r="BV145" i="1"/>
  <c r="BV204" i="1" l="1"/>
  <c r="BV210" i="1" s="1"/>
  <c r="DA76" i="1"/>
  <c r="DB73" i="1" s="1"/>
  <c r="BW129" i="1"/>
  <c r="BX118" i="1"/>
  <c r="BX95" i="1" s="1"/>
  <c r="BX117" i="1"/>
  <c r="BX94" i="1" s="1"/>
  <c r="BX115" i="1"/>
  <c r="DB69" i="1"/>
  <c r="DB91" i="1"/>
  <c r="DB84" i="1"/>
  <c r="DB92" i="1"/>
  <c r="DB85" i="1"/>
  <c r="CZ114" i="1" l="1"/>
  <c r="DB93" i="1"/>
  <c r="DC171" i="1"/>
  <c r="DC194" i="1"/>
  <c r="BX119" i="1"/>
  <c r="BW100" i="1"/>
  <c r="BW101" i="1" s="1"/>
  <c r="BW138" i="1" s="1"/>
  <c r="BW130" i="1"/>
  <c r="BX125" i="1" s="1"/>
  <c r="DB74" i="1"/>
  <c r="DB70" i="1"/>
  <c r="DB71" i="1" s="1"/>
  <c r="BX121" i="1" l="1"/>
  <c r="BX96" i="1" s="1"/>
  <c r="BX97" i="1" s="1"/>
  <c r="DB75" i="1"/>
  <c r="DB80" i="1" s="1"/>
  <c r="DB83" i="1" s="1"/>
  <c r="DB86" i="1" s="1"/>
  <c r="DC68" i="1"/>
  <c r="DC195" i="1"/>
  <c r="DC172" i="1"/>
  <c r="DD169" i="1" s="1"/>
  <c r="DD188" i="1" s="1"/>
  <c r="DD189" i="1" s="1"/>
  <c r="BX122" i="1" l="1"/>
  <c r="BX98" i="1" s="1"/>
  <c r="BX99" i="1" s="1"/>
  <c r="DB76" i="1"/>
  <c r="DC73" i="1" s="1"/>
  <c r="DC69" i="1"/>
  <c r="DC84" i="1"/>
  <c r="DC91" i="1"/>
  <c r="BW102" i="1"/>
  <c r="BW103" i="1" s="1"/>
  <c r="BW144" i="1" s="1"/>
  <c r="BW139" i="1"/>
  <c r="BX133" i="1" s="1"/>
  <c r="DC92" i="1"/>
  <c r="DC85" i="1"/>
  <c r="DC196" i="1"/>
  <c r="DC198" i="1" s="1"/>
  <c r="DA114" i="1" l="1"/>
  <c r="BY113" i="1"/>
  <c r="BY118" i="1" s="1"/>
  <c r="BY95" i="1" s="1"/>
  <c r="BW106" i="1"/>
  <c r="BW108" i="1" s="1"/>
  <c r="BW148" i="1"/>
  <c r="BW150" i="1" s="1"/>
  <c r="BX147" i="1" s="1"/>
  <c r="BX129" i="1"/>
  <c r="DD171" i="1"/>
  <c r="DD194" i="1"/>
  <c r="DC70" i="1"/>
  <c r="DC71" i="1" s="1"/>
  <c r="DC74" i="1"/>
  <c r="BX137" i="1"/>
  <c r="BW145" i="1"/>
  <c r="DC93" i="1"/>
  <c r="BW204" i="1" l="1"/>
  <c r="BW210" i="1" s="1"/>
  <c r="BY117" i="1"/>
  <c r="BY94" i="1" s="1"/>
  <c r="BY115" i="1"/>
  <c r="DD68" i="1"/>
  <c r="DD195" i="1"/>
  <c r="DD172" i="1"/>
  <c r="DE169" i="1" s="1"/>
  <c r="DE188" i="1" s="1"/>
  <c r="DE189" i="1" s="1"/>
  <c r="DC75" i="1"/>
  <c r="DC80" i="1" s="1"/>
  <c r="DC83" i="1" s="1"/>
  <c r="DC86" i="1" s="1"/>
  <c r="BX100" i="1"/>
  <c r="BX101" i="1" s="1"/>
  <c r="BX138" i="1" s="1"/>
  <c r="BX130" i="1"/>
  <c r="BY125" i="1" s="1"/>
  <c r="BY119" i="1" l="1"/>
  <c r="BY121" i="1" s="1"/>
  <c r="BY96" i="1" s="1"/>
  <c r="BY97" i="1" s="1"/>
  <c r="DC76" i="1"/>
  <c r="DD73" i="1" s="1"/>
  <c r="DD92" i="1"/>
  <c r="DD85" i="1"/>
  <c r="DD69" i="1"/>
  <c r="DD84" i="1"/>
  <c r="DD91" i="1"/>
  <c r="DD196" i="1"/>
  <c r="DD198" i="1" s="1"/>
  <c r="BY122" i="1" l="1"/>
  <c r="BY98" i="1" s="1"/>
  <c r="BY99" i="1" s="1"/>
  <c r="BY129" i="1" s="1"/>
  <c r="DB114" i="1"/>
  <c r="DD93" i="1"/>
  <c r="BX102" i="1"/>
  <c r="BX103" i="1" s="1"/>
  <c r="BX144" i="1" s="1"/>
  <c r="BX139" i="1"/>
  <c r="BY133" i="1" s="1"/>
  <c r="DD74" i="1"/>
  <c r="DD70" i="1"/>
  <c r="DD71" i="1" s="1"/>
  <c r="DE171" i="1"/>
  <c r="DE194" i="1"/>
  <c r="BZ113" i="1" l="1"/>
  <c r="BZ117" i="1" s="1"/>
  <c r="BZ94" i="1" s="1"/>
  <c r="BX148" i="1"/>
  <c r="BX150" i="1" s="1"/>
  <c r="BY147" i="1" s="1"/>
  <c r="BX106" i="1"/>
  <c r="BX108" i="1" s="1"/>
  <c r="DE195" i="1"/>
  <c r="DE172" i="1"/>
  <c r="DF169" i="1" s="1"/>
  <c r="DF188" i="1" s="1"/>
  <c r="DF189" i="1" s="1"/>
  <c r="DD75" i="1"/>
  <c r="DD80" i="1" s="1"/>
  <c r="DD83" i="1" s="1"/>
  <c r="DD86" i="1" s="1"/>
  <c r="DE68" i="1"/>
  <c r="BY137" i="1"/>
  <c r="BY100" i="1"/>
  <c r="BY101" i="1" s="1"/>
  <c r="BY130" i="1"/>
  <c r="BZ125" i="1" s="1"/>
  <c r="BX145" i="1"/>
  <c r="BY138" i="1" l="1"/>
  <c r="BY102" i="1" s="1"/>
  <c r="BY103" i="1" s="1"/>
  <c r="BY142" i="1" s="1"/>
  <c r="BX204" i="1"/>
  <c r="BX210" i="1" s="1"/>
  <c r="BZ115" i="1"/>
  <c r="BZ118" i="1"/>
  <c r="BZ95" i="1" s="1"/>
  <c r="DE85" i="1"/>
  <c r="DE92" i="1"/>
  <c r="DE196" i="1"/>
  <c r="DE198" i="1" s="1"/>
  <c r="DE69" i="1"/>
  <c r="DE84" i="1"/>
  <c r="DE91" i="1"/>
  <c r="DD76" i="1"/>
  <c r="DE73" i="1" s="1"/>
  <c r="BZ119" i="1" l="1"/>
  <c r="BZ121" i="1" s="1"/>
  <c r="BZ96" i="1" s="1"/>
  <c r="BZ97" i="1" s="1"/>
  <c r="DC114" i="1"/>
  <c r="BY104" i="1"/>
  <c r="BY143" i="1"/>
  <c r="BY105" i="1" s="1"/>
  <c r="DE93" i="1"/>
  <c r="DF171" i="1"/>
  <c r="DF194" i="1"/>
  <c r="DE70" i="1"/>
  <c r="DE71" i="1" s="1"/>
  <c r="DE74" i="1"/>
  <c r="DE75" i="1" s="1"/>
  <c r="DE80" i="1" s="1"/>
  <c r="DE83" i="1" s="1"/>
  <c r="DE86" i="1" s="1"/>
  <c r="BY139" i="1"/>
  <c r="BZ133" i="1" s="1"/>
  <c r="BZ122" i="1" l="1"/>
  <c r="BZ98" i="1" s="1"/>
  <c r="BZ99" i="1" s="1"/>
  <c r="BY144" i="1"/>
  <c r="BY145" i="1" s="1"/>
  <c r="DE76" i="1"/>
  <c r="DF73" i="1" s="1"/>
  <c r="DF68" i="1"/>
  <c r="DF195" i="1"/>
  <c r="DF172" i="1"/>
  <c r="DG169" i="1" s="1"/>
  <c r="DG188" i="1" s="1"/>
  <c r="DG189" i="1" s="1"/>
  <c r="BZ137" i="1"/>
  <c r="CA113" i="1" l="1"/>
  <c r="CA118" i="1" s="1"/>
  <c r="CA95" i="1" s="1"/>
  <c r="BY148" i="1"/>
  <c r="BY150" i="1" s="1"/>
  <c r="BZ147" i="1" s="1"/>
  <c r="BY106" i="1"/>
  <c r="BY108" i="1" s="1"/>
  <c r="BZ129" i="1"/>
  <c r="DF85" i="1"/>
  <c r="DF92" i="1"/>
  <c r="DF196" i="1"/>
  <c r="DF198" i="1" s="1"/>
  <c r="DF69" i="1"/>
  <c r="DF84" i="1"/>
  <c r="DF91" i="1"/>
  <c r="BY204" i="1" l="1"/>
  <c r="BY210" i="1" s="1"/>
  <c r="CA117" i="1"/>
  <c r="CA94" i="1" s="1"/>
  <c r="CA115" i="1"/>
  <c r="DD114" i="1"/>
  <c r="DF93" i="1"/>
  <c r="DG171" i="1"/>
  <c r="DG194" i="1"/>
  <c r="BZ100" i="1"/>
  <c r="BZ101" i="1" s="1"/>
  <c r="BZ138" i="1" s="1"/>
  <c r="BZ130" i="1"/>
  <c r="CA125" i="1" s="1"/>
  <c r="DF70" i="1"/>
  <c r="DF71" i="1" s="1"/>
  <c r="DF74" i="1"/>
  <c r="CA119" i="1" l="1"/>
  <c r="CA121" i="1" s="1"/>
  <c r="CA96" i="1" s="1"/>
  <c r="CA97" i="1" s="1"/>
  <c r="DF75" i="1"/>
  <c r="DF80" i="1" s="1"/>
  <c r="DF83" i="1" s="1"/>
  <c r="DF86" i="1" s="1"/>
  <c r="DG68" i="1"/>
  <c r="DG195" i="1"/>
  <c r="DG172" i="1"/>
  <c r="DH169" i="1" s="1"/>
  <c r="DH188" i="1" s="1"/>
  <c r="DH189" i="1" s="1"/>
  <c r="CA122" i="1" l="1"/>
  <c r="CA98" i="1" s="1"/>
  <c r="CA99" i="1" s="1"/>
  <c r="DF76" i="1"/>
  <c r="DG73" i="1" s="1"/>
  <c r="DG85" i="1"/>
  <c r="DG92" i="1"/>
  <c r="BZ102" i="1"/>
  <c r="BZ103" i="1" s="1"/>
  <c r="BZ144" i="1" s="1"/>
  <c r="BZ139" i="1"/>
  <c r="CA133" i="1" s="1"/>
  <c r="DG69" i="1"/>
  <c r="DG84" i="1"/>
  <c r="DG91" i="1"/>
  <c r="DG196" i="1"/>
  <c r="DG198" i="1" s="1"/>
  <c r="DE114" i="1" l="1"/>
  <c r="BZ106" i="1"/>
  <c r="BZ108" i="1" s="1"/>
  <c r="BZ148" i="1"/>
  <c r="BZ150" i="1" s="1"/>
  <c r="CA147" i="1" s="1"/>
  <c r="CB113" i="1"/>
  <c r="CB115" i="1" s="1"/>
  <c r="CA129" i="1"/>
  <c r="CA137" i="1"/>
  <c r="BZ145" i="1"/>
  <c r="DH171" i="1"/>
  <c r="DH194" i="1"/>
  <c r="DG93" i="1"/>
  <c r="DG70" i="1"/>
  <c r="DG71" i="1" s="1"/>
  <c r="DG74" i="1"/>
  <c r="DG75" i="1" s="1"/>
  <c r="BZ204" i="1" l="1"/>
  <c r="BZ210" i="1" s="1"/>
  <c r="CB118" i="1"/>
  <c r="CB95" i="1" s="1"/>
  <c r="CB117" i="1"/>
  <c r="CB94" i="1" s="1"/>
  <c r="DG80" i="1"/>
  <c r="DG83" i="1" s="1"/>
  <c r="DG86" i="1" s="1"/>
  <c r="DG76" i="1"/>
  <c r="DH73" i="1" s="1"/>
  <c r="DH68" i="1"/>
  <c r="DH195" i="1"/>
  <c r="DH196" i="1" s="1"/>
  <c r="DH198" i="1" s="1"/>
  <c r="DH172" i="1"/>
  <c r="DI169" i="1" s="1"/>
  <c r="DI188" i="1" s="1"/>
  <c r="DI189" i="1" s="1"/>
  <c r="CA100" i="1"/>
  <c r="CA101" i="1" s="1"/>
  <c r="CA138" i="1" s="1"/>
  <c r="CA130" i="1"/>
  <c r="CB125" i="1" s="1"/>
  <c r="CB119" i="1" l="1"/>
  <c r="CB121" i="1" s="1"/>
  <c r="CB96" i="1" s="1"/>
  <c r="CB97" i="1" s="1"/>
  <c r="DH92" i="1"/>
  <c r="DH85" i="1"/>
  <c r="DH69" i="1"/>
  <c r="DH84" i="1"/>
  <c r="DH91" i="1"/>
  <c r="DF114" i="1" l="1"/>
  <c r="CB122" i="1"/>
  <c r="CB98" i="1" s="1"/>
  <c r="CB99" i="1" s="1"/>
  <c r="DH93" i="1"/>
  <c r="DH70" i="1"/>
  <c r="DH71" i="1" s="1"/>
  <c r="DH74" i="1"/>
  <c r="DI171" i="1"/>
  <c r="DI194" i="1"/>
  <c r="CA102" i="1"/>
  <c r="CA103" i="1" s="1"/>
  <c r="CA144" i="1" s="1"/>
  <c r="CA139" i="1"/>
  <c r="CB133" i="1" l="1"/>
  <c r="CA206" i="1"/>
  <c r="CC113" i="1"/>
  <c r="CC117" i="1" s="1"/>
  <c r="CC94" i="1" s="1"/>
  <c r="CA148" i="1"/>
  <c r="CA150" i="1" s="1"/>
  <c r="CB147" i="1" s="1"/>
  <c r="CA106" i="1"/>
  <c r="CA108" i="1" s="1"/>
  <c r="DI195" i="1"/>
  <c r="DI196" i="1" s="1"/>
  <c r="DI198" i="1" s="1"/>
  <c r="DI172" i="1"/>
  <c r="DJ169" i="1" s="1"/>
  <c r="DJ188" i="1" s="1"/>
  <c r="DJ189" i="1" s="1"/>
  <c r="DH75" i="1"/>
  <c r="DH80" i="1" s="1"/>
  <c r="DH83" i="1" s="1"/>
  <c r="DH86" i="1" s="1"/>
  <c r="DI68" i="1"/>
  <c r="CA145" i="1"/>
  <c r="CB129" i="1"/>
  <c r="CB137" i="1" l="1"/>
  <c r="CA204" i="1"/>
  <c r="CA210" i="1" s="1"/>
  <c r="CC118" i="1"/>
  <c r="CC95" i="1" s="1"/>
  <c r="CC115" i="1"/>
  <c r="CB149" i="1"/>
  <c r="CB107" i="1" s="1"/>
  <c r="DH76" i="1"/>
  <c r="DI73" i="1" s="1"/>
  <c r="CB100" i="1"/>
  <c r="CB101" i="1" s="1"/>
  <c r="CB130" i="1"/>
  <c r="CC125" i="1" s="1"/>
  <c r="DI69" i="1"/>
  <c r="DI84" i="1"/>
  <c r="DI91" i="1"/>
  <c r="DI85" i="1"/>
  <c r="DI92" i="1"/>
  <c r="CB138" i="1" l="1"/>
  <c r="CC119" i="1"/>
  <c r="CC121" i="1" s="1"/>
  <c r="CC96" i="1" s="1"/>
  <c r="CC97" i="1" s="1"/>
  <c r="DG114" i="1"/>
  <c r="DI93" i="1"/>
  <c r="DJ171" i="1"/>
  <c r="DJ194" i="1"/>
  <c r="DI70" i="1"/>
  <c r="DI71" i="1" s="1"/>
  <c r="DI74" i="1"/>
  <c r="DI75" i="1" s="1"/>
  <c r="DI80" i="1" s="1"/>
  <c r="DI83" i="1" s="1"/>
  <c r="DI86" i="1" s="1"/>
  <c r="CB102" i="1" l="1"/>
  <c r="CB103" i="1" s="1"/>
  <c r="CB144" i="1" s="1"/>
  <c r="CB139" i="1"/>
  <c r="CC133" i="1" s="1"/>
  <c r="CC122" i="1"/>
  <c r="DI76" i="1"/>
  <c r="DJ73" i="1" s="1"/>
  <c r="DJ68" i="1"/>
  <c r="DJ195" i="1"/>
  <c r="DJ196" i="1" s="1"/>
  <c r="DJ198" i="1" s="1"/>
  <c r="DJ172" i="1"/>
  <c r="DK169" i="1" s="1"/>
  <c r="DK188" i="1" s="1"/>
  <c r="DK189" i="1" s="1"/>
  <c r="CB148" i="1" l="1"/>
  <c r="CB150" i="1" s="1"/>
  <c r="CC147" i="1" s="1"/>
  <c r="CB106" i="1"/>
  <c r="CB108" i="1" s="1"/>
  <c r="CC98" i="1"/>
  <c r="CC99" i="1" s="1"/>
  <c r="CD113" i="1"/>
  <c r="DJ69" i="1"/>
  <c r="DJ91" i="1"/>
  <c r="DJ84" i="1"/>
  <c r="DJ92" i="1"/>
  <c r="DJ85" i="1"/>
  <c r="CC137" i="1"/>
  <c r="CB145" i="1"/>
  <c r="CB204" i="1" l="1"/>
  <c r="CB210" i="1" s="1"/>
  <c r="DH114" i="1"/>
  <c r="CC129" i="1"/>
  <c r="DJ74" i="1"/>
  <c r="DJ70" i="1"/>
  <c r="DJ71" i="1" s="1"/>
  <c r="DK171" i="1"/>
  <c r="DK194" i="1"/>
  <c r="CD118" i="1"/>
  <c r="CD95" i="1" s="1"/>
  <c r="CD117" i="1"/>
  <c r="CD94" i="1" s="1"/>
  <c r="CD115" i="1"/>
  <c r="DJ93" i="1"/>
  <c r="DK195" i="1" l="1"/>
  <c r="DK196" i="1" s="1"/>
  <c r="DK198" i="1" s="1"/>
  <c r="DK172" i="1"/>
  <c r="DL169" i="1" s="1"/>
  <c r="DL188" i="1" s="1"/>
  <c r="DL189" i="1" s="1"/>
  <c r="DK68" i="1"/>
  <c r="DJ75" i="1"/>
  <c r="DJ80" i="1" s="1"/>
  <c r="DJ83" i="1" s="1"/>
  <c r="DJ86" i="1" s="1"/>
  <c r="CC100" i="1"/>
  <c r="CC101" i="1" s="1"/>
  <c r="CC138" i="1" s="1"/>
  <c r="CC130" i="1"/>
  <c r="CD125" i="1" s="1"/>
  <c r="CD119" i="1"/>
  <c r="DJ76" i="1" l="1"/>
  <c r="DK73" i="1" s="1"/>
  <c r="DK69" i="1"/>
  <c r="DK84" i="1"/>
  <c r="DK91" i="1"/>
  <c r="CD121" i="1"/>
  <c r="CD96" i="1" s="1"/>
  <c r="CD97" i="1" s="1"/>
  <c r="DK85" i="1"/>
  <c r="DK92" i="1"/>
  <c r="DI114" i="1" l="1"/>
  <c r="CD122" i="1"/>
  <c r="CD98" i="1" s="1"/>
  <c r="CD99" i="1" s="1"/>
  <c r="DK93" i="1"/>
  <c r="DL171" i="1"/>
  <c r="DL194" i="1"/>
  <c r="DK70" i="1"/>
  <c r="DK71" i="1" s="1"/>
  <c r="DK74" i="1"/>
  <c r="DK75" i="1" s="1"/>
  <c r="DK80" i="1" s="1"/>
  <c r="DK83" i="1" s="1"/>
  <c r="DK86" i="1" s="1"/>
  <c r="CC102" i="1"/>
  <c r="CC103" i="1" s="1"/>
  <c r="CC142" i="1" s="1"/>
  <c r="CC139" i="1"/>
  <c r="CD133" i="1" s="1"/>
  <c r="CE113" i="1" l="1"/>
  <c r="CE115" i="1" s="1"/>
  <c r="CC143" i="1"/>
  <c r="CC105" i="1" s="1"/>
  <c r="CC104" i="1"/>
  <c r="CD129" i="1"/>
  <c r="DL68" i="1"/>
  <c r="DK76" i="1"/>
  <c r="DL73" i="1" s="1"/>
  <c r="DL195" i="1"/>
  <c r="DL196" i="1" s="1"/>
  <c r="DL198" i="1" s="1"/>
  <c r="DL172" i="1"/>
  <c r="DM169" i="1" s="1"/>
  <c r="DM188" i="1" s="1"/>
  <c r="DM189" i="1" s="1"/>
  <c r="CD137" i="1"/>
  <c r="CE117" i="1" l="1"/>
  <c r="CE94" i="1" s="1"/>
  <c r="CE118" i="1"/>
  <c r="CE95" i="1" s="1"/>
  <c r="CC144" i="1"/>
  <c r="CC145" i="1" s="1"/>
  <c r="DL69" i="1"/>
  <c r="DL91" i="1"/>
  <c r="DL84" i="1"/>
  <c r="DL85" i="1"/>
  <c r="DL92" i="1"/>
  <c r="CD100" i="1"/>
  <c r="CD101" i="1" s="1"/>
  <c r="CD138" i="1" s="1"/>
  <c r="CD130" i="1"/>
  <c r="CE125" i="1" s="1"/>
  <c r="DJ114" i="1" l="1"/>
  <c r="CE119" i="1"/>
  <c r="CE121" i="1" s="1"/>
  <c r="CE96" i="1" s="1"/>
  <c r="CE97" i="1" s="1"/>
  <c r="CC106" i="1"/>
  <c r="CC108" i="1" s="1"/>
  <c r="CC148" i="1"/>
  <c r="CC150" i="1" s="1"/>
  <c r="CD147" i="1" s="1"/>
  <c r="DM171" i="1"/>
  <c r="DM194" i="1"/>
  <c r="DL93" i="1"/>
  <c r="DL74" i="1"/>
  <c r="DL70" i="1"/>
  <c r="DL71" i="1" s="1"/>
  <c r="CC204" i="1" l="1"/>
  <c r="CC210" i="1" s="1"/>
  <c r="CE122" i="1"/>
  <c r="CE98" i="1" s="1"/>
  <c r="CE99" i="1" s="1"/>
  <c r="CE129" i="1" s="1"/>
  <c r="DL75" i="1"/>
  <c r="DL80" i="1" s="1"/>
  <c r="DL83" i="1" s="1"/>
  <c r="DL86" i="1" s="1"/>
  <c r="CD102" i="1"/>
  <c r="CD103" i="1" s="1"/>
  <c r="CD144" i="1" s="1"/>
  <c r="CD139" i="1"/>
  <c r="CE133" i="1" s="1"/>
  <c r="DM68" i="1"/>
  <c r="DM195" i="1"/>
  <c r="DM196" i="1" s="1"/>
  <c r="DM198" i="1" s="1"/>
  <c r="DM172" i="1"/>
  <c r="DN169" i="1" s="1"/>
  <c r="DN188" i="1" s="1"/>
  <c r="DN189" i="1" s="1"/>
  <c r="CF113" i="1" l="1"/>
  <c r="CF117" i="1" s="1"/>
  <c r="CF94" i="1" s="1"/>
  <c r="CD106" i="1"/>
  <c r="CD108" i="1" s="1"/>
  <c r="CD148" i="1"/>
  <c r="CD150" i="1" s="1"/>
  <c r="CE147" i="1" s="1"/>
  <c r="CD145" i="1"/>
  <c r="DM69" i="1"/>
  <c r="DM91" i="1"/>
  <c r="DM84" i="1"/>
  <c r="DL76" i="1"/>
  <c r="DM73" i="1" s="1"/>
  <c r="CE100" i="1"/>
  <c r="CE101" i="1" s="1"/>
  <c r="CE130" i="1"/>
  <c r="CF125" i="1" s="1"/>
  <c r="CE137" i="1"/>
  <c r="DM85" i="1"/>
  <c r="DM92" i="1"/>
  <c r="CE138" i="1" l="1"/>
  <c r="CE102" i="1" s="1"/>
  <c r="CE103" i="1" s="1"/>
  <c r="CE144" i="1" s="1"/>
  <c r="CD204" i="1"/>
  <c r="CD210" i="1" s="1"/>
  <c r="DK114" i="1"/>
  <c r="CF115" i="1"/>
  <c r="CF118" i="1"/>
  <c r="DM93" i="1"/>
  <c r="DM70" i="1"/>
  <c r="DM71" i="1" s="1"/>
  <c r="DM74" i="1"/>
  <c r="DM75" i="1" s="1"/>
  <c r="DM80" i="1" s="1"/>
  <c r="DM83" i="1" s="1"/>
  <c r="DM86" i="1" s="1"/>
  <c r="DN171" i="1"/>
  <c r="DN194" i="1"/>
  <c r="CE139" i="1" l="1"/>
  <c r="CF133" i="1" s="1"/>
  <c r="CF137" i="1" s="1"/>
  <c r="CF95" i="1"/>
  <c r="CF119" i="1"/>
  <c r="CF121" i="1" s="1"/>
  <c r="CF96" i="1" s="1"/>
  <c r="CE148" i="1"/>
  <c r="CE150" i="1" s="1"/>
  <c r="CF147" i="1" s="1"/>
  <c r="CE106" i="1"/>
  <c r="CE108" i="1" s="1"/>
  <c r="DN195" i="1"/>
  <c r="DN172" i="1"/>
  <c r="DO169" i="1" s="1"/>
  <c r="DO188" i="1" s="1"/>
  <c r="DO189" i="1" s="1"/>
  <c r="DM76" i="1"/>
  <c r="DN73" i="1" s="1"/>
  <c r="DN68" i="1"/>
  <c r="CE145" i="1"/>
  <c r="CF97" i="1" l="1"/>
  <c r="CE204" i="1"/>
  <c r="CE210" i="1" s="1"/>
  <c r="CF122" i="1"/>
  <c r="CG113" i="1" s="1"/>
  <c r="DN92" i="1"/>
  <c r="DN85" i="1"/>
  <c r="DN69" i="1"/>
  <c r="DN84" i="1"/>
  <c r="DN91" i="1"/>
  <c r="DN196" i="1"/>
  <c r="DN198" i="1" s="1"/>
  <c r="CF98" i="1" l="1"/>
  <c r="CF99" i="1" s="1"/>
  <c r="CF129" i="1" s="1"/>
  <c r="DL114" i="1"/>
  <c r="CG118" i="1"/>
  <c r="CG95" i="1" s="1"/>
  <c r="CG115" i="1"/>
  <c r="CG117" i="1"/>
  <c r="CG94" i="1" s="1"/>
  <c r="DO171" i="1"/>
  <c r="DO194" i="1"/>
  <c r="DN93" i="1"/>
  <c r="DN74" i="1"/>
  <c r="DN70" i="1"/>
  <c r="DN71" i="1" s="1"/>
  <c r="DO195" i="1" l="1"/>
  <c r="DO196" i="1" s="1"/>
  <c r="DO198" i="1" s="1"/>
  <c r="DO172" i="1"/>
  <c r="DP169" i="1" s="1"/>
  <c r="DP188" i="1" s="1"/>
  <c r="DP189" i="1" s="1"/>
  <c r="CF100" i="1"/>
  <c r="CF101" i="1" s="1"/>
  <c r="CF138" i="1" s="1"/>
  <c r="CF130" i="1"/>
  <c r="CG125" i="1" s="1"/>
  <c r="DO68" i="1"/>
  <c r="DN75" i="1"/>
  <c r="DN80" i="1" s="1"/>
  <c r="DN83" i="1" s="1"/>
  <c r="DN86" i="1" s="1"/>
  <c r="CG119" i="1"/>
  <c r="DO69" i="1" l="1"/>
  <c r="DO91" i="1"/>
  <c r="DO84" i="1"/>
  <c r="CG121" i="1"/>
  <c r="CG96" i="1" s="1"/>
  <c r="CG97" i="1" s="1"/>
  <c r="DN76" i="1"/>
  <c r="DO73" i="1" s="1"/>
  <c r="DO85" i="1"/>
  <c r="DO92" i="1"/>
  <c r="DM114" i="1" l="1"/>
  <c r="CG122" i="1"/>
  <c r="CH113" i="1" s="1"/>
  <c r="CF102" i="1"/>
  <c r="CF103" i="1" s="1"/>
  <c r="CF144" i="1" s="1"/>
  <c r="CF139" i="1"/>
  <c r="CG133" i="1" s="1"/>
  <c r="DP171" i="1"/>
  <c r="DP194" i="1"/>
  <c r="DO93" i="1"/>
  <c r="DO74" i="1"/>
  <c r="DO75" i="1" s="1"/>
  <c r="DO80" i="1" s="1"/>
  <c r="DO83" i="1" s="1"/>
  <c r="DO86" i="1" s="1"/>
  <c r="DO70" i="1"/>
  <c r="DO71" i="1" s="1"/>
  <c r="CF106" i="1" l="1"/>
  <c r="CF108" i="1" s="1"/>
  <c r="CF148" i="1"/>
  <c r="CF150" i="1" s="1"/>
  <c r="CG147" i="1" s="1"/>
  <c r="CG98" i="1"/>
  <c r="CG99" i="1" s="1"/>
  <c r="CG129" i="1" s="1"/>
  <c r="DO76" i="1"/>
  <c r="DP73" i="1" s="1"/>
  <c r="DP68" i="1"/>
  <c r="DP195" i="1"/>
  <c r="DP196" i="1" s="1"/>
  <c r="DP198" i="1" s="1"/>
  <c r="DP172" i="1"/>
  <c r="DQ169" i="1" s="1"/>
  <c r="DQ188" i="1" s="1"/>
  <c r="DQ189" i="1" s="1"/>
  <c r="CH118" i="1"/>
  <c r="CH95" i="1" s="1"/>
  <c r="CH115" i="1"/>
  <c r="CH117" i="1"/>
  <c r="CH94" i="1" s="1"/>
  <c r="CG137" i="1"/>
  <c r="CF145" i="1"/>
  <c r="CF204" i="1" l="1"/>
  <c r="CF210" i="1" s="1"/>
  <c r="DP69" i="1"/>
  <c r="DP91" i="1"/>
  <c r="DP84" i="1"/>
  <c r="CH119" i="1"/>
  <c r="CG100" i="1"/>
  <c r="CG101" i="1" s="1"/>
  <c r="CG138" i="1" s="1"/>
  <c r="CG130" i="1"/>
  <c r="CH125" i="1" s="1"/>
  <c r="DP92" i="1"/>
  <c r="DP85" i="1"/>
  <c r="DN114" i="1" l="1"/>
  <c r="CH121" i="1"/>
  <c r="CH96" i="1" s="1"/>
  <c r="CH97" i="1" s="1"/>
  <c r="DP93" i="1"/>
  <c r="DP70" i="1"/>
  <c r="DP71" i="1" s="1"/>
  <c r="DP74" i="1"/>
  <c r="DQ171" i="1"/>
  <c r="DQ194" i="1"/>
  <c r="CH122" i="1" l="1"/>
  <c r="CH98" i="1" s="1"/>
  <c r="CH99" i="1" s="1"/>
  <c r="DQ195" i="1"/>
  <c r="DQ196" i="1" s="1"/>
  <c r="DQ198" i="1" s="1"/>
  <c r="DQ172" i="1"/>
  <c r="DR169" i="1" s="1"/>
  <c r="DR188" i="1" s="1"/>
  <c r="DR189" i="1" s="1"/>
  <c r="DP75" i="1"/>
  <c r="DP80" i="1" s="1"/>
  <c r="DP83" i="1" s="1"/>
  <c r="DP86" i="1" s="1"/>
  <c r="DQ68" i="1"/>
  <c r="CG102" i="1"/>
  <c r="CG103" i="1" s="1"/>
  <c r="CG144" i="1" s="1"/>
  <c r="CG139" i="1"/>
  <c r="CH133" i="1" s="1"/>
  <c r="CG106" i="1" l="1"/>
  <c r="CG108" i="1" s="1"/>
  <c r="CG148" i="1"/>
  <c r="CG150" i="1" s="1"/>
  <c r="CH147" i="1" s="1"/>
  <c r="CI113" i="1"/>
  <c r="CI115" i="1" s="1"/>
  <c r="DP76" i="1"/>
  <c r="DQ73" i="1" s="1"/>
  <c r="CG145" i="1"/>
  <c r="DQ69" i="1"/>
  <c r="DQ84" i="1"/>
  <c r="DQ91" i="1"/>
  <c r="CH129" i="1"/>
  <c r="DQ85" i="1"/>
  <c r="DQ92" i="1"/>
  <c r="CH137" i="1"/>
  <c r="CG204" i="1" l="1"/>
  <c r="CG210" i="1" s="1"/>
  <c r="CI118" i="1"/>
  <c r="CI95" i="1" s="1"/>
  <c r="CI117" i="1"/>
  <c r="CI94" i="1" s="1"/>
  <c r="DO114" i="1"/>
  <c r="DQ93" i="1"/>
  <c r="DQ74" i="1"/>
  <c r="DQ70" i="1"/>
  <c r="DQ71" i="1" s="1"/>
  <c r="DR171" i="1"/>
  <c r="DR194" i="1"/>
  <c r="CH100" i="1"/>
  <c r="CH101" i="1" s="1"/>
  <c r="CH138" i="1" s="1"/>
  <c r="CH130" i="1"/>
  <c r="CI125" i="1" s="1"/>
  <c r="CI119" i="1" l="1"/>
  <c r="CI121" i="1" s="1"/>
  <c r="CI96" i="1" s="1"/>
  <c r="CI97" i="1" s="1"/>
  <c r="DQ75" i="1"/>
  <c r="DQ80" i="1" s="1"/>
  <c r="DQ83" i="1" s="1"/>
  <c r="DQ86" i="1" s="1"/>
  <c r="DR195" i="1"/>
  <c r="DR196" i="1" s="1"/>
  <c r="DR198" i="1" s="1"/>
  <c r="DR172" i="1"/>
  <c r="DS169" i="1" s="1"/>
  <c r="DS188" i="1" s="1"/>
  <c r="DS189" i="1" s="1"/>
  <c r="DR68" i="1"/>
  <c r="DQ76" i="1" l="1"/>
  <c r="DR73" i="1" s="1"/>
  <c r="DR69" i="1"/>
  <c r="DR91" i="1"/>
  <c r="DR84" i="1"/>
  <c r="CH102" i="1"/>
  <c r="CH103" i="1" s="1"/>
  <c r="CH144" i="1" s="1"/>
  <c r="CH139" i="1"/>
  <c r="CI133" i="1" s="1"/>
  <c r="CI122" i="1"/>
  <c r="DR85" i="1"/>
  <c r="DR92" i="1"/>
  <c r="DP114" i="1" l="1"/>
  <c r="CH148" i="1"/>
  <c r="CH150" i="1" s="1"/>
  <c r="CI147" i="1" s="1"/>
  <c r="CH106" i="1"/>
  <c r="CH108" i="1" s="1"/>
  <c r="DS171" i="1"/>
  <c r="DS194" i="1"/>
  <c r="CH145" i="1"/>
  <c r="DR93" i="1"/>
  <c r="CI98" i="1"/>
  <c r="CI99" i="1" s="1"/>
  <c r="CJ113" i="1"/>
  <c r="DR70" i="1"/>
  <c r="DR71" i="1" s="1"/>
  <c r="DR74" i="1"/>
  <c r="DR75" i="1" s="1"/>
  <c r="DR76" i="1" s="1"/>
  <c r="DS73" i="1" s="1"/>
  <c r="CI137" i="1"/>
  <c r="CH204" i="1" l="1"/>
  <c r="CH210" i="1" s="1"/>
  <c r="CI129" i="1"/>
  <c r="DR80" i="1"/>
  <c r="DR83" i="1" s="1"/>
  <c r="DR86" i="1" s="1"/>
  <c r="DS68" i="1"/>
  <c r="CJ118" i="1"/>
  <c r="CJ95" i="1" s="1"/>
  <c r="CJ117" i="1"/>
  <c r="CJ94" i="1" s="1"/>
  <c r="CJ115" i="1"/>
  <c r="DS195" i="1"/>
  <c r="DS172" i="1"/>
  <c r="DT169" i="1" s="1"/>
  <c r="DT188" i="1" s="1"/>
  <c r="DT189" i="1" s="1"/>
  <c r="DS92" i="1" l="1"/>
  <c r="DS85" i="1"/>
  <c r="CI100" i="1"/>
  <c r="CI101" i="1" s="1"/>
  <c r="CI138" i="1" s="1"/>
  <c r="CI130" i="1"/>
  <c r="CJ125" i="1" s="1"/>
  <c r="DS69" i="1"/>
  <c r="DS91" i="1"/>
  <c r="DS84" i="1"/>
  <c r="CJ119" i="1"/>
  <c r="DS196" i="1"/>
  <c r="DS198" i="1" s="1"/>
  <c r="DQ114" i="1" l="1"/>
  <c r="DS93" i="1"/>
  <c r="DT171" i="1"/>
  <c r="DT194" i="1"/>
  <c r="DS74" i="1"/>
  <c r="DS70" i="1"/>
  <c r="DS71" i="1" s="1"/>
  <c r="CJ121" i="1"/>
  <c r="CJ96" i="1" s="1"/>
  <c r="CJ97" i="1" s="1"/>
  <c r="CJ122" i="1" l="1"/>
  <c r="CK113" i="1" s="1"/>
  <c r="DT195" i="1"/>
  <c r="DT196" i="1" s="1"/>
  <c r="DT198" i="1" s="1"/>
  <c r="DT172" i="1"/>
  <c r="DU169" i="1" s="1"/>
  <c r="DU188" i="1" s="1"/>
  <c r="DU189" i="1" s="1"/>
  <c r="CI102" i="1"/>
  <c r="CI103" i="1" s="1"/>
  <c r="CI144" i="1" s="1"/>
  <c r="CI139" i="1"/>
  <c r="CJ133" i="1" s="1"/>
  <c r="DT68" i="1"/>
  <c r="DS75" i="1"/>
  <c r="DS80" i="1" s="1"/>
  <c r="DS83" i="1" s="1"/>
  <c r="DS86" i="1" s="1"/>
  <c r="CJ98" i="1" l="1"/>
  <c r="CJ99" i="1" s="1"/>
  <c r="CJ129" i="1" s="1"/>
  <c r="CI106" i="1"/>
  <c r="CI108" i="1" s="1"/>
  <c r="CI148" i="1"/>
  <c r="CI150" i="1" s="1"/>
  <c r="CJ147" i="1" s="1"/>
  <c r="DT69" i="1"/>
  <c r="DT84" i="1"/>
  <c r="DT91" i="1"/>
  <c r="DS76" i="1"/>
  <c r="DT73" i="1" s="1"/>
  <c r="CJ137" i="1"/>
  <c r="CI145" i="1"/>
  <c r="CK118" i="1"/>
  <c r="CK95" i="1" s="1"/>
  <c r="CK115" i="1"/>
  <c r="CK117" i="1"/>
  <c r="CK94" i="1" s="1"/>
  <c r="DT92" i="1"/>
  <c r="DT85" i="1"/>
  <c r="CI204" i="1" l="1"/>
  <c r="CI210" i="1" s="1"/>
  <c r="DR114" i="1"/>
  <c r="DU194" i="1"/>
  <c r="DU171" i="1"/>
  <c r="DT93" i="1"/>
  <c r="DT70" i="1"/>
  <c r="DT71" i="1" s="1"/>
  <c r="DT74" i="1"/>
  <c r="DT75" i="1" s="1"/>
  <c r="DT80" i="1" s="1"/>
  <c r="DT83" i="1" s="1"/>
  <c r="DT86" i="1" s="1"/>
  <c r="CJ100" i="1"/>
  <c r="CJ101" i="1" s="1"/>
  <c r="CJ138" i="1" s="1"/>
  <c r="CJ130" i="1"/>
  <c r="CK125" i="1" s="1"/>
  <c r="CK119" i="1"/>
  <c r="DT76" i="1" l="1"/>
  <c r="DU73" i="1" s="1"/>
  <c r="DU195" i="1"/>
  <c r="DU172" i="1"/>
  <c r="DV169" i="1" s="1"/>
  <c r="DV188" i="1" s="1"/>
  <c r="DV189" i="1" s="1"/>
  <c r="CK121" i="1"/>
  <c r="CK96" i="1" s="1"/>
  <c r="CK97" i="1" s="1"/>
  <c r="DU68" i="1"/>
  <c r="DU92" i="1" l="1"/>
  <c r="DU85" i="1"/>
  <c r="CJ102" i="1"/>
  <c r="CJ103" i="1" s="1"/>
  <c r="CJ144" i="1" s="1"/>
  <c r="CJ139" i="1"/>
  <c r="CK133" i="1" s="1"/>
  <c r="DU196" i="1"/>
  <c r="DU198" i="1" s="1"/>
  <c r="DU69" i="1"/>
  <c r="DU84" i="1"/>
  <c r="DU91" i="1"/>
  <c r="CK122" i="1"/>
  <c r="DU93" i="1" l="1"/>
  <c r="DS114" i="1"/>
  <c r="CJ106" i="1"/>
  <c r="CJ108" i="1" s="1"/>
  <c r="CJ148" i="1"/>
  <c r="CJ150" i="1" s="1"/>
  <c r="CK147" i="1" s="1"/>
  <c r="CK137" i="1"/>
  <c r="CJ145" i="1"/>
  <c r="DV194" i="1"/>
  <c r="DV171" i="1"/>
  <c r="DU70" i="1"/>
  <c r="DU71" i="1" s="1"/>
  <c r="DU74" i="1"/>
  <c r="CK98" i="1"/>
  <c r="CK99" i="1" s="1"/>
  <c r="CL113" i="1"/>
  <c r="CJ204" i="1" l="1"/>
  <c r="CJ210" i="1" s="1"/>
  <c r="CK129" i="1"/>
  <c r="DV195" i="1"/>
  <c r="DV196" i="1" s="1"/>
  <c r="DV198" i="1" s="1"/>
  <c r="DV172" i="1"/>
  <c r="DW169" i="1" s="1"/>
  <c r="DW188" i="1" s="1"/>
  <c r="DW189" i="1" s="1"/>
  <c r="DV68" i="1"/>
  <c r="DU75" i="1"/>
  <c r="DU80" i="1" s="1"/>
  <c r="DU83" i="1" s="1"/>
  <c r="DU86" i="1" s="1"/>
  <c r="CL118" i="1"/>
  <c r="CL95" i="1" s="1"/>
  <c r="CL117" i="1"/>
  <c r="CL94" i="1" s="1"/>
  <c r="CL115" i="1"/>
  <c r="DU76" i="1" l="1"/>
  <c r="DV73" i="1" s="1"/>
  <c r="DV85" i="1"/>
  <c r="DV92" i="1"/>
  <c r="CK100" i="1"/>
  <c r="CK101" i="1" s="1"/>
  <c r="CK138" i="1" s="1"/>
  <c r="CK130" i="1"/>
  <c r="CL125" i="1" s="1"/>
  <c r="CL119" i="1"/>
  <c r="DV69" i="1"/>
  <c r="DV91" i="1"/>
  <c r="DV84" i="1"/>
  <c r="DT114" i="1" l="1"/>
  <c r="DV93" i="1"/>
  <c r="DV74" i="1"/>
  <c r="DV70" i="1"/>
  <c r="DV71" i="1" s="1"/>
  <c r="CL121" i="1"/>
  <c r="CL96" i="1" s="1"/>
  <c r="CL97" i="1" s="1"/>
  <c r="DW171" i="1"/>
  <c r="DW194" i="1"/>
  <c r="CK102" i="1" l="1"/>
  <c r="CK103" i="1" s="1"/>
  <c r="CK144" i="1" s="1"/>
  <c r="CK139" i="1"/>
  <c r="CL133" i="1" s="1"/>
  <c r="DW195" i="1"/>
  <c r="DW172" i="1"/>
  <c r="DX169" i="1" s="1"/>
  <c r="DX188" i="1" s="1"/>
  <c r="DX189" i="1" s="1"/>
  <c r="DV75" i="1"/>
  <c r="DV80" i="1" s="1"/>
  <c r="DV83" i="1" s="1"/>
  <c r="DV86" i="1" s="1"/>
  <c r="CL122" i="1"/>
  <c r="DW68" i="1"/>
  <c r="CK148" i="1" l="1"/>
  <c r="CK150" i="1" s="1"/>
  <c r="CL147" i="1" s="1"/>
  <c r="CK106" i="1"/>
  <c r="CK108" i="1" s="1"/>
  <c r="DV76" i="1"/>
  <c r="DW73" i="1" s="1"/>
  <c r="DW92" i="1"/>
  <c r="DW85" i="1"/>
  <c r="DW69" i="1"/>
  <c r="DW84" i="1"/>
  <c r="DW91" i="1"/>
  <c r="CL137" i="1"/>
  <c r="DW196" i="1"/>
  <c r="DW198" i="1" s="1"/>
  <c r="CL98" i="1"/>
  <c r="CL99" i="1" s="1"/>
  <c r="CM113" i="1"/>
  <c r="CK145" i="1"/>
  <c r="CK204" i="1" l="1"/>
  <c r="CK210" i="1" s="1"/>
  <c r="DU114" i="1"/>
  <c r="DW93" i="1"/>
  <c r="CM118" i="1"/>
  <c r="CM95" i="1" s="1"/>
  <c r="CM115" i="1"/>
  <c r="CM117" i="1"/>
  <c r="CM94" i="1" s="1"/>
  <c r="DW74" i="1"/>
  <c r="DW75" i="1" s="1"/>
  <c r="DW70" i="1"/>
  <c r="DW71" i="1" s="1"/>
  <c r="DX171" i="1"/>
  <c r="DX194" i="1"/>
  <c r="CL129" i="1"/>
  <c r="DW80" i="1" l="1"/>
  <c r="DW83" i="1" s="1"/>
  <c r="DW86" i="1" s="1"/>
  <c r="DW76" i="1"/>
  <c r="DX73" i="1" s="1"/>
  <c r="DX195" i="1"/>
  <c r="DX196" i="1" s="1"/>
  <c r="DX198" i="1" s="1"/>
  <c r="DX172" i="1"/>
  <c r="DY169" i="1" s="1"/>
  <c r="DY188" i="1" s="1"/>
  <c r="DY189" i="1" s="1"/>
  <c r="DX68" i="1"/>
  <c r="CM119" i="1"/>
  <c r="CL100" i="1"/>
  <c r="CL101" i="1" s="1"/>
  <c r="CL138" i="1" s="1"/>
  <c r="CL130" i="1"/>
  <c r="CM125" i="1" s="1"/>
  <c r="DX85" i="1" l="1"/>
  <c r="DX92" i="1"/>
  <c r="CM121" i="1"/>
  <c r="CM96" i="1" s="1"/>
  <c r="CM97" i="1" s="1"/>
  <c r="DX69" i="1"/>
  <c r="DX84" i="1"/>
  <c r="DX91" i="1"/>
  <c r="DX93" i="1" l="1"/>
  <c r="DV114" i="1"/>
  <c r="CM122" i="1"/>
  <c r="CM98" i="1" s="1"/>
  <c r="CM99" i="1" s="1"/>
  <c r="DY171" i="1"/>
  <c r="DY194" i="1"/>
  <c r="CL102" i="1"/>
  <c r="CL103" i="1" s="1"/>
  <c r="CL144" i="1" s="1"/>
  <c r="CL139" i="1"/>
  <c r="CM133" i="1" s="1"/>
  <c r="DX74" i="1"/>
  <c r="DX70" i="1"/>
  <c r="DX71" i="1" s="1"/>
  <c r="CN113" i="1" l="1"/>
  <c r="CN117" i="1" s="1"/>
  <c r="CN94" i="1" s="1"/>
  <c r="CL106" i="1"/>
  <c r="CL108" i="1" s="1"/>
  <c r="CL148" i="1"/>
  <c r="CL150" i="1" s="1"/>
  <c r="CM147" i="1" s="1"/>
  <c r="CM129" i="1"/>
  <c r="DX75" i="1"/>
  <c r="DX80" i="1" s="1"/>
  <c r="DX83" i="1" s="1"/>
  <c r="DX86" i="1" s="1"/>
  <c r="CM137" i="1"/>
  <c r="CL145" i="1"/>
  <c r="DY68" i="1"/>
  <c r="DY195" i="1"/>
  <c r="DY196" i="1" s="1"/>
  <c r="DY198" i="1" s="1"/>
  <c r="DY172" i="1"/>
  <c r="DZ169" i="1" s="1"/>
  <c r="DZ188" i="1" s="1"/>
  <c r="DZ189" i="1" s="1"/>
  <c r="CL204" i="1" l="1"/>
  <c r="CL210" i="1" s="1"/>
  <c r="CN115" i="1"/>
  <c r="CN118" i="1"/>
  <c r="CN95" i="1" s="1"/>
  <c r="DX76" i="1"/>
  <c r="DY73" i="1" s="1"/>
  <c r="DY92" i="1"/>
  <c r="DY85" i="1"/>
  <c r="CM100" i="1"/>
  <c r="CM101" i="1" s="1"/>
  <c r="CM138" i="1" s="1"/>
  <c r="CM130" i="1"/>
  <c r="CN125" i="1" s="1"/>
  <c r="DY69" i="1"/>
  <c r="DY84" i="1"/>
  <c r="DY91" i="1"/>
  <c r="DW114" i="1" l="1"/>
  <c r="CN119" i="1"/>
  <c r="CN121" i="1" s="1"/>
  <c r="CN96" i="1" s="1"/>
  <c r="CN97" i="1" s="1"/>
  <c r="DZ171" i="1"/>
  <c r="DZ194" i="1"/>
  <c r="DY93" i="1"/>
  <c r="DY70" i="1"/>
  <c r="DY71" i="1" s="1"/>
  <c r="DY74" i="1"/>
  <c r="DY75" i="1" s="1"/>
  <c r="DY80" i="1" s="1"/>
  <c r="DY83" i="1" s="1"/>
  <c r="DY86" i="1" s="1"/>
  <c r="DY76" i="1" l="1"/>
  <c r="DZ73" i="1" s="1"/>
  <c r="DZ68" i="1"/>
  <c r="DZ195" i="1"/>
  <c r="DZ196" i="1" s="1"/>
  <c r="DZ198" i="1" s="1"/>
  <c r="DZ172" i="1"/>
  <c r="EA169" i="1" s="1"/>
  <c r="EA188" i="1" s="1"/>
  <c r="EA189" i="1" s="1"/>
  <c r="CM102" i="1"/>
  <c r="CM103" i="1" s="1"/>
  <c r="CM144" i="1" s="1"/>
  <c r="CM139" i="1"/>
  <c r="CN133" i="1" s="1"/>
  <c r="CN122" i="1"/>
  <c r="CM148" i="1" l="1"/>
  <c r="CM150" i="1" s="1"/>
  <c r="CN147" i="1" s="1"/>
  <c r="CM106" i="1"/>
  <c r="CM108" i="1" s="1"/>
  <c r="DZ85" i="1"/>
  <c r="DZ92" i="1"/>
  <c r="DZ69" i="1"/>
  <c r="DZ84" i="1"/>
  <c r="DZ91" i="1"/>
  <c r="CN98" i="1"/>
  <c r="CN99" i="1" s="1"/>
  <c r="CO113" i="1"/>
  <c r="CN137" i="1"/>
  <c r="CM145" i="1"/>
  <c r="CM204" i="1" l="1"/>
  <c r="CM210" i="1" s="1"/>
  <c r="DZ93" i="1"/>
  <c r="DX114" i="1"/>
  <c r="DZ70" i="1"/>
  <c r="DZ71" i="1" s="1"/>
  <c r="DZ74" i="1"/>
  <c r="CO118" i="1"/>
  <c r="CO95" i="1" s="1"/>
  <c r="CO117" i="1"/>
  <c r="CO94" i="1" s="1"/>
  <c r="CO115" i="1"/>
  <c r="CN129" i="1"/>
  <c r="EA171" i="1"/>
  <c r="EA194" i="1"/>
  <c r="EA68" i="1" l="1"/>
  <c r="DZ75" i="1"/>
  <c r="DZ80" i="1" s="1"/>
  <c r="DZ83" i="1" s="1"/>
  <c r="DZ86" i="1" s="1"/>
  <c r="EA195" i="1"/>
  <c r="EA172" i="1"/>
  <c r="EB169" i="1" s="1"/>
  <c r="EB188" i="1" s="1"/>
  <c r="EB189" i="1" s="1"/>
  <c r="CN100" i="1"/>
  <c r="CN101" i="1" s="1"/>
  <c r="CN138" i="1" s="1"/>
  <c r="CN130" i="1"/>
  <c r="CO125" i="1" s="1"/>
  <c r="CO119" i="1"/>
  <c r="EA92" i="1" l="1"/>
  <c r="EA85" i="1"/>
  <c r="CO121" i="1"/>
  <c r="CO96" i="1" s="1"/>
  <c r="CO97" i="1" s="1"/>
  <c r="DZ76" i="1"/>
  <c r="EA73" i="1" s="1"/>
  <c r="EA69" i="1"/>
  <c r="EA91" i="1"/>
  <c r="EA84" i="1"/>
  <c r="EA196" i="1"/>
  <c r="EA198" i="1" s="1"/>
  <c r="DY114" i="1" l="1"/>
  <c r="EA93" i="1"/>
  <c r="CO122" i="1"/>
  <c r="CN102" i="1"/>
  <c r="CN103" i="1" s="1"/>
  <c r="CN144" i="1" s="1"/>
  <c r="CN139" i="1"/>
  <c r="CO133" i="1" s="1"/>
  <c r="EA74" i="1"/>
  <c r="EA75" i="1" s="1"/>
  <c r="EA80" i="1" s="1"/>
  <c r="EA83" i="1" s="1"/>
  <c r="EA86" i="1" s="1"/>
  <c r="EA70" i="1"/>
  <c r="EA71" i="1" s="1"/>
  <c r="EB171" i="1"/>
  <c r="EB194" i="1"/>
  <c r="CN106" i="1" l="1"/>
  <c r="CN108" i="1" s="1"/>
  <c r="CN148" i="1"/>
  <c r="CN150" i="1" s="1"/>
  <c r="CO147" i="1" s="1"/>
  <c r="EA76" i="1"/>
  <c r="EB73" i="1" s="1"/>
  <c r="EB68" i="1"/>
  <c r="EB195" i="1"/>
  <c r="EB172" i="1"/>
  <c r="EC169" i="1" s="1"/>
  <c r="EC188" i="1" s="1"/>
  <c r="EC189" i="1" s="1"/>
  <c r="CO137" i="1"/>
  <c r="CN145" i="1"/>
  <c r="CO98" i="1"/>
  <c r="CO99" i="1" s="1"/>
  <c r="CP113" i="1"/>
  <c r="CN204" i="1" l="1"/>
  <c r="CN210" i="1" s="1"/>
  <c r="EB92" i="1"/>
  <c r="EB85" i="1"/>
  <c r="EB196" i="1"/>
  <c r="EB198" i="1" s="1"/>
  <c r="CP118" i="1"/>
  <c r="CP95" i="1" s="1"/>
  <c r="CP117" i="1"/>
  <c r="CP94" i="1" s="1"/>
  <c r="CP115" i="1"/>
  <c r="EB69" i="1"/>
  <c r="EB84" i="1"/>
  <c r="EB91" i="1"/>
  <c r="CO129" i="1"/>
  <c r="DZ114" i="1" l="1"/>
  <c r="EB93" i="1"/>
  <c r="EB70" i="1"/>
  <c r="EB71" i="1" s="1"/>
  <c r="EB74" i="1"/>
  <c r="EC171" i="1"/>
  <c r="EC194" i="1"/>
  <c r="CO100" i="1"/>
  <c r="CO101" i="1" s="1"/>
  <c r="CO138" i="1" s="1"/>
  <c r="CO130" i="1"/>
  <c r="CP125" i="1" s="1"/>
  <c r="CP119" i="1"/>
  <c r="CP121" i="1" l="1"/>
  <c r="CP96" i="1" s="1"/>
  <c r="CP97" i="1" s="1"/>
  <c r="EC68" i="1"/>
  <c r="EB75" i="1"/>
  <c r="EB80" i="1" s="1"/>
  <c r="EB83" i="1" s="1"/>
  <c r="EB86" i="1" s="1"/>
  <c r="EC195" i="1"/>
  <c r="EC196" i="1" s="1"/>
  <c r="EC198" i="1" s="1"/>
  <c r="EC172" i="1"/>
  <c r="ED169" i="1" s="1"/>
  <c r="ED188" i="1" s="1"/>
  <c r="ED189" i="1" s="1"/>
  <c r="EC69" i="1" l="1"/>
  <c r="EC91" i="1"/>
  <c r="EC84" i="1"/>
  <c r="CO102" i="1"/>
  <c r="CO103" i="1" s="1"/>
  <c r="CO144" i="1" s="1"/>
  <c r="CO139" i="1"/>
  <c r="CP133" i="1" s="1"/>
  <c r="EB76" i="1"/>
  <c r="EC73" i="1" s="1"/>
  <c r="CP122" i="1"/>
  <c r="EC92" i="1"/>
  <c r="EC85" i="1"/>
  <c r="EA114" i="1" l="1"/>
  <c r="CO148" i="1"/>
  <c r="CO150" i="1" s="1"/>
  <c r="CP147" i="1" s="1"/>
  <c r="CO106" i="1"/>
  <c r="CO108" i="1" s="1"/>
  <c r="EC93" i="1"/>
  <c r="CP98" i="1"/>
  <c r="CP99" i="1" s="1"/>
  <c r="CQ113" i="1"/>
  <c r="CP137" i="1"/>
  <c r="CO145" i="1"/>
  <c r="ED194" i="1"/>
  <c r="ED171" i="1"/>
  <c r="EC74" i="1"/>
  <c r="EC70" i="1"/>
  <c r="EC71" i="1" s="1"/>
  <c r="CO204" i="1" l="1"/>
  <c r="CO210" i="1" s="1"/>
  <c r="ED195" i="1"/>
  <c r="ED196" i="1" s="1"/>
  <c r="ED198" i="1" s="1"/>
  <c r="ED172" i="1"/>
  <c r="EE169" i="1" s="1"/>
  <c r="EE188" i="1" s="1"/>
  <c r="EE189" i="1" s="1"/>
  <c r="EC75" i="1"/>
  <c r="EC80" i="1" s="1"/>
  <c r="EC83" i="1" s="1"/>
  <c r="EC86" i="1" s="1"/>
  <c r="ED68" i="1"/>
  <c r="CQ118" i="1"/>
  <c r="CQ95" i="1" s="1"/>
  <c r="CQ115" i="1"/>
  <c r="CQ117" i="1"/>
  <c r="CQ94" i="1" s="1"/>
  <c r="CP129" i="1"/>
  <c r="CP100" i="1" l="1"/>
  <c r="CP101" i="1" s="1"/>
  <c r="CP138" i="1" s="1"/>
  <c r="CP130" i="1"/>
  <c r="CQ125" i="1" s="1"/>
  <c r="ED69" i="1"/>
  <c r="ED84" i="1"/>
  <c r="ED91" i="1"/>
  <c r="ED85" i="1"/>
  <c r="ED92" i="1"/>
  <c r="CQ119" i="1"/>
  <c r="EC76" i="1"/>
  <c r="ED73" i="1" s="1"/>
  <c r="EB114" i="1" l="1"/>
  <c r="ED93" i="1"/>
  <c r="EE171" i="1"/>
  <c r="EE194" i="1"/>
  <c r="ED70" i="1"/>
  <c r="ED71" i="1" s="1"/>
  <c r="ED74" i="1"/>
  <c r="ED75" i="1" s="1"/>
  <c r="CQ121" i="1"/>
  <c r="CQ96" i="1" s="1"/>
  <c r="CQ97" i="1" s="1"/>
  <c r="ED80" i="1" l="1"/>
  <c r="ED83" i="1" s="1"/>
  <c r="ED86" i="1" s="1"/>
  <c r="ED76" i="1"/>
  <c r="EE73" i="1" s="1"/>
  <c r="CP102" i="1"/>
  <c r="CP103" i="1" s="1"/>
  <c r="CP144" i="1" s="1"/>
  <c r="CP139" i="1"/>
  <c r="CQ133" i="1" s="1"/>
  <c r="EE68" i="1"/>
  <c r="CQ122" i="1"/>
  <c r="EE195" i="1"/>
  <c r="EE196" i="1" s="1"/>
  <c r="EE198" i="1" s="1"/>
  <c r="EE172" i="1"/>
  <c r="EF169" i="1" s="1"/>
  <c r="EF188" i="1" s="1"/>
  <c r="EF189" i="1" s="1"/>
  <c r="CP148" i="1" l="1"/>
  <c r="CP150" i="1" s="1"/>
  <c r="CQ147" i="1" s="1"/>
  <c r="CP106" i="1"/>
  <c r="CP108" i="1" s="1"/>
  <c r="CQ137" i="1"/>
  <c r="CP145" i="1"/>
  <c r="EE85" i="1"/>
  <c r="EE92" i="1"/>
  <c r="CQ98" i="1"/>
  <c r="CQ99" i="1" s="1"/>
  <c r="CR113" i="1"/>
  <c r="EE69" i="1"/>
  <c r="EE84" i="1"/>
  <c r="EE91" i="1"/>
  <c r="CP204" i="1" l="1"/>
  <c r="CP210" i="1" s="1"/>
  <c r="EC114" i="1"/>
  <c r="EF171" i="1"/>
  <c r="EF194" i="1"/>
  <c r="EE74" i="1"/>
  <c r="EE70" i="1"/>
  <c r="EE71" i="1" s="1"/>
  <c r="CQ129" i="1"/>
  <c r="CR118" i="1"/>
  <c r="CR95" i="1" s="1"/>
  <c r="CR117" i="1"/>
  <c r="CR94" i="1" s="1"/>
  <c r="CR115" i="1"/>
  <c r="EE93" i="1"/>
  <c r="CQ100" i="1" l="1"/>
  <c r="CQ101" i="1" s="1"/>
  <c r="CQ138" i="1" s="1"/>
  <c r="CQ130" i="1"/>
  <c r="CR125" i="1" s="1"/>
  <c r="CR119" i="1"/>
  <c r="EE75" i="1"/>
  <c r="EE80" i="1" s="1"/>
  <c r="EE83" i="1" s="1"/>
  <c r="EE86" i="1" s="1"/>
  <c r="EF68" i="1"/>
  <c r="EF195" i="1"/>
  <c r="EF196" i="1" s="1"/>
  <c r="EF198" i="1" s="1"/>
  <c r="EF172" i="1"/>
  <c r="EG169" i="1" s="1"/>
  <c r="EG188" i="1" s="1"/>
  <c r="EG189" i="1" s="1"/>
  <c r="EE76" i="1" l="1"/>
  <c r="EF73" i="1" s="1"/>
  <c r="CR121" i="1"/>
  <c r="CR96" i="1" s="1"/>
  <c r="CR97" i="1" s="1"/>
  <c r="EF92" i="1"/>
  <c r="EF85" i="1"/>
  <c r="EF69" i="1"/>
  <c r="EF84" i="1"/>
  <c r="EF91" i="1"/>
  <c r="ED114" i="1" l="1"/>
  <c r="EF93" i="1"/>
  <c r="CQ102" i="1"/>
  <c r="CQ103" i="1" s="1"/>
  <c r="CQ144" i="1" s="1"/>
  <c r="CQ139" i="1"/>
  <c r="CR133" i="1" s="1"/>
  <c r="EG171" i="1"/>
  <c r="EG194" i="1"/>
  <c r="CR122" i="1"/>
  <c r="EF70" i="1"/>
  <c r="EF71" i="1" s="1"/>
  <c r="EF74" i="1"/>
  <c r="EF75" i="1" s="1"/>
  <c r="EF80" i="1" s="1"/>
  <c r="EF83" i="1" s="1"/>
  <c r="EF86" i="1" s="1"/>
  <c r="CQ148" i="1" l="1"/>
  <c r="CQ150" i="1" s="1"/>
  <c r="CR147" i="1" s="1"/>
  <c r="CQ106" i="1"/>
  <c r="CQ108" i="1" s="1"/>
  <c r="EF76" i="1"/>
  <c r="EG73" i="1" s="1"/>
  <c r="EG68" i="1"/>
  <c r="EG195" i="1"/>
  <c r="EG172" i="1"/>
  <c r="EH169" i="1" s="1"/>
  <c r="EH188" i="1" s="1"/>
  <c r="EH189" i="1" s="1"/>
  <c r="CR137" i="1"/>
  <c r="CR98" i="1"/>
  <c r="CR99" i="1" s="1"/>
  <c r="CS113" i="1"/>
  <c r="CQ145" i="1"/>
  <c r="CQ204" i="1" l="1"/>
  <c r="CQ210" i="1" s="1"/>
  <c r="CR129" i="1"/>
  <c r="EG85" i="1"/>
  <c r="EG92" i="1"/>
  <c r="EG69" i="1"/>
  <c r="EG91" i="1"/>
  <c r="EG84" i="1"/>
  <c r="CS118" i="1"/>
  <c r="CS95" i="1" s="1"/>
  <c r="CS117" i="1"/>
  <c r="CS94" i="1" s="1"/>
  <c r="CS115" i="1"/>
  <c r="EG196" i="1"/>
  <c r="EG198" i="1" s="1"/>
  <c r="EE114" i="1" l="1"/>
  <c r="EH171" i="1"/>
  <c r="EH194" i="1"/>
  <c r="CS119" i="1"/>
  <c r="CR100" i="1"/>
  <c r="CR101" i="1" s="1"/>
  <c r="CR138" i="1" s="1"/>
  <c r="CR130" i="1"/>
  <c r="CS125" i="1" s="1"/>
  <c r="EG93" i="1"/>
  <c r="EG74" i="1"/>
  <c r="EG70" i="1"/>
  <c r="EG71" i="1" s="1"/>
  <c r="CS121" i="1" l="1"/>
  <c r="CS96" i="1" s="1"/>
  <c r="CS97" i="1" s="1"/>
  <c r="EG75" i="1"/>
  <c r="EG80" i="1" s="1"/>
  <c r="EG83" i="1" s="1"/>
  <c r="EG86" i="1" s="1"/>
  <c r="EH68" i="1"/>
  <c r="EH195" i="1"/>
  <c r="EH172" i="1"/>
  <c r="EI169" i="1" s="1"/>
  <c r="EI188" i="1" s="1"/>
  <c r="EI189" i="1" s="1"/>
  <c r="CR102" i="1" l="1"/>
  <c r="CR103" i="1" s="1"/>
  <c r="CR144" i="1" s="1"/>
  <c r="CR139" i="1"/>
  <c r="CS133" i="1" s="1"/>
  <c r="EG76" i="1"/>
  <c r="EH73" i="1" s="1"/>
  <c r="CS122" i="1"/>
  <c r="EH69" i="1"/>
  <c r="EH84" i="1"/>
  <c r="EH91" i="1"/>
  <c r="EH85" i="1"/>
  <c r="EH92" i="1"/>
  <c r="EH196" i="1"/>
  <c r="EH198" i="1" s="1"/>
  <c r="EF114" i="1" l="1"/>
  <c r="EH93" i="1"/>
  <c r="CR148" i="1"/>
  <c r="CR150" i="1" s="1"/>
  <c r="CS147" i="1" s="1"/>
  <c r="CR106" i="1"/>
  <c r="CR108" i="1" s="1"/>
  <c r="EI171" i="1"/>
  <c r="EI194" i="1"/>
  <c r="CS137" i="1"/>
  <c r="CS98" i="1"/>
  <c r="CS99" i="1" s="1"/>
  <c r="CT113" i="1"/>
  <c r="CR145" i="1"/>
  <c r="EH74" i="1"/>
  <c r="EH75" i="1" s="1"/>
  <c r="EH70" i="1"/>
  <c r="EH71" i="1" s="1"/>
  <c r="CR204" i="1" l="1"/>
  <c r="CR210" i="1" s="1"/>
  <c r="EH80" i="1"/>
  <c r="EH83" i="1" s="1"/>
  <c r="EH86" i="1" s="1"/>
  <c r="EH76" i="1"/>
  <c r="EI73" i="1" s="1"/>
  <c r="CT118" i="1"/>
  <c r="CT95" i="1" s="1"/>
  <c r="CT115" i="1"/>
  <c r="CT117" i="1"/>
  <c r="CT94" i="1" s="1"/>
  <c r="CS129" i="1"/>
  <c r="EI68" i="1"/>
  <c r="EI195" i="1"/>
  <c r="EI196" i="1" s="1"/>
  <c r="EI198" i="1" s="1"/>
  <c r="EI172" i="1"/>
  <c r="EJ169" i="1" s="1"/>
  <c r="EJ188" i="1" s="1"/>
  <c r="EJ189" i="1" s="1"/>
  <c r="CT119" i="1" l="1"/>
  <c r="EI69" i="1"/>
  <c r="EI84" i="1"/>
  <c r="EI91" i="1"/>
  <c r="CS100" i="1"/>
  <c r="CS101" i="1" s="1"/>
  <c r="CS138" i="1" s="1"/>
  <c r="CS130" i="1"/>
  <c r="CT125" i="1" s="1"/>
  <c r="EI85" i="1"/>
  <c r="EI92" i="1"/>
  <c r="EG114" i="1" l="1"/>
  <c r="EI93" i="1"/>
  <c r="EJ171" i="1"/>
  <c r="EJ194" i="1"/>
  <c r="EI70" i="1"/>
  <c r="EI71" i="1" s="1"/>
  <c r="EI74" i="1"/>
  <c r="CT121" i="1"/>
  <c r="CT96" i="1" s="1"/>
  <c r="CT97" i="1" s="1"/>
  <c r="CT122" i="1" l="1"/>
  <c r="EJ68" i="1"/>
  <c r="EJ195" i="1"/>
  <c r="EJ172" i="1"/>
  <c r="EK169" i="1" s="1"/>
  <c r="EK188" i="1" s="1"/>
  <c r="EK189" i="1" s="1"/>
  <c r="CS102" i="1"/>
  <c r="CS103" i="1" s="1"/>
  <c r="CS144" i="1" s="1"/>
  <c r="CS139" i="1"/>
  <c r="CT133" i="1" s="1"/>
  <c r="EI75" i="1"/>
  <c r="EI80" i="1" s="1"/>
  <c r="EI83" i="1" s="1"/>
  <c r="EI86" i="1" s="1"/>
  <c r="CS148" i="1" l="1"/>
  <c r="CS150" i="1" s="1"/>
  <c r="CT147" i="1" s="1"/>
  <c r="CS106" i="1"/>
  <c r="CS108" i="1" s="1"/>
  <c r="EJ85" i="1"/>
  <c r="EJ92" i="1"/>
  <c r="EJ69" i="1"/>
  <c r="EJ91" i="1"/>
  <c r="EJ84" i="1"/>
  <c r="EJ196" i="1"/>
  <c r="EJ198" i="1" s="1"/>
  <c r="EI76" i="1"/>
  <c r="EJ73" i="1" s="1"/>
  <c r="CT137" i="1"/>
  <c r="CT98" i="1"/>
  <c r="CT99" i="1" s="1"/>
  <c r="CU113" i="1"/>
  <c r="CS145" i="1"/>
  <c r="CS204" i="1" l="1"/>
  <c r="CS210" i="1" s="1"/>
  <c r="EJ93" i="1"/>
  <c r="EH114" i="1"/>
  <c r="EJ74" i="1"/>
  <c r="EJ70" i="1"/>
  <c r="EJ71" i="1" s="1"/>
  <c r="CU118" i="1"/>
  <c r="CU95" i="1" s="1"/>
  <c r="CU115" i="1"/>
  <c r="CU117" i="1"/>
  <c r="CU94" i="1" s="1"/>
  <c r="EK171" i="1"/>
  <c r="EK194" i="1"/>
  <c r="CT129" i="1"/>
  <c r="EJ75" i="1" l="1"/>
  <c r="EJ80" i="1" s="1"/>
  <c r="EJ83" i="1" s="1"/>
  <c r="EJ86" i="1" s="1"/>
  <c r="CU119" i="1"/>
  <c r="EK68" i="1"/>
  <c r="EK195" i="1"/>
  <c r="EK172" i="1"/>
  <c r="EL169" i="1" s="1"/>
  <c r="EL188" i="1" s="1"/>
  <c r="EL189" i="1" s="1"/>
  <c r="CT100" i="1"/>
  <c r="CT101" i="1" s="1"/>
  <c r="CT138" i="1" s="1"/>
  <c r="CT130" i="1"/>
  <c r="CU125" i="1" s="1"/>
  <c r="EJ76" i="1" l="1"/>
  <c r="EK73" i="1" s="1"/>
  <c r="EK69" i="1"/>
  <c r="EK91" i="1"/>
  <c r="EK84" i="1"/>
  <c r="EK85" i="1"/>
  <c r="EK92" i="1"/>
  <c r="EK196" i="1"/>
  <c r="EK198" i="1" s="1"/>
  <c r="CU121" i="1"/>
  <c r="CU96" i="1" s="1"/>
  <c r="CU97" i="1" s="1"/>
  <c r="EI114" i="1" l="1"/>
  <c r="EK93" i="1"/>
  <c r="CU122" i="1"/>
  <c r="EK70" i="1"/>
  <c r="EK71" i="1" s="1"/>
  <c r="EK74" i="1"/>
  <c r="CT102" i="1"/>
  <c r="CT103" i="1" s="1"/>
  <c r="CT144" i="1" s="1"/>
  <c r="CT139" i="1"/>
  <c r="CU133" i="1" s="1"/>
  <c r="EL171" i="1"/>
  <c r="EL194" i="1"/>
  <c r="CT148" i="1" l="1"/>
  <c r="CT150" i="1" s="1"/>
  <c r="CU147" i="1" s="1"/>
  <c r="CT106" i="1"/>
  <c r="CT108" i="1" s="1"/>
  <c r="EK75" i="1"/>
  <c r="EK80" i="1" s="1"/>
  <c r="EK83" i="1" s="1"/>
  <c r="EK86" i="1" s="1"/>
  <c r="EL68" i="1"/>
  <c r="EL195" i="1"/>
  <c r="EL172" i="1"/>
  <c r="EM169" i="1" s="1"/>
  <c r="EM188" i="1" s="1"/>
  <c r="EM189" i="1" s="1"/>
  <c r="CU137" i="1"/>
  <c r="CT145" i="1"/>
  <c r="CU98" i="1"/>
  <c r="CU99" i="1" s="1"/>
  <c r="CV113" i="1"/>
  <c r="CT204" i="1" l="1"/>
  <c r="CT210" i="1" s="1"/>
  <c r="EL92" i="1"/>
  <c r="EL85" i="1"/>
  <c r="CU129" i="1"/>
  <c r="EL91" i="1"/>
  <c r="EL69" i="1"/>
  <c r="EL84" i="1"/>
  <c r="CV118" i="1"/>
  <c r="CV95" i="1" s="1"/>
  <c r="CV115" i="1"/>
  <c r="CV117" i="1"/>
  <c r="CV94" i="1" s="1"/>
  <c r="EL196" i="1"/>
  <c r="EL198" i="1" s="1"/>
  <c r="EK76" i="1"/>
  <c r="EL73" i="1" s="1"/>
  <c r="EJ114" i="1" l="1"/>
  <c r="EL93" i="1"/>
  <c r="EL70" i="1"/>
  <c r="EL71" i="1" s="1"/>
  <c r="EL74" i="1"/>
  <c r="EL75" i="1" s="1"/>
  <c r="EL80" i="1" s="1"/>
  <c r="EL83" i="1" s="1"/>
  <c r="EL86" i="1" s="1"/>
  <c r="CU100" i="1"/>
  <c r="CU101" i="1" s="1"/>
  <c r="CU138" i="1" s="1"/>
  <c r="CU130" i="1"/>
  <c r="CV125" i="1" s="1"/>
  <c r="CV119" i="1"/>
  <c r="EM171" i="1"/>
  <c r="EM194" i="1"/>
  <c r="EM68" i="1" l="1"/>
  <c r="EL76" i="1"/>
  <c r="EM73" i="1" s="1"/>
  <c r="EM195" i="1"/>
  <c r="EM196" i="1" s="1"/>
  <c r="EM198" i="1" s="1"/>
  <c r="EM172" i="1"/>
  <c r="EN169" i="1" s="1"/>
  <c r="EN188" i="1" s="1"/>
  <c r="EN189" i="1" s="1"/>
  <c r="CV121" i="1"/>
  <c r="CV96" i="1" s="1"/>
  <c r="CV97" i="1" s="1"/>
  <c r="CV122" i="1" l="1"/>
  <c r="CV98" i="1" s="1"/>
  <c r="CV99" i="1" s="1"/>
  <c r="CU102" i="1"/>
  <c r="CU103" i="1" s="1"/>
  <c r="CU144" i="1" s="1"/>
  <c r="CU139" i="1"/>
  <c r="CU206" i="1" s="1"/>
  <c r="EM69" i="1"/>
  <c r="EM91" i="1"/>
  <c r="EM84" i="1"/>
  <c r="EM85" i="1"/>
  <c r="EM92" i="1"/>
  <c r="EK114" i="1" l="1"/>
  <c r="CU148" i="1"/>
  <c r="CU150" i="1" s="1"/>
  <c r="CV147" i="1" s="1"/>
  <c r="CU106" i="1"/>
  <c r="CU108" i="1" s="1"/>
  <c r="CU204" i="1" s="1"/>
  <c r="EM93" i="1"/>
  <c r="CW113" i="1"/>
  <c r="CW115" i="1" s="1"/>
  <c r="E206" i="1"/>
  <c r="CV133" i="1"/>
  <c r="CU145" i="1"/>
  <c r="EN171" i="1"/>
  <c r="EN194" i="1"/>
  <c r="CV129" i="1"/>
  <c r="EM74" i="1"/>
  <c r="EM70" i="1"/>
  <c r="EM71" i="1" s="1"/>
  <c r="CV149" i="1" l="1"/>
  <c r="CV107" i="1" s="1"/>
  <c r="CW117" i="1"/>
  <c r="CW94" i="1" s="1"/>
  <c r="CW118" i="1"/>
  <c r="CW95" i="1" s="1"/>
  <c r="CV100" i="1"/>
  <c r="CV101" i="1" s="1"/>
  <c r="CV130" i="1"/>
  <c r="CW125" i="1" s="1"/>
  <c r="EN68" i="1"/>
  <c r="EM75" i="1"/>
  <c r="EM80" i="1" s="1"/>
  <c r="EM83" i="1" s="1"/>
  <c r="EM86" i="1" s="1"/>
  <c r="EN195" i="1"/>
  <c r="EN172" i="1"/>
  <c r="EO169" i="1" s="1"/>
  <c r="EO188" i="1" s="1"/>
  <c r="EO189" i="1" s="1"/>
  <c r="CU210" i="1"/>
  <c r="G212" i="1" s="1"/>
  <c r="E204" i="1"/>
  <c r="CV137" i="1"/>
  <c r="CV138" i="1" l="1"/>
  <c r="CV102" i="1" s="1"/>
  <c r="CV103" i="1" s="1"/>
  <c r="CV150" i="1"/>
  <c r="CW147" i="1" s="1"/>
  <c r="CW150" i="1" s="1"/>
  <c r="CX147" i="1" s="1"/>
  <c r="CX150" i="1" s="1"/>
  <c r="CY147" i="1" s="1"/>
  <c r="CY150" i="1" s="1"/>
  <c r="CZ147" i="1" s="1"/>
  <c r="CZ150" i="1" s="1"/>
  <c r="DA147" i="1" s="1"/>
  <c r="DA150" i="1" s="1"/>
  <c r="DB147" i="1" s="1"/>
  <c r="DB150" i="1" s="1"/>
  <c r="DC147" i="1" s="1"/>
  <c r="DC150" i="1" s="1"/>
  <c r="DD147" i="1" s="1"/>
  <c r="DD150" i="1" s="1"/>
  <c r="DE147" i="1" s="1"/>
  <c r="DE150" i="1" s="1"/>
  <c r="DF147" i="1" s="1"/>
  <c r="DF150" i="1" s="1"/>
  <c r="DG147" i="1" s="1"/>
  <c r="DG150" i="1" s="1"/>
  <c r="DH147" i="1" s="1"/>
  <c r="DH150" i="1" s="1"/>
  <c r="DI147" i="1" s="1"/>
  <c r="DI150" i="1" s="1"/>
  <c r="DJ147" i="1" s="1"/>
  <c r="DJ150" i="1" s="1"/>
  <c r="DK147" i="1" s="1"/>
  <c r="DK150" i="1" s="1"/>
  <c r="DL147" i="1" s="1"/>
  <c r="DL150" i="1" s="1"/>
  <c r="DM147" i="1" s="1"/>
  <c r="DM150" i="1" s="1"/>
  <c r="DN147" i="1" s="1"/>
  <c r="DN150" i="1" s="1"/>
  <c r="DO147" i="1" s="1"/>
  <c r="DO150" i="1" s="1"/>
  <c r="DP147" i="1" s="1"/>
  <c r="DP150" i="1" s="1"/>
  <c r="DQ147" i="1" s="1"/>
  <c r="DQ150" i="1" s="1"/>
  <c r="DR147" i="1" s="1"/>
  <c r="DR150" i="1" s="1"/>
  <c r="DS147" i="1" s="1"/>
  <c r="DS150" i="1" s="1"/>
  <c r="DT147" i="1" s="1"/>
  <c r="DT150" i="1" s="1"/>
  <c r="DU147" i="1" s="1"/>
  <c r="DU150" i="1" s="1"/>
  <c r="DV147" i="1" s="1"/>
  <c r="DV150" i="1" s="1"/>
  <c r="DW147" i="1" s="1"/>
  <c r="DW150" i="1" s="1"/>
  <c r="DX147" i="1" s="1"/>
  <c r="DX150" i="1" s="1"/>
  <c r="DY147" i="1" s="1"/>
  <c r="DY150" i="1" s="1"/>
  <c r="DZ147" i="1" s="1"/>
  <c r="DZ150" i="1" s="1"/>
  <c r="EA147" i="1" s="1"/>
  <c r="EA150" i="1" s="1"/>
  <c r="EB147" i="1" s="1"/>
  <c r="EB150" i="1" s="1"/>
  <c r="EC147" i="1" s="1"/>
  <c r="EC150" i="1" s="1"/>
  <c r="ED147" i="1" s="1"/>
  <c r="ED150" i="1" s="1"/>
  <c r="EE147" i="1" s="1"/>
  <c r="EE150" i="1" s="1"/>
  <c r="EF147" i="1" s="1"/>
  <c r="EF150" i="1" s="1"/>
  <c r="EG147" i="1" s="1"/>
  <c r="EG150" i="1" s="1"/>
  <c r="EH147" i="1" s="1"/>
  <c r="EH150" i="1" s="1"/>
  <c r="EI147" i="1" s="1"/>
  <c r="EI150" i="1" s="1"/>
  <c r="EJ147" i="1" s="1"/>
  <c r="EJ150" i="1" s="1"/>
  <c r="EK147" i="1" s="1"/>
  <c r="EK150" i="1" s="1"/>
  <c r="EL147" i="1" s="1"/>
  <c r="EL150" i="1" s="1"/>
  <c r="EM147" i="1" s="1"/>
  <c r="EM150" i="1" s="1"/>
  <c r="EN147" i="1" s="1"/>
  <c r="EN150" i="1" s="1"/>
  <c r="EO147" i="1" s="1"/>
  <c r="EO150" i="1" s="1"/>
  <c r="EP147" i="1" s="1"/>
  <c r="EP150" i="1" s="1"/>
  <c r="EQ147" i="1" s="1"/>
  <c r="EQ150" i="1" s="1"/>
  <c r="ER147" i="1" s="1"/>
  <c r="ER150" i="1" s="1"/>
  <c r="ES147" i="1" s="1"/>
  <c r="ES150" i="1" s="1"/>
  <c r="ET147" i="1" s="1"/>
  <c r="ET150" i="1" s="1"/>
  <c r="EU147" i="1" s="1"/>
  <c r="EU150" i="1" s="1"/>
  <c r="EV147" i="1" s="1"/>
  <c r="EV150" i="1" s="1"/>
  <c r="EW147" i="1" s="1"/>
  <c r="EW150" i="1" s="1"/>
  <c r="EX147" i="1" s="1"/>
  <c r="EX150" i="1" s="1"/>
  <c r="EY147" i="1" s="1"/>
  <c r="EY150" i="1" s="1"/>
  <c r="EZ147" i="1" s="1"/>
  <c r="EZ150" i="1" s="1"/>
  <c r="FA147" i="1" s="1"/>
  <c r="FA150" i="1" s="1"/>
  <c r="CW119" i="1"/>
  <c r="CW121" i="1" s="1"/>
  <c r="CW96" i="1" s="1"/>
  <c r="CW97" i="1" s="1"/>
  <c r="EN85" i="1"/>
  <c r="EN92" i="1"/>
  <c r="EM76" i="1"/>
  <c r="EN73" i="1" s="1"/>
  <c r="EN69" i="1"/>
  <c r="EN84" i="1"/>
  <c r="EN91" i="1"/>
  <c r="G214" i="1"/>
  <c r="D219" i="3"/>
  <c r="C249" i="3" s="1"/>
  <c r="G215" i="1"/>
  <c r="D218" i="3" s="1"/>
  <c r="C245" i="3" s="1"/>
  <c r="EN196" i="1"/>
  <c r="EN198" i="1" s="1"/>
  <c r="CV139" i="1" l="1"/>
  <c r="CW133" i="1" s="1"/>
  <c r="CW137" i="1" s="1"/>
  <c r="EL114" i="1"/>
  <c r="EN93" i="1"/>
  <c r="G216" i="1"/>
  <c r="D220" i="3" s="1"/>
  <c r="C253" i="3" s="1"/>
  <c r="EN70" i="1"/>
  <c r="EN71" i="1" s="1"/>
  <c r="EN74" i="1"/>
  <c r="EN75" i="1" s="1"/>
  <c r="EN80" i="1" s="1"/>
  <c r="EN83" i="1" s="1"/>
  <c r="EN86" i="1" s="1"/>
  <c r="CV108" i="1"/>
  <c r="CV210" i="1" s="1"/>
  <c r="CV145" i="1"/>
  <c r="CW122" i="1"/>
  <c r="EO171" i="1"/>
  <c r="EO194" i="1"/>
  <c r="EO195" i="1" l="1"/>
  <c r="EO172" i="1"/>
  <c r="EP169" i="1" s="1"/>
  <c r="EP188" i="1" s="1"/>
  <c r="EP189" i="1" s="1"/>
  <c r="CW98" i="1"/>
  <c r="CW99" i="1" s="1"/>
  <c r="CX113" i="1"/>
  <c r="EN76" i="1"/>
  <c r="EO73" i="1" s="1"/>
  <c r="EO68" i="1"/>
  <c r="CX118" i="1" l="1"/>
  <c r="CX95" i="1" s="1"/>
  <c r="CX115" i="1"/>
  <c r="CX117" i="1"/>
  <c r="CX94" i="1" s="1"/>
  <c r="EO92" i="1"/>
  <c r="EO85" i="1"/>
  <c r="CW129" i="1"/>
  <c r="EO69" i="1"/>
  <c r="EO91" i="1"/>
  <c r="EO84" i="1"/>
  <c r="EO196" i="1"/>
  <c r="EO198" i="1" s="1"/>
  <c r="EM114" i="1" l="1"/>
  <c r="EO93" i="1"/>
  <c r="CX119" i="1"/>
  <c r="CX121" i="1" s="1"/>
  <c r="CX96" i="1" s="1"/>
  <c r="CX97" i="1" s="1"/>
  <c r="EP171" i="1"/>
  <c r="EP194" i="1"/>
  <c r="CW100" i="1"/>
  <c r="CW101" i="1" s="1"/>
  <c r="CW138" i="1" s="1"/>
  <c r="CW130" i="1"/>
  <c r="CX125" i="1" s="1"/>
  <c r="EO70" i="1"/>
  <c r="EO71" i="1" s="1"/>
  <c r="EO74" i="1"/>
  <c r="CX122" i="1" l="1"/>
  <c r="EP68" i="1"/>
  <c r="EP195" i="1"/>
  <c r="EP172" i="1"/>
  <c r="EQ169" i="1" s="1"/>
  <c r="EQ188" i="1" s="1"/>
  <c r="EQ189" i="1" s="1"/>
  <c r="EO75" i="1"/>
  <c r="EO80" i="1" s="1"/>
  <c r="EO83" i="1" s="1"/>
  <c r="EO86" i="1" s="1"/>
  <c r="EO76" i="1" l="1"/>
  <c r="EP73" i="1" s="1"/>
  <c r="EP92" i="1"/>
  <c r="EP85" i="1"/>
  <c r="EP84" i="1"/>
  <c r="EP69" i="1"/>
  <c r="EP91" i="1"/>
  <c r="EP196" i="1"/>
  <c r="EP198" i="1" s="1"/>
  <c r="CW102" i="1"/>
  <c r="CW103" i="1" s="1"/>
  <c r="CW139" i="1"/>
  <c r="CX133" i="1" s="1"/>
  <c r="CX98" i="1"/>
  <c r="CX99" i="1" s="1"/>
  <c r="CY113" i="1"/>
  <c r="EN114" i="1" l="1"/>
  <c r="EP93" i="1"/>
  <c r="CW145" i="1"/>
  <c r="CW108" i="1"/>
  <c r="CW210" i="1" s="1"/>
  <c r="EQ194" i="1"/>
  <c r="EQ171" i="1"/>
  <c r="CY118" i="1"/>
  <c r="CY95" i="1" s="1"/>
  <c r="CY117" i="1"/>
  <c r="CY94" i="1" s="1"/>
  <c r="CY115" i="1"/>
  <c r="EP70" i="1"/>
  <c r="EP71" i="1" s="1"/>
  <c r="EP74" i="1"/>
  <c r="CX137" i="1"/>
  <c r="CX129" i="1"/>
  <c r="CY119" i="1" l="1"/>
  <c r="EQ195" i="1"/>
  <c r="EQ196" i="1" s="1"/>
  <c r="EQ198" i="1" s="1"/>
  <c r="EQ172" i="1"/>
  <c r="ER169" i="1" s="1"/>
  <c r="ER188" i="1" s="1"/>
  <c r="ER189" i="1" s="1"/>
  <c r="EP75" i="1"/>
  <c r="EP80" i="1" s="1"/>
  <c r="EP83" i="1" s="1"/>
  <c r="EP86" i="1" s="1"/>
  <c r="EQ68" i="1"/>
  <c r="CX100" i="1"/>
  <c r="CX101" i="1" s="1"/>
  <c r="CX138" i="1" s="1"/>
  <c r="CX130" i="1"/>
  <c r="CY125" i="1" s="1"/>
  <c r="EQ69" i="1" l="1"/>
  <c r="EQ84" i="1"/>
  <c r="EQ91" i="1"/>
  <c r="EQ92" i="1"/>
  <c r="EQ85" i="1"/>
  <c r="EP76" i="1"/>
  <c r="EQ73" i="1" s="1"/>
  <c r="CY121" i="1"/>
  <c r="CY96" i="1" s="1"/>
  <c r="CY97" i="1" s="1"/>
  <c r="EO114" i="1" l="1"/>
  <c r="CY122" i="1"/>
  <c r="CY98" i="1" s="1"/>
  <c r="CY99" i="1" s="1"/>
  <c r="EQ74" i="1"/>
  <c r="EQ75" i="1" s="1"/>
  <c r="EQ76" i="1" s="1"/>
  <c r="ER73" i="1" s="1"/>
  <c r="EQ70" i="1"/>
  <c r="EQ71" i="1" s="1"/>
  <c r="CX102" i="1"/>
  <c r="CX103" i="1" s="1"/>
  <c r="CX139" i="1"/>
  <c r="CY133" i="1" s="1"/>
  <c r="ER171" i="1"/>
  <c r="ER194" i="1"/>
  <c r="EQ93" i="1"/>
  <c r="CZ113" i="1" l="1"/>
  <c r="CZ118" i="1" s="1"/>
  <c r="CZ95" i="1" s="1"/>
  <c r="CY129" i="1"/>
  <c r="CX108" i="1"/>
  <c r="CX210" i="1" s="1"/>
  <c r="CX145" i="1"/>
  <c r="EQ80" i="1"/>
  <c r="EQ83" i="1" s="1"/>
  <c r="EQ86" i="1" s="1"/>
  <c r="ER68" i="1"/>
  <c r="CY137" i="1"/>
  <c r="ER195" i="1"/>
  <c r="ER196" i="1" s="1"/>
  <c r="ER198" i="1" s="1"/>
  <c r="ER172" i="1"/>
  <c r="ES169" i="1" s="1"/>
  <c r="ES188" i="1" s="1"/>
  <c r="ES189" i="1" s="1"/>
  <c r="CZ115" i="1" l="1"/>
  <c r="CZ117" i="1"/>
  <c r="CZ94" i="1" s="1"/>
  <c r="CY100" i="1"/>
  <c r="CY101" i="1" s="1"/>
  <c r="CY138" i="1" s="1"/>
  <c r="CY130" i="1"/>
  <c r="CZ125" i="1" s="1"/>
  <c r="ER91" i="1"/>
  <c r="ER69" i="1"/>
  <c r="ER84" i="1"/>
  <c r="ER85" i="1"/>
  <c r="ER92" i="1"/>
  <c r="EP114" i="1" l="1"/>
  <c r="CZ119" i="1"/>
  <c r="CZ121" i="1" s="1"/>
  <c r="CZ96" i="1" s="1"/>
  <c r="CZ97" i="1" s="1"/>
  <c r="ER93" i="1"/>
  <c r="ES171" i="1"/>
  <c r="ES194" i="1"/>
  <c r="ER70" i="1"/>
  <c r="ER71" i="1" s="1"/>
  <c r="ER74" i="1"/>
  <c r="CY102" i="1" l="1"/>
  <c r="CY103" i="1" s="1"/>
  <c r="CY139" i="1"/>
  <c r="CZ133" i="1" s="1"/>
  <c r="ES68" i="1"/>
  <c r="CZ122" i="1"/>
  <c r="ER75" i="1"/>
  <c r="ER80" i="1" s="1"/>
  <c r="ER83" i="1" s="1"/>
  <c r="ER86" i="1" s="1"/>
  <c r="ES195" i="1"/>
  <c r="ES196" i="1" s="1"/>
  <c r="ES198" i="1" s="1"/>
  <c r="ES172" i="1"/>
  <c r="ET169" i="1" s="1"/>
  <c r="ET188" i="1" s="1"/>
  <c r="ET189" i="1" s="1"/>
  <c r="ES69" i="1" l="1"/>
  <c r="ES84" i="1"/>
  <c r="ES91" i="1"/>
  <c r="ES92" i="1"/>
  <c r="ES85" i="1"/>
  <c r="CZ137" i="1"/>
  <c r="CZ98" i="1"/>
  <c r="CZ99" i="1" s="1"/>
  <c r="DA113" i="1"/>
  <c r="ER76" i="1"/>
  <c r="ES73" i="1" s="1"/>
  <c r="CY108" i="1"/>
  <c r="CY210" i="1" s="1"/>
  <c r="CY145" i="1"/>
  <c r="EQ114" i="1" l="1"/>
  <c r="ET171" i="1"/>
  <c r="ET194" i="1"/>
  <c r="CZ129" i="1"/>
  <c r="ES93" i="1"/>
  <c r="DA118" i="1"/>
  <c r="DA95" i="1" s="1"/>
  <c r="DA117" i="1"/>
  <c r="DA94" i="1" s="1"/>
  <c r="DA115" i="1"/>
  <c r="ES74" i="1"/>
  <c r="ES70" i="1"/>
  <c r="ES71" i="1" s="1"/>
  <c r="DA119" i="1" l="1"/>
  <c r="ES75" i="1"/>
  <c r="ES80" i="1" s="1"/>
  <c r="ES83" i="1" s="1"/>
  <c r="ES86" i="1" s="1"/>
  <c r="CZ100" i="1"/>
  <c r="CZ101" i="1" s="1"/>
  <c r="CZ138" i="1" s="1"/>
  <c r="CZ130" i="1"/>
  <c r="DA125" i="1" s="1"/>
  <c r="ET68" i="1"/>
  <c r="ET195" i="1"/>
  <c r="ET172" i="1"/>
  <c r="EU169" i="1" s="1"/>
  <c r="EU188" i="1" s="1"/>
  <c r="EU189" i="1" s="1"/>
  <c r="ET85" i="1" l="1"/>
  <c r="ET92" i="1"/>
  <c r="DA121" i="1"/>
  <c r="DA96" i="1" s="1"/>
  <c r="DA97" i="1" s="1"/>
  <c r="ET196" i="1"/>
  <c r="ET198" i="1" s="1"/>
  <c r="ET91" i="1"/>
  <c r="ET84" i="1"/>
  <c r="ET69" i="1"/>
  <c r="ES76" i="1"/>
  <c r="ET73" i="1" s="1"/>
  <c r="ER114" i="1" l="1"/>
  <c r="DA122" i="1"/>
  <c r="DB113" i="1" s="1"/>
  <c r="ET93" i="1"/>
  <c r="EU171" i="1"/>
  <c r="EU194" i="1"/>
  <c r="CZ102" i="1"/>
  <c r="CZ103" i="1" s="1"/>
  <c r="CZ139" i="1"/>
  <c r="DA133" i="1" s="1"/>
  <c r="ET70" i="1"/>
  <c r="ET71" i="1" s="1"/>
  <c r="ET74" i="1"/>
  <c r="ET75" i="1" s="1"/>
  <c r="ET80" i="1" s="1"/>
  <c r="ET83" i="1" s="1"/>
  <c r="ET86" i="1" s="1"/>
  <c r="DA98" i="1" l="1"/>
  <c r="DA99" i="1" s="1"/>
  <c r="DA129" i="1" s="1"/>
  <c r="DA137" i="1"/>
  <c r="ET76" i="1"/>
  <c r="EU73" i="1" s="1"/>
  <c r="CZ108" i="1"/>
  <c r="CZ210" i="1" s="1"/>
  <c r="CZ145" i="1"/>
  <c r="EU68" i="1"/>
  <c r="DB118" i="1"/>
  <c r="DB95" i="1" s="1"/>
  <c r="DB117" i="1"/>
  <c r="DB94" i="1" s="1"/>
  <c r="DB115" i="1"/>
  <c r="EU195" i="1"/>
  <c r="EU196" i="1" s="1"/>
  <c r="EU198" i="1" s="1"/>
  <c r="EU172" i="1"/>
  <c r="EV169" i="1" s="1"/>
  <c r="EV188" i="1" s="1"/>
  <c r="EV189" i="1" s="1"/>
  <c r="DB119" i="1" l="1"/>
  <c r="EU69" i="1"/>
  <c r="EU91" i="1"/>
  <c r="EU84" i="1"/>
  <c r="DA100" i="1"/>
  <c r="DA101" i="1" s="1"/>
  <c r="DA138" i="1" s="1"/>
  <c r="DA130" i="1"/>
  <c r="DB125" i="1" s="1"/>
  <c r="EU85" i="1"/>
  <c r="EU92" i="1"/>
  <c r="ES114" i="1" l="1"/>
  <c r="EU93" i="1"/>
  <c r="EU74" i="1"/>
  <c r="EU70" i="1"/>
  <c r="EU71" i="1" s="1"/>
  <c r="DB121" i="1"/>
  <c r="DB96" i="1" s="1"/>
  <c r="DB97" i="1" s="1"/>
  <c r="EV171" i="1"/>
  <c r="EV194" i="1"/>
  <c r="EV68" i="1" l="1"/>
  <c r="EV195" i="1"/>
  <c r="EV172" i="1"/>
  <c r="EW169" i="1" s="1"/>
  <c r="EW188" i="1" s="1"/>
  <c r="EW189" i="1" s="1"/>
  <c r="EU75" i="1"/>
  <c r="EU80" i="1" s="1"/>
  <c r="EU83" i="1" s="1"/>
  <c r="EU86" i="1" s="1"/>
  <c r="DB122" i="1"/>
  <c r="DA102" i="1"/>
  <c r="DA103" i="1" s="1"/>
  <c r="DA139" i="1"/>
  <c r="DB133" i="1" s="1"/>
  <c r="EU76" i="1" l="1"/>
  <c r="EV73" i="1" s="1"/>
  <c r="DB98" i="1"/>
  <c r="DB99" i="1" s="1"/>
  <c r="DC113" i="1"/>
  <c r="DA108" i="1"/>
  <c r="DA210" i="1" s="1"/>
  <c r="DA145" i="1"/>
  <c r="EV85" i="1"/>
  <c r="EV92" i="1"/>
  <c r="DB137" i="1"/>
  <c r="EV69" i="1"/>
  <c r="EV84" i="1"/>
  <c r="EV91" i="1"/>
  <c r="EV196" i="1"/>
  <c r="EV198" i="1" s="1"/>
  <c r="ET114" i="1" l="1"/>
  <c r="EV93" i="1"/>
  <c r="EW171" i="1"/>
  <c r="EW194" i="1"/>
  <c r="EV74" i="1"/>
  <c r="EV70" i="1"/>
  <c r="EV71" i="1" s="1"/>
  <c r="DC118" i="1"/>
  <c r="DC95" i="1" s="1"/>
  <c r="DC117" i="1"/>
  <c r="DC94" i="1" s="1"/>
  <c r="DC115" i="1"/>
  <c r="DB129" i="1"/>
  <c r="DC119" i="1" l="1"/>
  <c r="DB100" i="1"/>
  <c r="DB101" i="1" s="1"/>
  <c r="DB138" i="1" s="1"/>
  <c r="DB130" i="1"/>
  <c r="DC125" i="1" s="1"/>
  <c r="EW68" i="1"/>
  <c r="EV75" i="1"/>
  <c r="EV80" i="1" s="1"/>
  <c r="EV83" i="1" s="1"/>
  <c r="EV86" i="1" s="1"/>
  <c r="EW195" i="1"/>
  <c r="EW196" i="1" s="1"/>
  <c r="EW198" i="1" s="1"/>
  <c r="EW172" i="1"/>
  <c r="EX169" i="1" s="1"/>
  <c r="EX188" i="1" s="1"/>
  <c r="EX189" i="1" s="1"/>
  <c r="EW92" i="1" l="1"/>
  <c r="EW85" i="1"/>
  <c r="DC121" i="1"/>
  <c r="DC96" i="1" s="1"/>
  <c r="DC97" i="1" s="1"/>
  <c r="EW69" i="1"/>
  <c r="EW91" i="1"/>
  <c r="EW84" i="1"/>
  <c r="EV76" i="1"/>
  <c r="EW73" i="1" s="1"/>
  <c r="EU114" i="1" l="1"/>
  <c r="EW93" i="1"/>
  <c r="EX171" i="1"/>
  <c r="EX194" i="1"/>
  <c r="DB102" i="1"/>
  <c r="DB103" i="1" s="1"/>
  <c r="DB139" i="1"/>
  <c r="DC133" i="1" s="1"/>
  <c r="EW70" i="1"/>
  <c r="EW71" i="1" s="1"/>
  <c r="EW74" i="1"/>
  <c r="EW75" i="1" s="1"/>
  <c r="EW80" i="1" s="1"/>
  <c r="EW83" i="1" s="1"/>
  <c r="EW86" i="1" s="1"/>
  <c r="DC122" i="1"/>
  <c r="EX195" i="1" l="1"/>
  <c r="EX196" i="1" s="1"/>
  <c r="EX198" i="1" s="1"/>
  <c r="EX172" i="1"/>
  <c r="EY169" i="1" s="1"/>
  <c r="EY188" i="1" s="1"/>
  <c r="EY189" i="1" s="1"/>
  <c r="DC98" i="1"/>
  <c r="DC99" i="1" s="1"/>
  <c r="DD113" i="1"/>
  <c r="EX68" i="1"/>
  <c r="DC137" i="1"/>
  <c r="EW76" i="1"/>
  <c r="EX73" i="1" s="1"/>
  <c r="DB145" i="1"/>
  <c r="DB108" i="1"/>
  <c r="DB210" i="1" s="1"/>
  <c r="DC129" i="1" l="1"/>
  <c r="EX69" i="1"/>
  <c r="EX84" i="1"/>
  <c r="EX91" i="1"/>
  <c r="DD118" i="1"/>
  <c r="DD95" i="1" s="1"/>
  <c r="DD115" i="1"/>
  <c r="DD117" i="1"/>
  <c r="DD94" i="1" s="1"/>
  <c r="EX92" i="1"/>
  <c r="EX85" i="1"/>
  <c r="EV114" i="1" l="1"/>
  <c r="EX93" i="1"/>
  <c r="EX70" i="1"/>
  <c r="EX71" i="1" s="1"/>
  <c r="EX74" i="1"/>
  <c r="DC100" i="1"/>
  <c r="DC101" i="1" s="1"/>
  <c r="DC138" i="1" s="1"/>
  <c r="DC130" i="1"/>
  <c r="DD125" i="1" s="1"/>
  <c r="EY171" i="1"/>
  <c r="EY194" i="1"/>
  <c r="DD119" i="1"/>
  <c r="EX75" i="1" l="1"/>
  <c r="EX80" i="1" s="1"/>
  <c r="EX83" i="1" s="1"/>
  <c r="EX86" i="1" s="1"/>
  <c r="EY68" i="1"/>
  <c r="EY195" i="1"/>
  <c r="EY172" i="1"/>
  <c r="EZ169" i="1" s="1"/>
  <c r="EZ188" i="1" s="1"/>
  <c r="EZ189" i="1" s="1"/>
  <c r="DD121" i="1"/>
  <c r="DD96" i="1" s="1"/>
  <c r="DD97" i="1" s="1"/>
  <c r="DD122" i="1" l="1"/>
  <c r="DD98" i="1" s="1"/>
  <c r="DD99" i="1" s="1"/>
  <c r="EY92" i="1"/>
  <c r="EY85" i="1"/>
  <c r="EY84" i="1"/>
  <c r="EY91" i="1"/>
  <c r="EY69" i="1"/>
  <c r="DC102" i="1"/>
  <c r="DC103" i="1" s="1"/>
  <c r="DC139" i="1"/>
  <c r="DD133" i="1" s="1"/>
  <c r="EY196" i="1"/>
  <c r="EY198" i="1" s="1"/>
  <c r="EX76" i="1"/>
  <c r="EY73" i="1" s="1"/>
  <c r="EY93" i="1" l="1"/>
  <c r="EW114" i="1"/>
  <c r="DE113" i="1"/>
  <c r="DE115" i="1" s="1"/>
  <c r="DD129" i="1"/>
  <c r="EY74" i="1"/>
  <c r="EY75" i="1" s="1"/>
  <c r="EY80" i="1" s="1"/>
  <c r="EY83" i="1" s="1"/>
  <c r="EY86" i="1" s="1"/>
  <c r="EY70" i="1"/>
  <c r="EY71" i="1" s="1"/>
  <c r="DD137" i="1"/>
  <c r="DC145" i="1"/>
  <c r="DC108" i="1"/>
  <c r="DC210" i="1" s="1"/>
  <c r="EZ171" i="1"/>
  <c r="EZ194" i="1"/>
  <c r="DE118" i="1" l="1"/>
  <c r="DE95" i="1" s="1"/>
  <c r="DE117" i="1"/>
  <c r="DE94" i="1" s="1"/>
  <c r="EZ68" i="1"/>
  <c r="EZ195" i="1"/>
  <c r="EZ172" i="1"/>
  <c r="FA169" i="1" s="1"/>
  <c r="FA188" i="1" s="1"/>
  <c r="FA189" i="1" s="1"/>
  <c r="EY76" i="1"/>
  <c r="EZ73" i="1" s="1"/>
  <c r="DD100" i="1"/>
  <c r="DD101" i="1" s="1"/>
  <c r="DD138" i="1" s="1"/>
  <c r="DD130" i="1"/>
  <c r="DE125" i="1" s="1"/>
  <c r="DE119" i="1" l="1"/>
  <c r="DE121" i="1" s="1"/>
  <c r="DE96" i="1" s="1"/>
  <c r="DE97" i="1" s="1"/>
  <c r="EZ92" i="1"/>
  <c r="EZ85" i="1"/>
  <c r="EZ196" i="1"/>
  <c r="EZ198" i="1" s="1"/>
  <c r="EZ91" i="1"/>
  <c r="EZ69" i="1"/>
  <c r="EZ84" i="1"/>
  <c r="EZ93" i="1" l="1"/>
  <c r="EX114" i="1"/>
  <c r="EZ74" i="1"/>
  <c r="EZ70" i="1"/>
  <c r="EZ71" i="1" s="1"/>
  <c r="DE122" i="1"/>
  <c r="DD102" i="1"/>
  <c r="DD103" i="1" s="1"/>
  <c r="DD139" i="1"/>
  <c r="DE133" i="1" s="1"/>
  <c r="FA171" i="1"/>
  <c r="FA194" i="1"/>
  <c r="FA195" i="1" l="1"/>
  <c r="FA196" i="1" s="1"/>
  <c r="FA198" i="1" s="1"/>
  <c r="FA172" i="1"/>
  <c r="EZ75" i="1"/>
  <c r="EZ80" i="1" s="1"/>
  <c r="EZ83" i="1" s="1"/>
  <c r="EZ86" i="1" s="1"/>
  <c r="FA68" i="1"/>
  <c r="DE98" i="1"/>
  <c r="DE99" i="1" s="1"/>
  <c r="DF113" i="1"/>
  <c r="DE137" i="1"/>
  <c r="DD145" i="1"/>
  <c r="DD108" i="1"/>
  <c r="DD210" i="1" s="1"/>
  <c r="EZ76" i="1" l="1"/>
  <c r="FA73" i="1" s="1"/>
  <c r="FA91" i="1"/>
  <c r="FA84" i="1"/>
  <c r="FA69" i="1"/>
  <c r="E68" i="1"/>
  <c r="DF118" i="1"/>
  <c r="DF95" i="1" s="1"/>
  <c r="DF115" i="1"/>
  <c r="DF117" i="1"/>
  <c r="DF94" i="1" s="1"/>
  <c r="DE129" i="1"/>
  <c r="FA85" i="1"/>
  <c r="FA92" i="1"/>
  <c r="EZ114" i="1" l="1"/>
  <c r="EY114" i="1"/>
  <c r="DF119" i="1"/>
  <c r="DE100" i="1"/>
  <c r="DE101" i="1" s="1"/>
  <c r="DE138" i="1" s="1"/>
  <c r="DE130" i="1"/>
  <c r="DF125" i="1" s="1"/>
  <c r="FA70" i="1"/>
  <c r="FA71" i="1" s="1"/>
  <c r="FA74" i="1"/>
  <c r="FA93" i="1"/>
  <c r="FA75" i="1" l="1"/>
  <c r="FA80" i="1" s="1"/>
  <c r="FA83" i="1" s="1"/>
  <c r="FA86" i="1" s="1"/>
  <c r="DF121" i="1"/>
  <c r="DF96" i="1" s="1"/>
  <c r="DF97" i="1" s="1"/>
  <c r="DF122" i="1" l="1"/>
  <c r="DE102" i="1"/>
  <c r="DE103" i="1" s="1"/>
  <c r="DE139" i="1"/>
  <c r="DF133" i="1" s="1"/>
  <c r="FA76" i="1"/>
  <c r="DE108" i="1" l="1"/>
  <c r="DE210" i="1" s="1"/>
  <c r="DE145" i="1"/>
  <c r="DF137" i="1"/>
  <c r="DF98" i="1"/>
  <c r="DF99" i="1" s="1"/>
  <c r="DG113" i="1"/>
  <c r="DF129" i="1" l="1"/>
  <c r="DG118" i="1"/>
  <c r="DG95" i="1" s="1"/>
  <c r="DG115" i="1"/>
  <c r="DG117" i="1"/>
  <c r="DG94" i="1" s="1"/>
  <c r="DF100" i="1" l="1"/>
  <c r="DF101" i="1" s="1"/>
  <c r="DF138" i="1" s="1"/>
  <c r="DF130" i="1"/>
  <c r="DG125" i="1" s="1"/>
  <c r="DG119" i="1"/>
  <c r="DG121" i="1" l="1"/>
  <c r="DG96" i="1" s="1"/>
  <c r="DG97" i="1" s="1"/>
  <c r="DF102" i="1" l="1"/>
  <c r="DF103" i="1" s="1"/>
  <c r="DF139" i="1"/>
  <c r="DG133" i="1" s="1"/>
  <c r="DG122" i="1"/>
  <c r="DG98" i="1" l="1"/>
  <c r="DG99" i="1" s="1"/>
  <c r="DH113" i="1"/>
  <c r="DG137" i="1"/>
  <c r="DF145" i="1"/>
  <c r="DF108" i="1"/>
  <c r="DF210" i="1" s="1"/>
  <c r="DH118" i="1" l="1"/>
  <c r="DH95" i="1" s="1"/>
  <c r="DH117" i="1"/>
  <c r="DH94" i="1" s="1"/>
  <c r="DH115" i="1"/>
  <c r="DG129" i="1"/>
  <c r="DG100" i="1" l="1"/>
  <c r="DG101" i="1" s="1"/>
  <c r="DG138" i="1" s="1"/>
  <c r="DG130" i="1"/>
  <c r="DH125" i="1" s="1"/>
  <c r="DH119" i="1"/>
  <c r="DH121" i="1" l="1"/>
  <c r="DH96" i="1" s="1"/>
  <c r="DH97" i="1" s="1"/>
  <c r="DH122" i="1" l="1"/>
  <c r="DG102" i="1"/>
  <c r="DG103" i="1" s="1"/>
  <c r="DG139" i="1"/>
  <c r="DH133" i="1" s="1"/>
  <c r="DH137" i="1" l="1"/>
  <c r="DG145" i="1"/>
  <c r="DG108" i="1"/>
  <c r="DG210" i="1" s="1"/>
  <c r="DH98" i="1"/>
  <c r="DH99" i="1" s="1"/>
  <c r="DI113" i="1"/>
  <c r="DI118" i="1" l="1"/>
  <c r="DI95" i="1" s="1"/>
  <c r="DI117" i="1"/>
  <c r="DI94" i="1" s="1"/>
  <c r="DI115" i="1"/>
  <c r="DH129" i="1"/>
  <c r="DH100" i="1" l="1"/>
  <c r="DH101" i="1" s="1"/>
  <c r="DH138" i="1" s="1"/>
  <c r="DH130" i="1"/>
  <c r="DI125" i="1" s="1"/>
  <c r="DI119" i="1"/>
  <c r="DI121" i="1" l="1"/>
  <c r="DI96" i="1" s="1"/>
  <c r="DI97" i="1" s="1"/>
  <c r="DI122" i="1" l="1"/>
  <c r="DI98" i="1" s="1"/>
  <c r="DI99" i="1" s="1"/>
  <c r="DH102" i="1"/>
  <c r="DH103" i="1" s="1"/>
  <c r="DH139" i="1"/>
  <c r="DI133" i="1" s="1"/>
  <c r="DJ113" i="1" l="1"/>
  <c r="DJ118" i="1" s="1"/>
  <c r="DJ95" i="1" s="1"/>
  <c r="DI129" i="1"/>
  <c r="DI137" i="1"/>
  <c r="DH108" i="1"/>
  <c r="DH210" i="1" s="1"/>
  <c r="DH145" i="1"/>
  <c r="DJ117" i="1" l="1"/>
  <c r="DJ94" i="1" s="1"/>
  <c r="DJ115" i="1"/>
  <c r="DI100" i="1"/>
  <c r="DI101" i="1" s="1"/>
  <c r="DI138" i="1" s="1"/>
  <c r="DI130" i="1"/>
  <c r="DJ125" i="1" s="1"/>
  <c r="DJ119" i="1" l="1"/>
  <c r="DJ121" i="1" s="1"/>
  <c r="DJ96" i="1" s="1"/>
  <c r="DJ97" i="1" s="1"/>
  <c r="DJ122" i="1" l="1"/>
  <c r="DI102" i="1"/>
  <c r="DI103" i="1" s="1"/>
  <c r="DI139" i="1"/>
  <c r="DJ133" i="1" s="1"/>
  <c r="DI108" i="1" l="1"/>
  <c r="DI210" i="1" s="1"/>
  <c r="DI145" i="1"/>
  <c r="DJ137" i="1"/>
  <c r="DJ98" i="1"/>
  <c r="DJ99" i="1" s="1"/>
  <c r="DK113" i="1"/>
  <c r="DK118" i="1" l="1"/>
  <c r="DK95" i="1" s="1"/>
  <c r="DK117" i="1"/>
  <c r="DK94" i="1" s="1"/>
  <c r="DK115" i="1"/>
  <c r="DJ129" i="1"/>
  <c r="DJ100" i="1" l="1"/>
  <c r="DJ101" i="1" s="1"/>
  <c r="DJ138" i="1" s="1"/>
  <c r="DJ130" i="1"/>
  <c r="DK125" i="1" s="1"/>
  <c r="DK119" i="1"/>
  <c r="DK121" i="1" l="1"/>
  <c r="DK96" i="1" s="1"/>
  <c r="DK97" i="1" s="1"/>
  <c r="DJ102" i="1" l="1"/>
  <c r="DJ103" i="1" s="1"/>
  <c r="DJ139" i="1"/>
  <c r="DK133" i="1" s="1"/>
  <c r="DK122" i="1"/>
  <c r="DK98" i="1" l="1"/>
  <c r="DK99" i="1" s="1"/>
  <c r="DL113" i="1"/>
  <c r="DK137" i="1"/>
  <c r="DJ145" i="1"/>
  <c r="DJ108" i="1"/>
  <c r="DJ210" i="1" s="1"/>
  <c r="DL118" i="1" l="1"/>
  <c r="DL95" i="1" s="1"/>
  <c r="DL117" i="1"/>
  <c r="DL94" i="1" s="1"/>
  <c r="DL115" i="1"/>
  <c r="DK129" i="1"/>
  <c r="DL119" i="1" l="1"/>
  <c r="DL121" i="1" s="1"/>
  <c r="DL96" i="1" s="1"/>
  <c r="DL97" i="1" s="1"/>
  <c r="DK100" i="1"/>
  <c r="DK101" i="1" s="1"/>
  <c r="DK138" i="1" s="1"/>
  <c r="DK130" i="1"/>
  <c r="DL125" i="1" s="1"/>
  <c r="DL122" i="1" l="1"/>
  <c r="DK102" i="1" l="1"/>
  <c r="DK103" i="1" s="1"/>
  <c r="DK139" i="1"/>
  <c r="DL133" i="1" s="1"/>
  <c r="DL98" i="1"/>
  <c r="DL99" i="1" s="1"/>
  <c r="DM113" i="1"/>
  <c r="DM118" i="1" l="1"/>
  <c r="DM95" i="1" s="1"/>
  <c r="DM117" i="1"/>
  <c r="DM94" i="1" s="1"/>
  <c r="DM115" i="1"/>
  <c r="DL129" i="1"/>
  <c r="DL137" i="1"/>
  <c r="DK108" i="1"/>
  <c r="DK210" i="1" s="1"/>
  <c r="DK145" i="1"/>
  <c r="DL100" i="1" l="1"/>
  <c r="DL101" i="1" s="1"/>
  <c r="DL138" i="1" s="1"/>
  <c r="DL130" i="1"/>
  <c r="DM125" i="1" s="1"/>
  <c r="DM119" i="1"/>
  <c r="DM121" i="1" l="1"/>
  <c r="DM96" i="1" s="1"/>
  <c r="DM97" i="1" s="1"/>
  <c r="DM122" i="1" l="1"/>
  <c r="DL102" i="1"/>
  <c r="DL103" i="1" s="1"/>
  <c r="DL139" i="1"/>
  <c r="DM133" i="1" s="1"/>
  <c r="DM137" i="1" l="1"/>
  <c r="DL108" i="1"/>
  <c r="DL210" i="1" s="1"/>
  <c r="DL145" i="1"/>
  <c r="DM98" i="1"/>
  <c r="DM99" i="1" s="1"/>
  <c r="DN113" i="1"/>
  <c r="DM129" i="1" l="1"/>
  <c r="DN118" i="1"/>
  <c r="DN95" i="1" s="1"/>
  <c r="DN117" i="1"/>
  <c r="DN94" i="1" s="1"/>
  <c r="DN115" i="1"/>
  <c r="DM100" i="1" l="1"/>
  <c r="DM101" i="1" s="1"/>
  <c r="DM138" i="1" s="1"/>
  <c r="DM130" i="1"/>
  <c r="DN125" i="1" s="1"/>
  <c r="DN119" i="1"/>
  <c r="DN121" i="1" l="1"/>
  <c r="DN96" i="1" s="1"/>
  <c r="DN97" i="1" s="1"/>
  <c r="DM102" i="1" l="1"/>
  <c r="DM103" i="1" s="1"/>
  <c r="DM139" i="1"/>
  <c r="DN133" i="1" s="1"/>
  <c r="DN122" i="1"/>
  <c r="DN137" i="1" l="1"/>
  <c r="DM108" i="1"/>
  <c r="DM210" i="1" s="1"/>
  <c r="DM145" i="1"/>
  <c r="DN98" i="1"/>
  <c r="DN99" i="1" s="1"/>
  <c r="DO113" i="1"/>
  <c r="DN129" i="1" l="1"/>
  <c r="DO118" i="1"/>
  <c r="DO95" i="1" s="1"/>
  <c r="DO115" i="1"/>
  <c r="DO117" i="1"/>
  <c r="DO94" i="1" s="1"/>
  <c r="DO119" i="1" l="1"/>
  <c r="DN100" i="1"/>
  <c r="DN101" i="1" s="1"/>
  <c r="DN138" i="1" s="1"/>
  <c r="DN130" i="1"/>
  <c r="DO125" i="1" s="1"/>
  <c r="DO121" i="1" l="1"/>
  <c r="DO96" i="1" s="1"/>
  <c r="DO97" i="1" s="1"/>
  <c r="DO122" i="1" l="1"/>
  <c r="DN102" i="1"/>
  <c r="DN103" i="1" s="1"/>
  <c r="DN139" i="1"/>
  <c r="DO133" i="1" s="1"/>
  <c r="DN145" i="1" l="1"/>
  <c r="DN108" i="1"/>
  <c r="DN210" i="1" s="1"/>
  <c r="DO137" i="1"/>
  <c r="DO98" i="1"/>
  <c r="DO99" i="1" s="1"/>
  <c r="DP113" i="1"/>
  <c r="DO129" i="1" l="1"/>
  <c r="DP118" i="1"/>
  <c r="DP95" i="1" s="1"/>
  <c r="DP115" i="1"/>
  <c r="DP117" i="1"/>
  <c r="DP94" i="1" s="1"/>
  <c r="DO100" i="1" l="1"/>
  <c r="DO101" i="1" s="1"/>
  <c r="DO138" i="1" s="1"/>
  <c r="DO130" i="1"/>
  <c r="DP125" i="1" s="1"/>
  <c r="DP119" i="1"/>
  <c r="DP121" i="1" l="1"/>
  <c r="DP96" i="1" s="1"/>
  <c r="DP97" i="1" s="1"/>
  <c r="DO102" i="1" l="1"/>
  <c r="DO103" i="1" s="1"/>
  <c r="DO139" i="1"/>
  <c r="DP133" i="1" s="1"/>
  <c r="DP122" i="1"/>
  <c r="DP98" i="1" l="1"/>
  <c r="DP99" i="1" s="1"/>
  <c r="DQ113" i="1"/>
  <c r="DP137" i="1"/>
  <c r="DO145" i="1"/>
  <c r="DO108" i="1"/>
  <c r="DO210" i="1" s="1"/>
  <c r="DQ118" i="1" l="1"/>
  <c r="DQ95" i="1" s="1"/>
  <c r="DQ117" i="1"/>
  <c r="DQ94" i="1" s="1"/>
  <c r="DQ115" i="1"/>
  <c r="DP129" i="1"/>
  <c r="DP100" i="1" l="1"/>
  <c r="DP101" i="1" s="1"/>
  <c r="DP138" i="1" s="1"/>
  <c r="DP130" i="1"/>
  <c r="DQ125" i="1" s="1"/>
  <c r="DQ119" i="1"/>
  <c r="DQ121" i="1" l="1"/>
  <c r="DQ96" i="1" s="1"/>
  <c r="DQ97" i="1" s="1"/>
  <c r="DP102" i="1" l="1"/>
  <c r="DP103" i="1" s="1"/>
  <c r="DP139" i="1"/>
  <c r="DQ133" i="1" s="1"/>
  <c r="DQ122" i="1"/>
  <c r="DQ98" i="1" l="1"/>
  <c r="DQ99" i="1" s="1"/>
  <c r="DR113" i="1"/>
  <c r="DQ137" i="1"/>
  <c r="DP108" i="1"/>
  <c r="DP210" i="1" s="1"/>
  <c r="DP145" i="1"/>
  <c r="DR118" i="1" l="1"/>
  <c r="DR95" i="1" s="1"/>
  <c r="DR117" i="1"/>
  <c r="DR94" i="1" s="1"/>
  <c r="DR115" i="1"/>
  <c r="DQ129" i="1"/>
  <c r="DQ100" i="1" l="1"/>
  <c r="DQ101" i="1" s="1"/>
  <c r="DQ138" i="1" s="1"/>
  <c r="DQ130" i="1"/>
  <c r="DR125" i="1" s="1"/>
  <c r="DR119" i="1"/>
  <c r="DR121" i="1" l="1"/>
  <c r="DR96" i="1" s="1"/>
  <c r="DR97" i="1" s="1"/>
  <c r="DQ102" i="1" l="1"/>
  <c r="DQ103" i="1" s="1"/>
  <c r="DQ139" i="1"/>
  <c r="DR133" i="1" s="1"/>
  <c r="DR122" i="1"/>
  <c r="DR137" i="1" l="1"/>
  <c r="DR98" i="1"/>
  <c r="DR99" i="1" s="1"/>
  <c r="DS113" i="1"/>
  <c r="DQ145" i="1"/>
  <c r="DQ108" i="1"/>
  <c r="DQ210" i="1" s="1"/>
  <c r="DR129" i="1" l="1"/>
  <c r="DS118" i="1"/>
  <c r="DS95" i="1" s="1"/>
  <c r="DS117" i="1"/>
  <c r="DS94" i="1" s="1"/>
  <c r="DS115" i="1"/>
  <c r="DS119" i="1" l="1"/>
  <c r="DR100" i="1"/>
  <c r="DR101" i="1" s="1"/>
  <c r="DR138" i="1" s="1"/>
  <c r="DR130" i="1"/>
  <c r="DS125" i="1" s="1"/>
  <c r="DS121" i="1" l="1"/>
  <c r="DS96" i="1" s="1"/>
  <c r="DS97" i="1" s="1"/>
  <c r="DS122" i="1" l="1"/>
  <c r="DR102" i="1"/>
  <c r="DR103" i="1" s="1"/>
  <c r="DR139" i="1"/>
  <c r="DS133" i="1" s="1"/>
  <c r="DS137" i="1" l="1"/>
  <c r="DR145" i="1"/>
  <c r="DR108" i="1"/>
  <c r="DR210" i="1" s="1"/>
  <c r="DS98" i="1"/>
  <c r="DS99" i="1" s="1"/>
  <c r="DT113" i="1"/>
  <c r="DT118" i="1" l="1"/>
  <c r="DT95" i="1" s="1"/>
  <c r="DT115" i="1"/>
  <c r="DT117" i="1"/>
  <c r="DT94" i="1" s="1"/>
  <c r="DS129" i="1"/>
  <c r="DS100" i="1" l="1"/>
  <c r="DS101" i="1" s="1"/>
  <c r="DS138" i="1" s="1"/>
  <c r="DS130" i="1"/>
  <c r="DT125" i="1" s="1"/>
  <c r="DT119" i="1"/>
  <c r="DT121" i="1" l="1"/>
  <c r="DT96" i="1" s="1"/>
  <c r="DT97" i="1" s="1"/>
  <c r="DT122" i="1" l="1"/>
  <c r="DT98" i="1" s="1"/>
  <c r="DT99" i="1" s="1"/>
  <c r="DS102" i="1"/>
  <c r="DS103" i="1" s="1"/>
  <c r="DS139" i="1"/>
  <c r="DT133" i="1" s="1"/>
  <c r="DU113" i="1" l="1"/>
  <c r="DU118" i="1" s="1"/>
  <c r="DU95" i="1" s="1"/>
  <c r="DT129" i="1"/>
  <c r="DT137" i="1"/>
  <c r="DS108" i="1"/>
  <c r="DS210" i="1" s="1"/>
  <c r="DS145" i="1"/>
  <c r="DU117" i="1" l="1"/>
  <c r="DU94" i="1" s="1"/>
  <c r="DU115" i="1"/>
  <c r="DT100" i="1"/>
  <c r="DT101" i="1" s="1"/>
  <c r="DT138" i="1" s="1"/>
  <c r="DT130" i="1"/>
  <c r="DU125" i="1" s="1"/>
  <c r="DU119" i="1" l="1"/>
  <c r="DU121" i="1" s="1"/>
  <c r="DU96" i="1" s="1"/>
  <c r="DU97" i="1" s="1"/>
  <c r="DU122" i="1" l="1"/>
  <c r="DU98" i="1" s="1"/>
  <c r="DU99" i="1" s="1"/>
  <c r="DT102" i="1"/>
  <c r="DT103" i="1" s="1"/>
  <c r="DT139" i="1"/>
  <c r="DU133" i="1" s="1"/>
  <c r="DV113" i="1" l="1"/>
  <c r="DV117" i="1" s="1"/>
  <c r="DV94" i="1" s="1"/>
  <c r="DU137" i="1"/>
  <c r="DT145" i="1"/>
  <c r="DT108" i="1"/>
  <c r="DT210" i="1" s="1"/>
  <c r="DU129" i="1"/>
  <c r="DV115" i="1" l="1"/>
  <c r="DV118" i="1"/>
  <c r="DV95" i="1" s="1"/>
  <c r="DU100" i="1"/>
  <c r="DU101" i="1" s="1"/>
  <c r="DU138" i="1" s="1"/>
  <c r="DU130" i="1"/>
  <c r="DV125" i="1" s="1"/>
  <c r="DV119" i="1" l="1"/>
  <c r="DV121" i="1" s="1"/>
  <c r="DV96" i="1" s="1"/>
  <c r="DV97" i="1" s="1"/>
  <c r="DV122" i="1" l="1"/>
  <c r="DV98" i="1" s="1"/>
  <c r="DV99" i="1" s="1"/>
  <c r="DU102" i="1"/>
  <c r="DU103" i="1" s="1"/>
  <c r="DU139" i="1"/>
  <c r="DV133" i="1" s="1"/>
  <c r="DW113" i="1" l="1"/>
  <c r="DW115" i="1" s="1"/>
  <c r="DV137" i="1"/>
  <c r="DU145" i="1"/>
  <c r="DU108" i="1"/>
  <c r="DU210" i="1" s="1"/>
  <c r="DV129" i="1"/>
  <c r="DW118" i="1" l="1"/>
  <c r="DW95" i="1" s="1"/>
  <c r="DW117" i="1"/>
  <c r="DW94" i="1" s="1"/>
  <c r="DV100" i="1"/>
  <c r="DV101" i="1" s="1"/>
  <c r="DV138" i="1" s="1"/>
  <c r="DV130" i="1"/>
  <c r="DW125" i="1" s="1"/>
  <c r="DW119" i="1" l="1"/>
  <c r="DW121" i="1" s="1"/>
  <c r="DW96" i="1" s="1"/>
  <c r="DW97" i="1" s="1"/>
  <c r="DV102" i="1" l="1"/>
  <c r="DV103" i="1" s="1"/>
  <c r="DV139" i="1"/>
  <c r="DW133" i="1" s="1"/>
  <c r="DW122" i="1"/>
  <c r="DW98" i="1" l="1"/>
  <c r="DW99" i="1" s="1"/>
  <c r="DX113" i="1"/>
  <c r="DV108" i="1"/>
  <c r="DV210" i="1" s="1"/>
  <c r="DV145" i="1"/>
  <c r="DW137" i="1"/>
  <c r="DX118" i="1" l="1"/>
  <c r="DX95" i="1" s="1"/>
  <c r="DX117" i="1"/>
  <c r="DX94" i="1" s="1"/>
  <c r="DX115" i="1"/>
  <c r="DW129" i="1"/>
  <c r="DW100" i="1" l="1"/>
  <c r="DW101" i="1" s="1"/>
  <c r="DW138" i="1" s="1"/>
  <c r="DW130" i="1"/>
  <c r="DX125" i="1" s="1"/>
  <c r="DX119" i="1"/>
  <c r="DX121" i="1" l="1"/>
  <c r="DX96" i="1" s="1"/>
  <c r="DX97" i="1" s="1"/>
  <c r="DX122" i="1" l="1"/>
  <c r="DX98" i="1" s="1"/>
  <c r="DX99" i="1" s="1"/>
  <c r="DW102" i="1"/>
  <c r="DW103" i="1" s="1"/>
  <c r="DW139" i="1"/>
  <c r="DX133" i="1" s="1"/>
  <c r="DY113" i="1" l="1"/>
  <c r="DY118" i="1" s="1"/>
  <c r="DY95" i="1" s="1"/>
  <c r="DX129" i="1"/>
  <c r="DX137" i="1"/>
  <c r="DW145" i="1"/>
  <c r="DW108" i="1"/>
  <c r="DW210" i="1" s="1"/>
  <c r="DY117" i="1" l="1"/>
  <c r="DY94" i="1" s="1"/>
  <c r="DY115" i="1"/>
  <c r="DX100" i="1"/>
  <c r="DX101" i="1" s="1"/>
  <c r="DX138" i="1" s="1"/>
  <c r="DX130" i="1"/>
  <c r="DY125" i="1" s="1"/>
  <c r="DY119" i="1" l="1"/>
  <c r="DY121" i="1" s="1"/>
  <c r="DY96" i="1" s="1"/>
  <c r="DY97" i="1" s="1"/>
  <c r="DY122" i="1" l="1"/>
  <c r="DY98" i="1" s="1"/>
  <c r="DY99" i="1" s="1"/>
  <c r="DX102" i="1"/>
  <c r="DX103" i="1" s="1"/>
  <c r="DX139" i="1"/>
  <c r="DY133" i="1" s="1"/>
  <c r="DZ113" i="1" l="1"/>
  <c r="DZ118" i="1" s="1"/>
  <c r="DZ95" i="1" s="1"/>
  <c r="DY137" i="1"/>
  <c r="DX145" i="1"/>
  <c r="DX108" i="1"/>
  <c r="DX210" i="1" s="1"/>
  <c r="DY129" i="1"/>
  <c r="DZ117" i="1" l="1"/>
  <c r="DZ94" i="1" s="1"/>
  <c r="DZ115" i="1"/>
  <c r="DY100" i="1"/>
  <c r="DY101" i="1" s="1"/>
  <c r="DY138" i="1" s="1"/>
  <c r="DY130" i="1"/>
  <c r="DZ125" i="1" s="1"/>
  <c r="DZ119" i="1" l="1"/>
  <c r="DZ121" i="1" s="1"/>
  <c r="DZ96" i="1" s="1"/>
  <c r="DZ97" i="1" s="1"/>
  <c r="DY102" i="1" l="1"/>
  <c r="DY103" i="1" s="1"/>
  <c r="DY139" i="1"/>
  <c r="DZ133" i="1" s="1"/>
  <c r="DZ122" i="1"/>
  <c r="DZ98" i="1" l="1"/>
  <c r="DZ99" i="1" s="1"/>
  <c r="EA113" i="1"/>
  <c r="DZ137" i="1"/>
  <c r="DY145" i="1"/>
  <c r="DY108" i="1"/>
  <c r="DY210" i="1" s="1"/>
  <c r="EA118" i="1" l="1"/>
  <c r="EA95" i="1" s="1"/>
  <c r="EA115" i="1"/>
  <c r="EA117" i="1"/>
  <c r="EA94" i="1" s="1"/>
  <c r="DZ129" i="1"/>
  <c r="DZ100" i="1" l="1"/>
  <c r="DZ101" i="1" s="1"/>
  <c r="DZ138" i="1" s="1"/>
  <c r="DZ130" i="1"/>
  <c r="EA125" i="1" s="1"/>
  <c r="EA119" i="1"/>
  <c r="EA121" i="1" l="1"/>
  <c r="EA96" i="1" s="1"/>
  <c r="EA97" i="1" s="1"/>
  <c r="EA122" i="1" l="1"/>
  <c r="EA98" i="1" s="1"/>
  <c r="EA99" i="1" s="1"/>
  <c r="DZ102" i="1"/>
  <c r="DZ103" i="1" s="1"/>
  <c r="DZ139" i="1"/>
  <c r="EA133" i="1" s="1"/>
  <c r="EB113" i="1" l="1"/>
  <c r="EB118" i="1" s="1"/>
  <c r="EB95" i="1" s="1"/>
  <c r="EA129" i="1"/>
  <c r="EA137" i="1"/>
  <c r="DZ145" i="1"/>
  <c r="DZ108" i="1"/>
  <c r="DZ210" i="1" s="1"/>
  <c r="EB115" i="1" l="1"/>
  <c r="EB117" i="1"/>
  <c r="EB94" i="1" s="1"/>
  <c r="EA100" i="1"/>
  <c r="EA101" i="1" s="1"/>
  <c r="EA138" i="1" s="1"/>
  <c r="EA130" i="1"/>
  <c r="EB125" i="1" s="1"/>
  <c r="EB119" i="1" l="1"/>
  <c r="EB121" i="1" s="1"/>
  <c r="EB96" i="1" s="1"/>
  <c r="EB97" i="1" s="1"/>
  <c r="EB122" i="1" l="1"/>
  <c r="EA102" i="1"/>
  <c r="EA103" i="1" s="1"/>
  <c r="EA139" i="1"/>
  <c r="EB133" i="1" s="1"/>
  <c r="EB137" i="1" l="1"/>
  <c r="EA108" i="1"/>
  <c r="EA210" i="1" s="1"/>
  <c r="EA145" i="1"/>
  <c r="EB98" i="1"/>
  <c r="EB99" i="1" s="1"/>
  <c r="EC113" i="1"/>
  <c r="EC118" i="1" l="1"/>
  <c r="EC95" i="1" s="1"/>
  <c r="EC117" i="1"/>
  <c r="EC94" i="1" s="1"/>
  <c r="EC115" i="1"/>
  <c r="EB129" i="1"/>
  <c r="EB100" i="1" l="1"/>
  <c r="EB101" i="1" s="1"/>
  <c r="EB138" i="1" s="1"/>
  <c r="EB130" i="1"/>
  <c r="EC125" i="1" s="1"/>
  <c r="EC119" i="1"/>
  <c r="EC121" i="1" l="1"/>
  <c r="EC96" i="1" s="1"/>
  <c r="EC97" i="1" s="1"/>
  <c r="EB102" i="1" l="1"/>
  <c r="EB103" i="1" s="1"/>
  <c r="EB139" i="1"/>
  <c r="EC133" i="1" s="1"/>
  <c r="EC122" i="1"/>
  <c r="EC98" i="1" l="1"/>
  <c r="EC99" i="1" s="1"/>
  <c r="ED113" i="1"/>
  <c r="EC137" i="1"/>
  <c r="EB108" i="1"/>
  <c r="EB210" i="1" s="1"/>
  <c r="EB145" i="1"/>
  <c r="ED118" i="1" l="1"/>
  <c r="ED95" i="1" s="1"/>
  <c r="ED117" i="1"/>
  <c r="ED94" i="1" s="1"/>
  <c r="ED115" i="1"/>
  <c r="EC129" i="1"/>
  <c r="EC100" i="1" l="1"/>
  <c r="EC101" i="1" s="1"/>
  <c r="EC138" i="1" s="1"/>
  <c r="EC130" i="1"/>
  <c r="ED125" i="1" s="1"/>
  <c r="ED119" i="1"/>
  <c r="ED121" i="1" l="1"/>
  <c r="ED96" i="1" s="1"/>
  <c r="ED97" i="1" s="1"/>
  <c r="ED122" i="1" l="1"/>
  <c r="EC102" i="1"/>
  <c r="EC103" i="1" s="1"/>
  <c r="EC139" i="1"/>
  <c r="ED133" i="1" s="1"/>
  <c r="EC145" i="1" l="1"/>
  <c r="EC108" i="1"/>
  <c r="EC210" i="1" s="1"/>
  <c r="ED137" i="1"/>
  <c r="ED98" i="1"/>
  <c r="ED99" i="1" s="1"/>
  <c r="EE113" i="1"/>
  <c r="EE118" i="1" l="1"/>
  <c r="EE95" i="1" s="1"/>
  <c r="EE115" i="1"/>
  <c r="EE117" i="1"/>
  <c r="EE94" i="1" s="1"/>
  <c r="ED129" i="1"/>
  <c r="ED100" i="1" l="1"/>
  <c r="ED101" i="1" s="1"/>
  <c r="ED138" i="1" s="1"/>
  <c r="ED130" i="1"/>
  <c r="EE125" i="1" s="1"/>
  <c r="EE119" i="1"/>
  <c r="EE121" i="1" l="1"/>
  <c r="EE96" i="1" s="1"/>
  <c r="EE97" i="1" s="1"/>
  <c r="ED102" i="1" l="1"/>
  <c r="ED103" i="1" s="1"/>
  <c r="ED139" i="1"/>
  <c r="EE133" i="1" s="1"/>
  <c r="EE122" i="1"/>
  <c r="EE137" i="1" l="1"/>
  <c r="ED145" i="1"/>
  <c r="ED108" i="1"/>
  <c r="ED210" i="1" s="1"/>
  <c r="EE98" i="1"/>
  <c r="EE99" i="1" s="1"/>
  <c r="EF113" i="1"/>
  <c r="EF118" i="1" l="1"/>
  <c r="EF95" i="1" s="1"/>
  <c r="EF115" i="1"/>
  <c r="EF117" i="1"/>
  <c r="EF94" i="1" s="1"/>
  <c r="EE129" i="1"/>
  <c r="EE100" i="1" l="1"/>
  <c r="EE101" i="1" s="1"/>
  <c r="EE138" i="1" s="1"/>
  <c r="EE130" i="1"/>
  <c r="EF125" i="1" s="1"/>
  <c r="EF119" i="1"/>
  <c r="EF121" i="1" l="1"/>
  <c r="EF96" i="1" s="1"/>
  <c r="EF97" i="1" s="1"/>
  <c r="EF122" i="1" l="1"/>
  <c r="EG113" i="1" s="1"/>
  <c r="EE102" i="1"/>
  <c r="EE103" i="1" s="1"/>
  <c r="EE139" i="1"/>
  <c r="EF133" i="1" s="1"/>
  <c r="EF98" i="1" l="1"/>
  <c r="EF99" i="1" s="1"/>
  <c r="EF129" i="1" s="1"/>
  <c r="EG118" i="1"/>
  <c r="EG95" i="1" s="1"/>
  <c r="EG117" i="1"/>
  <c r="EG94" i="1" s="1"/>
  <c r="EG115" i="1"/>
  <c r="EF137" i="1"/>
  <c r="EE145" i="1"/>
  <c r="EE108" i="1"/>
  <c r="EE210" i="1" s="1"/>
  <c r="EG119" i="1" l="1"/>
  <c r="EF100" i="1"/>
  <c r="EF101" i="1" s="1"/>
  <c r="EF138" i="1" s="1"/>
  <c r="EF130" i="1"/>
  <c r="EG125" i="1" s="1"/>
  <c r="EG121" i="1" l="1"/>
  <c r="EG96" i="1" s="1"/>
  <c r="EG97" i="1" s="1"/>
  <c r="EF102" i="1" l="1"/>
  <c r="EF103" i="1" s="1"/>
  <c r="EF139" i="1"/>
  <c r="EG133" i="1" s="1"/>
  <c r="EG122" i="1"/>
  <c r="EG98" i="1" l="1"/>
  <c r="EG99" i="1" s="1"/>
  <c r="EH113" i="1"/>
  <c r="EG137" i="1"/>
  <c r="EF108" i="1"/>
  <c r="EF210" i="1" s="1"/>
  <c r="EF145" i="1"/>
  <c r="EH118" i="1" l="1"/>
  <c r="EH95" i="1" s="1"/>
  <c r="EH117" i="1"/>
  <c r="EH94" i="1" s="1"/>
  <c r="EH115" i="1"/>
  <c r="EG129" i="1"/>
  <c r="EG100" i="1" l="1"/>
  <c r="EG101" i="1" s="1"/>
  <c r="EG138" i="1" s="1"/>
  <c r="EG130" i="1"/>
  <c r="EH125" i="1" s="1"/>
  <c r="EH119" i="1"/>
  <c r="EH121" i="1" l="1"/>
  <c r="EH96" i="1" s="1"/>
  <c r="EH97" i="1" s="1"/>
  <c r="EG102" i="1" l="1"/>
  <c r="EG103" i="1" s="1"/>
  <c r="EG139" i="1"/>
  <c r="EH133" i="1" s="1"/>
  <c r="EH122" i="1"/>
  <c r="EH98" i="1" l="1"/>
  <c r="EH99" i="1" s="1"/>
  <c r="EI113" i="1"/>
  <c r="EH137" i="1"/>
  <c r="EG145" i="1"/>
  <c r="EG108" i="1"/>
  <c r="EG210" i="1" s="1"/>
  <c r="EI118" i="1" l="1"/>
  <c r="EI95" i="1" s="1"/>
  <c r="EI115" i="1"/>
  <c r="EI117" i="1"/>
  <c r="EI94" i="1" s="1"/>
  <c r="EH129" i="1"/>
  <c r="EH100" i="1" l="1"/>
  <c r="EH101" i="1" s="1"/>
  <c r="EH138" i="1" s="1"/>
  <c r="EH130" i="1"/>
  <c r="EI125" i="1" s="1"/>
  <c r="EI119" i="1"/>
  <c r="EI121" i="1" l="1"/>
  <c r="EI96" i="1" s="1"/>
  <c r="EI97" i="1" s="1"/>
  <c r="EH102" i="1" l="1"/>
  <c r="EH103" i="1" s="1"/>
  <c r="EH139" i="1"/>
  <c r="EI133" i="1" s="1"/>
  <c r="EI122" i="1"/>
  <c r="EI98" i="1" l="1"/>
  <c r="EI99" i="1" s="1"/>
  <c r="EJ113" i="1"/>
  <c r="EI137" i="1"/>
  <c r="EH108" i="1"/>
  <c r="EH210" i="1" s="1"/>
  <c r="EH145" i="1"/>
  <c r="EJ118" i="1" l="1"/>
  <c r="EJ95" i="1" s="1"/>
  <c r="EJ115" i="1"/>
  <c r="EJ117" i="1"/>
  <c r="EJ94" i="1" s="1"/>
  <c r="EI129" i="1"/>
  <c r="EI100" i="1" l="1"/>
  <c r="EI101" i="1" s="1"/>
  <c r="EI138" i="1" s="1"/>
  <c r="EI130" i="1"/>
  <c r="EJ125" i="1" s="1"/>
  <c r="EJ119" i="1"/>
  <c r="EJ121" i="1" l="1"/>
  <c r="EJ96" i="1" s="1"/>
  <c r="EJ97" i="1" s="1"/>
  <c r="EI102" i="1" l="1"/>
  <c r="EI103" i="1" s="1"/>
  <c r="EI139" i="1"/>
  <c r="EJ133" i="1" s="1"/>
  <c r="EJ122" i="1"/>
  <c r="EJ137" i="1" l="1"/>
  <c r="EJ98" i="1"/>
  <c r="EJ99" i="1" s="1"/>
  <c r="EK113" i="1"/>
  <c r="EI108" i="1"/>
  <c r="EI210" i="1" s="1"/>
  <c r="EI145" i="1"/>
  <c r="EK118" i="1" l="1"/>
  <c r="EK95" i="1" s="1"/>
  <c r="EK115" i="1"/>
  <c r="EK117" i="1"/>
  <c r="EK94" i="1" s="1"/>
  <c r="EJ129" i="1"/>
  <c r="EJ100" i="1" l="1"/>
  <c r="EJ101" i="1" s="1"/>
  <c r="EJ138" i="1" s="1"/>
  <c r="EJ130" i="1"/>
  <c r="EK125" i="1" s="1"/>
  <c r="EK119" i="1"/>
  <c r="EK121" i="1" l="1"/>
  <c r="EK96" i="1" s="1"/>
  <c r="EK97" i="1" s="1"/>
  <c r="EK122" i="1" l="1"/>
  <c r="EK98" i="1" s="1"/>
  <c r="EK99" i="1" s="1"/>
  <c r="EJ102" i="1"/>
  <c r="EJ103" i="1" s="1"/>
  <c r="EJ139" i="1"/>
  <c r="EK133" i="1" s="1"/>
  <c r="EL113" i="1" l="1"/>
  <c r="EL118" i="1" s="1"/>
  <c r="EL95" i="1" s="1"/>
  <c r="EK137" i="1"/>
  <c r="EK129" i="1"/>
  <c r="EJ145" i="1"/>
  <c r="EJ108" i="1"/>
  <c r="EJ210" i="1" s="1"/>
  <c r="EL117" i="1" l="1"/>
  <c r="EL94" i="1" s="1"/>
  <c r="EL115" i="1"/>
  <c r="EK100" i="1"/>
  <c r="EK101" i="1" s="1"/>
  <c r="EK138" i="1" s="1"/>
  <c r="EK130" i="1"/>
  <c r="EL125" i="1" s="1"/>
  <c r="EL119" i="1" l="1"/>
  <c r="EL121" i="1" s="1"/>
  <c r="EL96" i="1" s="1"/>
  <c r="EL97" i="1" s="1"/>
  <c r="EK102" i="1" l="1"/>
  <c r="EK103" i="1" s="1"/>
  <c r="EK139" i="1"/>
  <c r="EL133" i="1" s="1"/>
  <c r="EL122" i="1"/>
  <c r="EL98" i="1" l="1"/>
  <c r="EL99" i="1" s="1"/>
  <c r="EM113" i="1"/>
  <c r="EL137" i="1"/>
  <c r="EK145" i="1"/>
  <c r="EK108" i="1"/>
  <c r="EK210" i="1" s="1"/>
  <c r="EM118" i="1" l="1"/>
  <c r="EM95" i="1" s="1"/>
  <c r="EM117" i="1"/>
  <c r="EM94" i="1" s="1"/>
  <c r="EM115" i="1"/>
  <c r="EL129" i="1"/>
  <c r="EL100" i="1" l="1"/>
  <c r="EL101" i="1" s="1"/>
  <c r="EL138" i="1" s="1"/>
  <c r="EL130" i="1"/>
  <c r="EM125" i="1" s="1"/>
  <c r="EM119" i="1"/>
  <c r="EM121" i="1" l="1"/>
  <c r="EM96" i="1" s="1"/>
  <c r="EM97" i="1" s="1"/>
  <c r="EL102" i="1" l="1"/>
  <c r="EL103" i="1" s="1"/>
  <c r="EL139" i="1"/>
  <c r="EM133" i="1" s="1"/>
  <c r="EM122" i="1"/>
  <c r="EM98" i="1" l="1"/>
  <c r="EM99" i="1" s="1"/>
  <c r="EN113" i="1"/>
  <c r="EM137" i="1"/>
  <c r="EL108" i="1"/>
  <c r="EL210" i="1" s="1"/>
  <c r="EL145" i="1"/>
  <c r="EN118" i="1" l="1"/>
  <c r="EN95" i="1" s="1"/>
  <c r="EN117" i="1"/>
  <c r="EN94" i="1" s="1"/>
  <c r="EN115" i="1"/>
  <c r="EM129" i="1"/>
  <c r="EM100" i="1" l="1"/>
  <c r="EM101" i="1" s="1"/>
  <c r="EM138" i="1" s="1"/>
  <c r="EM130" i="1"/>
  <c r="EN125" i="1" s="1"/>
  <c r="EN119" i="1"/>
  <c r="EN121" i="1" l="1"/>
  <c r="EN96" i="1" s="1"/>
  <c r="EN97" i="1" s="1"/>
  <c r="EN122" i="1" l="1"/>
  <c r="EO113" i="1" s="1"/>
  <c r="EM102" i="1"/>
  <c r="EM103" i="1" s="1"/>
  <c r="EM139" i="1"/>
  <c r="EN133" i="1" s="1"/>
  <c r="EN98" i="1" l="1"/>
  <c r="EN99" i="1" s="1"/>
  <c r="EN129" i="1" s="1"/>
  <c r="EO118" i="1"/>
  <c r="EO95" i="1" s="1"/>
  <c r="EO115" i="1"/>
  <c r="EO117" i="1"/>
  <c r="EO94" i="1" s="1"/>
  <c r="EN137" i="1"/>
  <c r="EM108" i="1"/>
  <c r="EM210" i="1" s="1"/>
  <c r="EM145" i="1"/>
  <c r="EO119" i="1" l="1"/>
  <c r="EN100" i="1"/>
  <c r="EN101" i="1" s="1"/>
  <c r="EN138" i="1" s="1"/>
  <c r="EN130" i="1"/>
  <c r="EO125" i="1" s="1"/>
  <c r="EO121" i="1" l="1"/>
  <c r="EO96" i="1" s="1"/>
  <c r="EO97" i="1" s="1"/>
  <c r="EO122" i="1" l="1"/>
  <c r="EN102" i="1"/>
  <c r="EN103" i="1" s="1"/>
  <c r="EN139" i="1"/>
  <c r="EO133" i="1" s="1"/>
  <c r="EN108" i="1" l="1"/>
  <c r="EN210" i="1" s="1"/>
  <c r="EN145" i="1"/>
  <c r="EO137" i="1"/>
  <c r="EO98" i="1"/>
  <c r="EO99" i="1" s="1"/>
  <c r="EP113" i="1"/>
  <c r="EO129" i="1" l="1"/>
  <c r="EP118" i="1"/>
  <c r="EP95" i="1" s="1"/>
  <c r="EP117" i="1"/>
  <c r="EP94" i="1" s="1"/>
  <c r="EP115" i="1"/>
  <c r="EP119" i="1" l="1"/>
  <c r="EO100" i="1"/>
  <c r="EO101" i="1" s="1"/>
  <c r="EO138" i="1" s="1"/>
  <c r="EO130" i="1"/>
  <c r="EP125" i="1" s="1"/>
  <c r="EP121" i="1" l="1"/>
  <c r="EP96" i="1" s="1"/>
  <c r="EP97" i="1" s="1"/>
  <c r="EP122" i="1" l="1"/>
  <c r="EO102" i="1"/>
  <c r="EO103" i="1" s="1"/>
  <c r="EO139" i="1"/>
  <c r="EP133" i="1" s="1"/>
  <c r="EO145" i="1" l="1"/>
  <c r="EO108" i="1"/>
  <c r="EO210" i="1" s="1"/>
  <c r="EP137" i="1"/>
  <c r="EP98" i="1"/>
  <c r="EP99" i="1" s="1"/>
  <c r="EQ113" i="1"/>
  <c r="EP129" i="1" l="1"/>
  <c r="EQ118" i="1"/>
  <c r="EQ95" i="1" s="1"/>
  <c r="EQ115" i="1"/>
  <c r="EQ117" i="1"/>
  <c r="EQ94" i="1" s="1"/>
  <c r="EP100" i="1" l="1"/>
  <c r="EP101" i="1" s="1"/>
  <c r="EP138" i="1" s="1"/>
  <c r="EP130" i="1"/>
  <c r="EQ125" i="1" s="1"/>
  <c r="EQ119" i="1"/>
  <c r="EQ121" i="1" l="1"/>
  <c r="EQ96" i="1" s="1"/>
  <c r="EQ97" i="1" s="1"/>
  <c r="EQ122" i="1" l="1"/>
  <c r="EQ98" i="1" s="1"/>
  <c r="EQ99" i="1" s="1"/>
  <c r="EP102" i="1"/>
  <c r="EP103" i="1" s="1"/>
  <c r="EP139" i="1"/>
  <c r="EQ133" i="1" s="1"/>
  <c r="ER113" i="1" l="1"/>
  <c r="ER115" i="1" s="1"/>
  <c r="EQ137" i="1"/>
  <c r="EQ129" i="1"/>
  <c r="EP108" i="1"/>
  <c r="EP210" i="1" s="1"/>
  <c r="EP145" i="1"/>
  <c r="ER117" i="1" l="1"/>
  <c r="ER94" i="1" s="1"/>
  <c r="ER118" i="1"/>
  <c r="ER95" i="1" s="1"/>
  <c r="EQ100" i="1"/>
  <c r="EQ101" i="1" s="1"/>
  <c r="EQ138" i="1" s="1"/>
  <c r="EQ130" i="1"/>
  <c r="ER125" i="1" s="1"/>
  <c r="ER119" i="1" l="1"/>
  <c r="ER121" i="1" s="1"/>
  <c r="ER96" i="1" s="1"/>
  <c r="ER97" i="1" s="1"/>
  <c r="ER122" i="1" l="1"/>
  <c r="EQ102" i="1"/>
  <c r="EQ103" i="1" s="1"/>
  <c r="EQ139" i="1"/>
  <c r="ER133" i="1" s="1"/>
  <c r="EQ145" i="1" l="1"/>
  <c r="EQ108" i="1"/>
  <c r="EQ210" i="1" s="1"/>
  <c r="ER137" i="1"/>
  <c r="ER98" i="1"/>
  <c r="ER99" i="1" s="1"/>
  <c r="ES113" i="1"/>
  <c r="ES118" i="1" l="1"/>
  <c r="ES95" i="1" s="1"/>
  <c r="ES115" i="1"/>
  <c r="ES117" i="1"/>
  <c r="ES94" i="1" s="1"/>
  <c r="ER129" i="1"/>
  <c r="ER100" i="1" l="1"/>
  <c r="ER101" i="1" s="1"/>
  <c r="ER138" i="1" s="1"/>
  <c r="ER130" i="1"/>
  <c r="ES125" i="1" s="1"/>
  <c r="ES119" i="1"/>
  <c r="ES121" i="1" l="1"/>
  <c r="ES96" i="1" s="1"/>
  <c r="ES97" i="1" s="1"/>
  <c r="ER102" i="1" l="1"/>
  <c r="ER103" i="1" s="1"/>
  <c r="ER139" i="1"/>
  <c r="ES133" i="1" s="1"/>
  <c r="ES122" i="1"/>
  <c r="ES137" i="1" l="1"/>
  <c r="ET113" i="1"/>
  <c r="ES98" i="1"/>
  <c r="ES99" i="1" s="1"/>
  <c r="ER145" i="1"/>
  <c r="ER108" i="1"/>
  <c r="ER210" i="1" s="1"/>
  <c r="ET118" i="1" l="1"/>
  <c r="ET95" i="1" s="1"/>
  <c r="ET115" i="1"/>
  <c r="ET117" i="1"/>
  <c r="ET94" i="1" s="1"/>
  <c r="ES129" i="1"/>
  <c r="ES100" i="1" l="1"/>
  <c r="ES101" i="1" s="1"/>
  <c r="ES138" i="1" s="1"/>
  <c r="ES130" i="1"/>
  <c r="ET125" i="1" s="1"/>
  <c r="ET119" i="1"/>
  <c r="ET121" i="1" l="1"/>
  <c r="ET96" i="1" s="1"/>
  <c r="ET97" i="1" s="1"/>
  <c r="ET122" i="1" l="1"/>
  <c r="EU113" i="1" s="1"/>
  <c r="ES102" i="1"/>
  <c r="ES103" i="1" s="1"/>
  <c r="ES139" i="1"/>
  <c r="ET133" i="1" s="1"/>
  <c r="ET98" i="1" l="1"/>
  <c r="ET99" i="1" s="1"/>
  <c r="ET129" i="1" s="1"/>
  <c r="ET137" i="1"/>
  <c r="EU118" i="1"/>
  <c r="EU95" i="1" s="1"/>
  <c r="EU117" i="1"/>
  <c r="EU94" i="1" s="1"/>
  <c r="EU115" i="1"/>
  <c r="ES108" i="1"/>
  <c r="ES210" i="1" s="1"/>
  <c r="ES145" i="1"/>
  <c r="EU119" i="1" l="1"/>
  <c r="ET100" i="1"/>
  <c r="ET101" i="1" s="1"/>
  <c r="ET138" i="1" s="1"/>
  <c r="ET130" i="1"/>
  <c r="EU125" i="1" s="1"/>
  <c r="EU121" i="1" l="1"/>
  <c r="EU96" i="1" s="1"/>
  <c r="EU97" i="1" s="1"/>
  <c r="ET102" i="1" l="1"/>
  <c r="ET103" i="1" s="1"/>
  <c r="ET139" i="1"/>
  <c r="EU133" i="1" s="1"/>
  <c r="EU122" i="1"/>
  <c r="EU98" i="1" l="1"/>
  <c r="EU99" i="1" s="1"/>
  <c r="EV113" i="1"/>
  <c r="EU137" i="1"/>
  <c r="ET108" i="1"/>
  <c r="ET210" i="1" s="1"/>
  <c r="ET145" i="1"/>
  <c r="EV118" i="1" l="1"/>
  <c r="EV95" i="1" s="1"/>
  <c r="EV117" i="1"/>
  <c r="EV94" i="1" s="1"/>
  <c r="EV115" i="1"/>
  <c r="EU129" i="1"/>
  <c r="EU100" i="1" l="1"/>
  <c r="EU101" i="1" s="1"/>
  <c r="EU138" i="1" s="1"/>
  <c r="EU130" i="1"/>
  <c r="EV125" i="1" s="1"/>
  <c r="EV119" i="1"/>
  <c r="EV121" i="1" l="1"/>
  <c r="EV96" i="1" s="1"/>
  <c r="EV97" i="1" s="1"/>
  <c r="EV122" i="1" l="1"/>
  <c r="EU102" i="1"/>
  <c r="EU103" i="1" s="1"/>
  <c r="EU139" i="1"/>
  <c r="EV133" i="1" s="1"/>
  <c r="EV137" i="1" l="1"/>
  <c r="EU108" i="1"/>
  <c r="EU210" i="1" s="1"/>
  <c r="EU145" i="1"/>
  <c r="EW113" i="1"/>
  <c r="EV98" i="1"/>
  <c r="EV99" i="1" s="1"/>
  <c r="EV129" i="1" l="1"/>
  <c r="EW118" i="1"/>
  <c r="EW95" i="1" s="1"/>
  <c r="EW115" i="1"/>
  <c r="EW117" i="1"/>
  <c r="EW94" i="1" s="1"/>
  <c r="EV100" i="1" l="1"/>
  <c r="EV101" i="1" s="1"/>
  <c r="EV138" i="1" s="1"/>
  <c r="EV130" i="1"/>
  <c r="EW125" i="1" s="1"/>
  <c r="EW119" i="1"/>
  <c r="EW121" i="1" l="1"/>
  <c r="EW96" i="1" s="1"/>
  <c r="EW97" i="1" s="1"/>
  <c r="EV102" i="1" l="1"/>
  <c r="EV103" i="1" s="1"/>
  <c r="EV139" i="1"/>
  <c r="EW133" i="1" s="1"/>
  <c r="EW122" i="1"/>
  <c r="EW137" i="1" l="1"/>
  <c r="EX113" i="1"/>
  <c r="EW98" i="1"/>
  <c r="EW99" i="1" s="1"/>
  <c r="EV108" i="1"/>
  <c r="EV210" i="1" s="1"/>
  <c r="EV145" i="1"/>
  <c r="EX118" i="1" l="1"/>
  <c r="EX95" i="1" s="1"/>
  <c r="EX115" i="1"/>
  <c r="EX117" i="1"/>
  <c r="EX94" i="1" s="1"/>
  <c r="EW129" i="1"/>
  <c r="EW100" i="1" l="1"/>
  <c r="EW101" i="1" s="1"/>
  <c r="EW138" i="1" s="1"/>
  <c r="EW130" i="1"/>
  <c r="EX125" i="1" s="1"/>
  <c r="EX119" i="1"/>
  <c r="EX121" i="1" l="1"/>
  <c r="EX96" i="1" s="1"/>
  <c r="EX97" i="1" s="1"/>
  <c r="EW102" i="1" l="1"/>
  <c r="EW103" i="1" s="1"/>
  <c r="EW139" i="1"/>
  <c r="EX133" i="1" s="1"/>
  <c r="EX122" i="1"/>
  <c r="EX137" i="1" l="1"/>
  <c r="EW145" i="1"/>
  <c r="EW108" i="1"/>
  <c r="EW210" i="1" s="1"/>
  <c r="EX98" i="1"/>
  <c r="EX99" i="1" s="1"/>
  <c r="EY113" i="1"/>
  <c r="EX129" i="1" l="1"/>
  <c r="EY118" i="1"/>
  <c r="EY95" i="1" s="1"/>
  <c r="EY117" i="1"/>
  <c r="EY94" i="1" s="1"/>
  <c r="EY115" i="1"/>
  <c r="EY119" i="1" l="1"/>
  <c r="EX100" i="1"/>
  <c r="EX101" i="1" s="1"/>
  <c r="EX138" i="1" s="1"/>
  <c r="EX130" i="1"/>
  <c r="EY125" i="1" s="1"/>
  <c r="EY121" i="1" l="1"/>
  <c r="EY96" i="1" s="1"/>
  <c r="EY97" i="1" s="1"/>
  <c r="EY122" i="1" l="1"/>
  <c r="EY98" i="1" s="1"/>
  <c r="EY99" i="1" s="1"/>
  <c r="EX102" i="1"/>
  <c r="EX103" i="1" s="1"/>
  <c r="EX139" i="1"/>
  <c r="EY133" i="1" s="1"/>
  <c r="EZ113" i="1" l="1"/>
  <c r="EZ118" i="1" s="1"/>
  <c r="EZ95" i="1" s="1"/>
  <c r="EY129" i="1"/>
  <c r="EY137" i="1"/>
  <c r="EX145" i="1"/>
  <c r="EX108" i="1"/>
  <c r="EX210" i="1" s="1"/>
  <c r="EZ115" i="1" l="1"/>
  <c r="EZ117" i="1"/>
  <c r="EZ94" i="1" s="1"/>
  <c r="EY100" i="1"/>
  <c r="EY101" i="1" s="1"/>
  <c r="EY138" i="1" s="1"/>
  <c r="EY130" i="1"/>
  <c r="EZ125" i="1" s="1"/>
  <c r="EZ119" i="1" l="1"/>
  <c r="EZ121" i="1" s="1"/>
  <c r="EZ96" i="1" s="1"/>
  <c r="EZ97" i="1" s="1"/>
  <c r="EZ122" i="1" l="1"/>
  <c r="EY102" i="1"/>
  <c r="EY103" i="1" s="1"/>
  <c r="EY139" i="1"/>
  <c r="EZ133" i="1" s="1"/>
  <c r="EY108" i="1" l="1"/>
  <c r="EY210" i="1" s="1"/>
  <c r="EY145" i="1"/>
  <c r="EZ137" i="1"/>
  <c r="EZ98" i="1"/>
  <c r="EZ99" i="1" s="1"/>
  <c r="FA113" i="1"/>
  <c r="FA115" i="1" l="1"/>
  <c r="FA117" i="1"/>
  <c r="FA94" i="1" s="1"/>
  <c r="FA118" i="1"/>
  <c r="FA95" i="1" s="1"/>
  <c r="EZ129" i="1"/>
  <c r="EZ100" i="1" l="1"/>
  <c r="EZ101" i="1" s="1"/>
  <c r="EZ138" i="1" s="1"/>
  <c r="EZ130" i="1"/>
  <c r="FA125" i="1" s="1"/>
  <c r="FA119" i="1"/>
  <c r="FA121" i="1" l="1"/>
  <c r="FA96" i="1" s="1"/>
  <c r="FA97" i="1" s="1"/>
  <c r="EZ102" i="1" l="1"/>
  <c r="EZ103" i="1" s="1"/>
  <c r="EZ139" i="1"/>
  <c r="FA133" i="1" s="1"/>
  <c r="FA122" i="1"/>
  <c r="FA98" i="1" s="1"/>
  <c r="FA99" i="1" s="1"/>
  <c r="FA129" i="1" l="1"/>
  <c r="FA137" i="1"/>
  <c r="EZ108" i="1"/>
  <c r="EZ210" i="1" s="1"/>
  <c r="EZ145" i="1"/>
  <c r="FA100" i="1" l="1"/>
  <c r="FA101" i="1" s="1"/>
  <c r="FA138" i="1" s="1"/>
  <c r="FA130" i="1"/>
  <c r="FA102" i="1" l="1"/>
  <c r="FA103" i="1" s="1"/>
  <c r="FA139" i="1"/>
  <c r="FA108" i="1" l="1"/>
  <c r="FA210" i="1" s="1"/>
  <c r="FA1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tc={4CEA5E32-6704-411B-93A7-87554390E1F0}</author>
    <author>tc={CDB9C734-6216-4C25-9ADB-36CAF1753288}</author>
  </authors>
  <commentList>
    <comment ref="C10" authorId="0" shapeId="0" xr:uid="{4CEA5E32-6704-411B-93A7-87554390E1F0}">
      <text>
        <t>[Threaded comment]
Your version of Excel allows you to read this threaded comment; however, any edits to it will get removed if the file is opened in a newer version of Excel. Learn more: https://go.microsoft.com/fwlink/?linkid=870924
Comment:
    Assume infrastructure capex costs is more front loaded where foundation installation, array cable laying, offshore substation construction, and onshore grid connection works is completed. 
Assume these start immediately after FID and end 3 quarters before COD (so that when turbines are installed they can immediately or 1 quarter afterwards start to generate power )</t>
      </text>
    </comment>
    <comment ref="C19" authorId="1" shapeId="0" xr:uid="{CDB9C734-6216-4C25-9ADB-36CAF1753288}">
      <text>
        <t>[Threaded comment]
Your version of Excel allows you to read this threaded comment; however, any edits to it will get removed if the file is opened in a newer version of Excel. Learn more: https://go.microsoft.com/fwlink/?linkid=870924
Comment:
    Interest paid till refinancing period which is on 31/03/2030
Beginning Balance of the debt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tc={C133144B-4F9C-405C-BC45-B5FF28E4D814}</author>
    <author>tc={04049000-CD17-445A-9AAF-124C0CDAA378}</author>
    <author>tc={ACD5C2F7-BB96-4CBC-8226-19ED69A370AC}</author>
    <author>tc={CCD22F45-461D-478B-BF8F-41510677B977}</author>
    <author>tc={9365F0A5-9520-46A0-A3E8-6CCBB8CEF32C}</author>
    <author>tc={D421683B-3DBF-403E-AE73-E533457E7EB5}</author>
    <author>tc={215FA9C7-83B6-4C11-B17D-38EEFA21FC3A}</author>
    <author>tc={E8414741-4691-42F7-8F9D-66A8B6CF7603}</author>
    <author>tc={83F7F625-77D1-4970-9016-F3E18EFCB4F7}</author>
    <author>tc={E7433209-8E0F-4648-A310-7198620677A9}</author>
    <author>tc={0E84FF0E-FC6D-43E5-9DA9-06E751F3CB26}</author>
    <author>tc={AE94A0E7-346D-43E7-B1F5-68D49767C1C0}</author>
    <author>tc={6B2463A6-093F-44F9-A6FC-DB0234007487}</author>
    <author>tc={0EF08D6C-2320-4AA8-9120-6589E2131BA4}</author>
    <author>tc={003E816E-40A2-48FB-AC93-BCB4B396A0EA}</author>
    <author>tc={7EFC7D18-B192-4763-BFC9-6117ABE55B0F}</author>
    <author>tc={9DA3C160-6B68-49EB-82C8-08AE811E7A5B}</author>
    <author>tc={AE3C0CFF-A0CB-48FC-9697-E3BA7334E47E}</author>
    <author>tc={91D0B15B-9E14-456A-BB3F-A307C5753B96}</author>
    <author>tc={164309D4-D346-459F-A222-467B4E80A138}</author>
    <author>tc={9F80E5D3-FA8F-458C-AEBF-519D8E4AB86E}</author>
    <author>tc={7335E544-0872-4235-8DB8-F0A2C6023AEC}</author>
    <author>tc={3C59A9EE-3CD7-441B-91BD-403959F4615D}</author>
    <author>tc={9A59D8F2-1BF5-4CD4-830F-8F965939603A}</author>
    <author>tc={9D3BD79F-A073-46C4-8F38-EE86F79AECB9}</author>
    <author>tc={4A20C40E-4D1C-4D79-A09A-5AF6620728F6}</author>
    <author>tc={7BD8880A-5C60-4C99-8182-E073F22E67FA}</author>
    <author>tc={8EC81DC9-9B62-4468-B396-BCB2B25F5D3E}</author>
    <author>tc={68C5BCF3-B313-4D60-849B-023D5E76CB07}</author>
    <author>tc={E676D893-A1AA-4209-AE04-E835DAFC6444}</author>
    <author>tc={D7411952-3C0C-4ECC-A6D2-E8B77304FF66}</author>
    <author>tc={D161518C-3146-4239-9A88-657DE70ABCAE}</author>
    <author>tc={7D3C5738-AC8E-4DD3-BF84-F340192B9EEF}</author>
    <author>tc={1E9F4D2E-48FE-45DE-82CE-34B7F12897B6}</author>
    <author>tc={31F4FD83-B0AA-4570-9186-B6B1BF7C1A57}</author>
    <author>tc={ED732965-1848-4DE0-A8DC-5EDAC0072015}</author>
    <author>tc={B7BA7D8B-A3CB-48EE-A8CA-E66E87E8704D}</author>
    <author>tc={CC27A0BD-2277-44F2-844A-14132F91782D}</author>
    <author>tc={B1F738DF-4D5B-4938-9BDF-5DA3CF221965}</author>
    <author>tc={2314EE2C-4365-4BBC-A8BA-941718ED0BA8}</author>
    <author>tc={60065FCB-6724-4618-BBDC-51344C280DD0}</author>
    <author>tc={9CDC3868-23DC-47C8-8A9E-A901A499DD7D}</author>
    <author>tc={1F9B75F7-0FCB-41B2-BEAC-C49FBA12843F}</author>
    <author>tc={81E47424-4C66-4D1C-BDAE-32A394432287}</author>
    <author>tc={F8A8E3CF-D228-4E9A-9000-10296B03C524}</author>
    <author>tc={D9072BC9-85A0-4684-88AE-F9B3286D3772}</author>
    <author>tc={460944B5-8D67-42C3-A7D8-3A2E725A5EC7}</author>
    <author>tc={8F363559-389A-47D2-82D1-56B3338A390C}</author>
    <author>tc={6223CB24-7607-4D07-A6A7-0E43C242A4B6}</author>
    <author>tc={9B9D0466-ED37-407C-9824-47539BB3A337}</author>
    <author>tc={D7C8EA83-913F-455B-A9F9-8619E3D5AB38}</author>
    <author>tc={874DEE3F-9B37-4270-AE7E-5F8A054E9AA6}</author>
    <author>tc={FCF4C0EB-C7D2-4637-92C3-D33CCC5CA0AA}</author>
    <author>tc={0A451D4A-CC7C-44C4-9597-15A008718F8D}</author>
    <author>tc={4C51E05D-04D0-4142-B8FA-63967A891EF0}</author>
    <author>tc={369F9C2C-481D-45CE-9CBA-90F479BE3217}</author>
    <author>tc={F314FFE9-7C37-4CB6-9F8B-F2FAF5BC967C}</author>
    <author>tc={B15DA8B7-0109-42D4-8A99-D7D364BF934E}</author>
    <author>tc={F63DD0CB-3454-4E6A-99A0-789B3193F4B5}</author>
    <author>tc={028233C7-EED8-4F89-AA56-ACA0D9358EDB}</author>
    <author>tc={7420D9CC-9C7A-4A6E-8925-C8E6099A1AC8}</author>
    <author>tc={F83584D2-C1E4-4881-A1DD-A0699A4EE368}</author>
    <author>tc={619A3925-5243-469D-9307-1394EE12E950}</author>
    <author>tc={3424B2AB-1015-48B0-B619-9476FA1F0B5D}</author>
    <author>tc={715A95B5-DE3F-45AE-8E9E-F534102DAD41}</author>
    <author>tc={8B102B3D-D993-4BA0-B801-118252A4C3A7}</author>
    <author>tc={BE0E7505-4C69-4293-A8CD-186E45A8A45D}</author>
    <author>tc={C2B9A4CF-5FCF-468E-A77D-82B031269B73}</author>
  </authors>
  <commentList>
    <comment ref="C23" authorId="0" shapeId="0" xr:uid="{C133144B-4F9C-405C-BC45-B5FF28E4D814}">
      <text>
        <t>[Threaded comment]
Your version of Excel allows you to read this threaded comment; however, any edits to it will get removed if the file is opened in a newer version of Excel. Learn more: https://go.microsoft.com/fwlink/?linkid=870924
Comment:
    Applied when all 103 turbines are operational</t>
      </text>
    </comment>
    <comment ref="C30" authorId="1" shapeId="0" xr:uid="{04049000-CD17-445A-9AAF-124C0CDAA378}">
      <text>
        <t>[Threaded comment]
Your version of Excel allows you to read this threaded comment; however, any edits to it will get removed if the file is opened in a newer version of Excel. Learn more: https://go.microsoft.com/fwlink/?linkid=870924
Comment:
    Adjusted for seasonal output by applying to overall net capacity factor</t>
      </text>
    </comment>
    <comment ref="C31" authorId="2" shapeId="0" xr:uid="{ACD5C2F7-BB96-4CBC-8226-19ED69A370AC}">
      <text>
        <t>[Threaded comment]
Your version of Excel allows you to read this threaded comment; however, any edits to it will get removed if the file is opened in a newer version of Excel. Learn more: https://go.microsoft.com/fwlink/?linkid=870924
Comment:
    Adjusted for the P-value case by applying for reduction in wind generation based on P50, P75, P90 or P99 case</t>
      </text>
    </comment>
    <comment ref="C32" authorId="3" shapeId="0" xr:uid="{CCD22F45-461D-478B-BF8F-41510677B977}">
      <text>
        <t>[Threaded comment]
Your version of Excel allows you to read this threaded comment; however, any edits to it will get removed if the file is opened in a newer version of Excel. Learn more: https://go.microsoft.com/fwlink/?linkid=870924
Comment:
    Adjusted for degradation in the wind turbine due to normal operation</t>
      </text>
    </comment>
    <comment ref="C33" authorId="4" shapeId="0" xr:uid="{9365F0A5-9520-46A0-A3E8-6CCBB8CEF32C}">
      <text>
        <t>[Threaded comment]
Your version of Excel allows you to read this threaded comment; however, any edits to it will get removed if the file is opened in a newer version of Excel. Learn more: https://go.microsoft.com/fwlink/?linkid=870924
Comment:
    Adjusted for curtailment when the wind turbine is not generating electricity for the grind</t>
      </text>
    </comment>
    <comment ref="C34" authorId="5" shapeId="0" xr:uid="{D421683B-3DBF-403E-AE73-E533457E7EB5}">
      <text>
        <t>[Threaded comment]
Your version of Excel allows you to read this threaded comment; however, any edits to it will get removed if the file is opened in a newer version of Excel. Learn more: https://go.microsoft.com/fwlink/?linkid=870924
Comment:
    Adjusted for periods where market conditions for wholesale day ahead electricity price mean, there is no revenue is generated from the offshore wind turbine</t>
      </text>
    </comment>
    <comment ref="C66" authorId="6" shapeId="0" xr:uid="{215FA9C7-83B6-4C11-B17D-38EEFA21FC3A}">
      <text>
        <t>[Threaded comment]
Your version of Excel allows you to read this threaded comment; however, any edits to it will get removed if the file is opened in a newer version of Excel. Learn more: https://go.microsoft.com/fwlink/?linkid=870924
Comment:
    IDC are also capitalised into the asset cost and forms part of the qualifying expenditure for capital allowances</t>
      </text>
    </comment>
    <comment ref="C67" authorId="7" shapeId="0" xr:uid="{E8414741-4691-42F7-8F9D-66A8B6CF7603}">
      <text>
        <t>[Threaded comment]
Your version of Excel allows you to read this threaded comment; however, any edits to it will get removed if the file is opened in a newer version of Excel. Learn more: https://go.microsoft.com/fwlink/?linkid=870924
Comment:
    These are a financing cost and deductible where it is amortised over the loan life. Starts after the refinancing period</t>
      </text>
    </comment>
    <comment ref="C86" authorId="8" shapeId="0" xr:uid="{83F7F625-77D1-4970-9016-F3E18EFCB4F7}">
      <text>
        <t>[Threaded comment]
Your version of Excel allows you to read this threaded comment; however, any edits to it will get removed if the file is opened in a newer version of Excel. Learn more: https://go.microsoft.com/fwlink/?linkid=870924
Comment:
    Not used anywhere in the model</t>
      </text>
    </comment>
    <comment ref="C117" authorId="9" shapeId="0" xr:uid="{E7433209-8E0F-4648-A310-7198620677A9}">
      <text>
        <t>[Threaded comment]
Your version of Excel allows you to read this threaded comment; however, any edits to it will get removed if the file is opened in a newer version of Excel. Learn more: https://go.microsoft.com/fwlink/?linkid=870924
Comment:
    But capped to what can be funded from the cash left after post debt service (i.e.CFADS - Debt Interest and Debt Amortisation)</t>
      </text>
    </comment>
    <comment ref="C118" authorId="10" shapeId="0" xr:uid="{0E84FF0E-FC6D-43E5-9DA9-06E751F3CB26}">
      <text>
        <t>[Threaded comment]
Your version of Excel allows you to read this threaded comment; however, any edits to it will get removed if the file is opened in a newer version of Excel. Learn more: https://go.microsoft.com/fwlink/?linkid=870924
Comment:
    Withdraw cash from the opening balance of the DSRA to make sure that the Cash flow post debt service is always positive for each quarter (i.e. we can pay down the debt)</t>
      </text>
    </comment>
    <comment ref="G141" authorId="11" shapeId="0" xr:uid="{AE94A0E7-346D-43E7-B1F5-68D49767C1C0}">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H141" authorId="12" shapeId="0" xr:uid="{6B2463A6-093F-44F9-A6FC-DB0234007487}">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I141" authorId="13" shapeId="0" xr:uid="{0EF08D6C-2320-4AA8-9120-6589E2131BA4}">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J141" authorId="14" shapeId="0" xr:uid="{003E816E-40A2-48FB-AC93-BCB4B396A0EA}">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K141" authorId="15" shapeId="0" xr:uid="{7EFC7D18-B192-4763-BFC9-6117ABE55B0F}">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L141" authorId="16" shapeId="0" xr:uid="{9DA3C160-6B68-49EB-82C8-08AE811E7A5B}">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M141" authorId="17" shapeId="0" xr:uid="{AE3C0CFF-A0CB-48FC-9697-E3BA7334E47E}">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N141" authorId="18" shapeId="0" xr:uid="{91D0B15B-9E14-456A-BB3F-A307C5753B96}">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O141" authorId="19" shapeId="0" xr:uid="{164309D4-D346-459F-A222-467B4E80A138}">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P141" authorId="20" shapeId="0" xr:uid="{9F80E5D3-FA8F-458C-AEBF-519D8E4AB86E}">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Q141" authorId="21" shapeId="0" xr:uid="{7335E544-0872-4235-8DB8-F0A2C6023AEC}">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R141" authorId="22" shapeId="0" xr:uid="{3C59A9EE-3CD7-441B-91BD-403959F4615D}">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S141" authorId="23" shapeId="0" xr:uid="{9A59D8F2-1BF5-4CD4-830F-8F965939603A}">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T141" authorId="24" shapeId="0" xr:uid="{9D3BD79F-A073-46C4-8F38-EE86F79AECB9}">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U141" authorId="25" shapeId="0" xr:uid="{4A20C40E-4D1C-4D79-A09A-5AF6620728F6}">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V141" authorId="26" shapeId="0" xr:uid="{7BD8880A-5C60-4C99-8182-E073F22E67FA}">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W141" authorId="27" shapeId="0" xr:uid="{8EC81DC9-9B62-4468-B396-BCB2B25F5D3E}">
      <text>
        <t>[Threaded comment]
Your version of Excel allows you to read this threaded comment; however, any edits to it will get removed if the file is opened in a newer version of Excel. Learn more: https://go.microsoft.com/fwlink/?linkid=870924
Comment:
    Manually changed to 1.4 to allow CFADS is accounted for ahead of the full operational start date of the offshore wind farm (and before it is refinanced)</t>
      </text>
    </comment>
    <comment ref="CV142" authorId="28" shapeId="0" xr:uid="{68C5BCF3-B313-4D60-849B-023D5E76CB07}">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CW142" authorId="29" shapeId="0" xr:uid="{E676D893-A1AA-4209-AE04-E835DAFC6444}">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CX142" authorId="30" shapeId="0" xr:uid="{D7411952-3C0C-4ECC-A6D2-E8B77304FF66}">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CY142" authorId="31" shapeId="0" xr:uid="{D161518C-3146-4239-9A88-657DE70ABCAE}">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CZ142" authorId="32" shapeId="0" xr:uid="{7D3C5738-AC8E-4DD3-BF84-F340192B9EEF}">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A142" authorId="33" shapeId="0" xr:uid="{1E9F4D2E-48FE-45DE-82CE-34B7F12897B6}">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B142" authorId="34" shapeId="0" xr:uid="{31F4FD83-B0AA-4570-9186-B6B1BF7C1A57}">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C142" authorId="35" shapeId="0" xr:uid="{ED732965-1848-4DE0-A8DC-5EDAC0072015}">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D142" authorId="36" shapeId="0" xr:uid="{B7BA7D8B-A3CB-48EE-A8CA-E66E87E8704D}">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E142" authorId="37" shapeId="0" xr:uid="{CC27A0BD-2277-44F2-844A-14132F91782D}">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F142" authorId="38" shapeId="0" xr:uid="{B1F738DF-4D5B-4938-9BDF-5DA3CF221965}">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G142" authorId="39" shapeId="0" xr:uid="{2314EE2C-4365-4BBC-A8BA-941718ED0BA8}">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H142" authorId="40" shapeId="0" xr:uid="{60065FCB-6724-4618-BBDC-51344C280DD0}">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I142" authorId="41" shapeId="0" xr:uid="{9CDC3868-23DC-47C8-8A9E-A901A499DD7D}">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J142" authorId="42" shapeId="0" xr:uid="{1F9B75F7-0FCB-41B2-BEAC-C49FBA12843F}">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K142" authorId="43" shapeId="0" xr:uid="{81E47424-4C66-4D1C-BDAE-32A394432287}">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L142" authorId="44" shapeId="0" xr:uid="{F8A8E3CF-D228-4E9A-9000-10296B03C524}">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M142" authorId="45" shapeId="0" xr:uid="{D9072BC9-85A0-4684-88AE-F9B3286D3772}">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N142" authorId="46" shapeId="0" xr:uid="{460944B5-8D67-42C3-A7D8-3A2E725A5EC7}">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O142" authorId="47" shapeId="0" xr:uid="{8F363559-389A-47D2-82D1-56B3338A390C}">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P142" authorId="48" shapeId="0" xr:uid="{6223CB24-7607-4D07-A6A7-0E43C242A4B6}">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Q142" authorId="49" shapeId="0" xr:uid="{9B9D0466-ED37-407C-9824-47539BB3A337}">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R142" authorId="50" shapeId="0" xr:uid="{D7C8EA83-913F-455B-A9F9-8619E3D5AB38}">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I143" authorId="51" shapeId="0" xr:uid="{874DEE3F-9B37-4270-AE7E-5F8A054E9AA6}">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J143" authorId="52" shapeId="0" xr:uid="{FCF4C0EB-C7D2-4637-92C3-D33CCC5CA0AA}">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K143" authorId="53" shapeId="0" xr:uid="{0A451D4A-CC7C-44C4-9597-15A008718F8D}">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L143" authorId="54" shapeId="0" xr:uid="{4C51E05D-04D0-4142-B8FA-63967A891EF0}">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M143" authorId="55" shapeId="0" xr:uid="{369F9C2C-481D-45CE-9CBA-90F479BE3217}">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N143" authorId="56" shapeId="0" xr:uid="{F314FFE9-7C37-4CB6-9F8B-F2FAF5BC967C}">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O143" authorId="57" shapeId="0" xr:uid="{B15DA8B7-0109-42D4-8A99-D7D364BF934E}">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P143" authorId="58" shapeId="0" xr:uid="{F63DD0CB-3454-4E6A-99A0-789B3193F4B5}">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Q143" authorId="59" shapeId="0" xr:uid="{028233C7-EED8-4F89-AA56-ACA0D9358EDB}">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DR143" authorId="60" shapeId="0" xr:uid="{7420D9CC-9C7A-4A6E-8925-C8E6099A1AC8}">
      <text>
        <t>[Threaded comment]
Your version of Excel allows you to read this threaded comment; however, any edits to it will get removed if the file is opened in a newer version of Excel. Learn more: https://go.microsoft.com/fwlink/?linkid=870924
Comment:
    Zero as the CfD period is over and the loans are paid off</t>
      </text>
    </comment>
    <comment ref="C181" authorId="61" shapeId="0" xr:uid="{F83584D2-C1E4-4881-A1DD-A0699A4EE368}">
      <text>
        <t>[Threaded comment]
Your version of Excel allows you to read this threaded comment; however, any edits to it will get removed if the file is opened in a newer version of Excel. Learn more: https://go.microsoft.com/fwlink/?linkid=870924
Comment:
    Even though there are amortization values here before debt is issued, due to the formula applied in row 104, these values are not accounted</t>
      </text>
    </comment>
    <comment ref="C204" authorId="62" shapeId="0" xr:uid="{619A3925-5243-469D-9307-1394EE12E950}">
      <text>
        <t>[Threaded comment]
Your version of Excel allows you to read this threaded comment; however, any edits to it will get removed if the file is opened in a newer version of Excel. Learn more: https://go.microsoft.com/fwlink/?linkid=870924
Comment:
    Distribution to investors from CFADS after debt service reserve account, DSCR conditions and maintenance/decommissioning reserve account accounted for
Reply:
    Need to update the formula here</t>
      </text>
    </comment>
    <comment ref="C205" authorId="63" shapeId="0" xr:uid="{3424B2AB-1015-48B0-B619-9476FA1F0B5D}">
      <text>
        <t>[Threaded comment]
Your version of Excel allows you to read this threaded comment; however, any edits to it will get removed if the file is opened in a newer version of Excel. Learn more: https://go.microsoft.com/fwlink/?linkid=870924
Comment:
    Based on initial construction loan and refinancing loans during operational period</t>
      </text>
    </comment>
    <comment ref="C206" authorId="64" shapeId="0" xr:uid="{715A95B5-DE3F-45AE-8E9E-F534102DAD41}">
      <text>
        <t>[Threaded comment]
Your version of Excel allows you to read this threaded comment; however, any edits to it will get removed if the file is opened in a newer version of Excel. Learn more: https://go.microsoft.com/fwlink/?linkid=870924
Comment:
    Decommissioning reserve returned to investors at the end of the CfD expiry period, as new investor puts this cost upfront themselves.
Maintenance reserve not returned as it is assumed this will be used during the operational period</t>
      </text>
    </comment>
    <comment ref="C207" authorId="65" shapeId="0" xr:uid="{8B102B3D-D993-4BA0-B801-118252A4C3A7}">
      <text>
        <t>[Threaded comment]
Your version of Excel allows you to read this threaded comment; however, any edits to it will get removed if the file is opened in a newer version of Excel. Learn more: https://go.microsoft.com/fwlink/?linkid=870924
Comment:
    Decommissioning reserve returned to investors at the end of the CfD expiry period, as new investor puts this cost upfront themselves.
Maintenance reserve not returned as it is assumed this will be used during the operational period</t>
      </text>
    </comment>
    <comment ref="C208" authorId="66" shapeId="0" xr:uid="{BE0E7505-4C69-4293-A8CD-186E45A8A45D}">
      <text>
        <t>[Threaded comment]
Your version of Excel allows you to read this threaded comment; however, any edits to it will get removed if the file is opened in a newer version of Excel. Learn more: https://go.microsoft.com/fwlink/?linkid=870924
Comment:
    Equity to purchase project in DEVEX stage and during the construction period</t>
      </text>
    </comment>
    <comment ref="C209" authorId="67" shapeId="0" xr:uid="{C2B9A4CF-5FCF-468E-A77D-82B031269B73}">
      <text>
        <t>[Threaded comment]
Your version of Excel allows you to read this threaded comment; however, any edits to it will get removed if the file is opened in a newer version of Excel. Learn more: https://go.microsoft.com/fwlink/?linkid=870924
Comment:
    Returns any outstanding debt at the end of the CfD expiry period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<sst xmlns="http://schemas.openxmlformats.org/spreadsheetml/2006/main" count="1501" uniqueCount="632">
  <si>
    <t>Sources of Funds:</t>
  </si>
  <si>
    <t>Construction Loan:</t>
  </si>
  <si>
    <t>Investor Equity:</t>
  </si>
  <si>
    <t>Total Sources:</t>
  </si>
  <si>
    <t>Uses of Funds:</t>
  </si>
  <si>
    <t>Equity Draw:</t>
  </si>
  <si>
    <t>Debt and Equity Draws:</t>
  </si>
  <si>
    <t>Units:</t>
  </si>
  <si>
    <t>Name</t>
  </si>
  <si>
    <t>Date</t>
  </si>
  <si>
    <t>Location:</t>
  </si>
  <si>
    <t>Project Name:</t>
  </si>
  <si>
    <t>%</t>
  </si>
  <si>
    <t>Construction Financing:</t>
  </si>
  <si>
    <t># Years</t>
  </si>
  <si>
    <t>Months in Year:</t>
  </si>
  <si>
    <t>#</t>
  </si>
  <si>
    <t>Sources &amp; Uses of Funds:</t>
  </si>
  <si>
    <t>Beginning Balance:</t>
  </si>
  <si>
    <t>Ending Balance:</t>
  </si>
  <si>
    <t>Beginning Debt Balance:</t>
  </si>
  <si>
    <t>Ending Debt Balance:</t>
  </si>
  <si>
    <t>Total Uses:</t>
  </si>
  <si>
    <t>Energy</t>
  </si>
  <si>
    <t>Total Revenue:</t>
  </si>
  <si>
    <t>EBITDA:</t>
  </si>
  <si>
    <t>Operating Assumptions:</t>
  </si>
  <si>
    <t>Tax Rate:</t>
  </si>
  <si>
    <t>(-) Repayment:</t>
  </si>
  <si>
    <t>(+) Draws:</t>
  </si>
  <si>
    <t>EBITDA</t>
  </si>
  <si>
    <t>Hours in Day:</t>
  </si>
  <si>
    <t>Annual Degradation Factor:</t>
  </si>
  <si>
    <t>Interest Rate - Annual:</t>
  </si>
  <si>
    <t>x</t>
  </si>
  <si>
    <t>(-) Debt Amortization (Sculpted):</t>
  </si>
  <si>
    <t>Maximum Debt Service Allowed:</t>
  </si>
  <si>
    <t>Total Returns to Equity:</t>
  </si>
  <si>
    <t>Invested Equity:</t>
  </si>
  <si>
    <t>Cash-on-Cash Multiple:</t>
  </si>
  <si>
    <t>Cash Flow to Equity Investors:</t>
  </si>
  <si>
    <t>(-) Interest Expense:</t>
  </si>
  <si>
    <t>Net Income</t>
  </si>
  <si>
    <t>Debt Service Coverage Ratio (DSCR):</t>
  </si>
  <si>
    <t>(+) Debt Interest Expense:</t>
  </si>
  <si>
    <t>(+) Debt Amortization (Sculpted):</t>
  </si>
  <si>
    <t>Total Debt Service:</t>
  </si>
  <si>
    <t>Construction Period:</t>
  </si>
  <si>
    <t>Development &amp; Construction Projections</t>
  </si>
  <si>
    <t>(+) Interest During Construction (IDC):</t>
  </si>
  <si>
    <t>Total:</t>
  </si>
  <si>
    <t>Interest During Construction (IDC):</t>
  </si>
  <si>
    <t>Net Capacity Factor:</t>
  </si>
  <si>
    <t>Units (kW to MW):</t>
  </si>
  <si>
    <t>Cash Flows:</t>
  </si>
  <si>
    <t>(-) Taxes:</t>
  </si>
  <si>
    <t>Pre-Tax Income (EBT):</t>
  </si>
  <si>
    <t>Debt Schedule:</t>
  </si>
  <si>
    <t>(+) Additional Loan Draw:</t>
  </si>
  <si>
    <t>Financing Assumptions:</t>
  </si>
  <si>
    <t>Upfront Loan Fee:</t>
  </si>
  <si>
    <t>(+) Upfront Loan Fees:</t>
  </si>
  <si>
    <t>(+) Loan Commitment Fees:</t>
  </si>
  <si>
    <t>Loan Fees:</t>
  </si>
  <si>
    <t>Returns Calculations:</t>
  </si>
  <si>
    <t>Asset Type:</t>
  </si>
  <si>
    <t>Equity IRR:</t>
  </si>
  <si>
    <t>Calendar Year 1:</t>
  </si>
  <si>
    <t>Calendar Year 2:</t>
  </si>
  <si>
    <t>Debt Draws % Total Funding:</t>
  </si>
  <si>
    <t>Total Construction Costs:</t>
  </si>
  <si>
    <t>Construction Start:</t>
  </si>
  <si>
    <t>Commercial Operation End:</t>
  </si>
  <si>
    <t>Operation Period:</t>
  </si>
  <si>
    <t>Total Cash Flows to Equity:</t>
  </si>
  <si>
    <t>(-) End of Life Debt Repayment:</t>
  </si>
  <si>
    <t>Timelines and Escalation Factors:</t>
  </si>
  <si>
    <t>Months in Quarter:</t>
  </si>
  <si>
    <t>Units (Million):</t>
  </si>
  <si>
    <t>Cash Flow Projections:</t>
  </si>
  <si>
    <t>Construction Costs:</t>
  </si>
  <si>
    <t>Selected:</t>
  </si>
  <si>
    <t>Operating Scenario:</t>
  </si>
  <si>
    <t>First Lien:</t>
  </si>
  <si>
    <t>Second Lien:</t>
  </si>
  <si>
    <t>Second Lien - % Total:</t>
  </si>
  <si>
    <t>Second Lien - Annual Interest Rate:</t>
  </si>
  <si>
    <t>First Lien - % Total:</t>
  </si>
  <si>
    <t>First Lien - Annual Interest Rate:</t>
  </si>
  <si>
    <t>Total Debt - Tenor:</t>
  </si>
  <si>
    <t>Total Allowed Debt (Minimum LLCR):</t>
  </si>
  <si>
    <t>Max Debt Service:</t>
  </si>
  <si>
    <t>Interest:</t>
  </si>
  <si>
    <t>Amortization:</t>
  </si>
  <si>
    <t># of Turbines:</t>
  </si>
  <si>
    <t>MW</t>
  </si>
  <si>
    <t>Days in Year:</t>
  </si>
  <si>
    <t>Electricity Rate Escalation Factor:</t>
  </si>
  <si>
    <t>£ / MWh</t>
  </si>
  <si>
    <t>Turbine Net Energy Yield:</t>
  </si>
  <si>
    <t>MWh / Quarter</t>
  </si>
  <si>
    <t>Initial Output Standard Deviation ("Uncertainty"):</t>
  </si>
  <si>
    <t>Calendar Year:</t>
  </si>
  <si>
    <t>Year</t>
  </si>
  <si>
    <t>New Year:</t>
  </si>
  <si>
    <t>Quarter of Calendar Year:</t>
  </si>
  <si>
    <t>Construction Period Flag:</t>
  </si>
  <si>
    <t>Refinancing Period Flag:</t>
  </si>
  <si>
    <t>Operations Period Flag:</t>
  </si>
  <si>
    <t>Annual Depreciation Rate:</t>
  </si>
  <si>
    <t>Calendar Year 3:</t>
  </si>
  <si>
    <t>Total Operational Turbines:</t>
  </si>
  <si>
    <t># Quarters</t>
  </si>
  <si>
    <t>Max Debt Draw:</t>
  </si>
  <si>
    <t>Undrawn Loan:</t>
  </si>
  <si>
    <t>Operational Assumptions by Scenario:</t>
  </si>
  <si>
    <t>Construction &amp; Operation Period (See Flags):</t>
  </si>
  <si>
    <t>(+/-) Change in Working Capital:</t>
  </si>
  <si>
    <t>£ / MW / Year</t>
  </si>
  <si>
    <t>£ / MW / Quarter</t>
  </si>
  <si>
    <t>(-) Cash Taxes:</t>
  </si>
  <si>
    <t>Beginning NOL Balance:</t>
  </si>
  <si>
    <t>(+) NOLs Created:</t>
  </si>
  <si>
    <t>(-) NOLs Used:</t>
  </si>
  <si>
    <t>Ending NOL Balance:</t>
  </si>
  <si>
    <t>Installed Capacity per Turbine:</t>
  </si>
  <si>
    <t>£ M</t>
  </si>
  <si>
    <t>(-) Depreciation of Initial Construction:</t>
  </si>
  <si>
    <t>Operational Turbine Count:</t>
  </si>
  <si>
    <t>Electricity Generation Flag:</t>
  </si>
  <si>
    <t>Electricity Generation Quarter #:</t>
  </si>
  <si>
    <t>(+) New Issuance:</t>
  </si>
  <si>
    <t>Refinancing Quarter #:</t>
  </si>
  <si>
    <t>"Local" LLCR:</t>
  </si>
  <si>
    <t>First Lien Debt:</t>
  </si>
  <si>
    <t>Second Lien Debt:</t>
  </si>
  <si>
    <t>Present Value of Cash Flow Available for Debt Service:</t>
  </si>
  <si>
    <t>First Lien Debt Balance:</t>
  </si>
  <si>
    <t>Second Lien Debt Balance:</t>
  </si>
  <si>
    <t>Commercial Operation Start:</t>
  </si>
  <si>
    <t>Median DSCR:</t>
  </si>
  <si>
    <t>Minimum DSCR:</t>
  </si>
  <si>
    <t>Development &amp; Construction Assumptions:</t>
  </si>
  <si>
    <t>Project Name, Units, and Production Drivers:</t>
  </si>
  <si>
    <t>Annual Gross Energy Output per Turbine:</t>
  </si>
  <si>
    <t>Annual Net Energy Output per Turbine:</t>
  </si>
  <si>
    <t>Permanent Loans:</t>
  </si>
  <si>
    <t>Sensitivity Tables:</t>
  </si>
  <si>
    <t>Operational Scenario:</t>
  </si>
  <si>
    <t>Quarterly Financial Model and Cash Flow Projections</t>
  </si>
  <si>
    <t>Electricity Rate (CfD or Wholesale Price):</t>
  </si>
  <si>
    <t>CfD Cases</t>
  </si>
  <si>
    <t>Quarters in Year:</t>
  </si>
  <si>
    <t>Weighted Average Interest Rate:</t>
  </si>
  <si>
    <t>First Lien - Quarterly Interest Rate:</t>
  </si>
  <si>
    <t>Second Lien - Quarterly Interest Rate:</t>
  </si>
  <si>
    <t>Working Capital % Quarterly Revenue:</t>
  </si>
  <si>
    <t>(-) Maintenance/Decommissioning CapEx:</t>
  </si>
  <si>
    <t>Construction Start Quarter:</t>
  </si>
  <si>
    <t>MWh</t>
  </si>
  <si>
    <t>Source</t>
  </si>
  <si>
    <t>Comments</t>
  </si>
  <si>
    <t>Page Number</t>
  </si>
  <si>
    <t>UK corporation tax rate for profits over £250,000</t>
  </si>
  <si>
    <t>RWE Press Release</t>
  </si>
  <si>
    <t>Vestas V236-15.0 MW offshore wind turbines</t>
  </si>
  <si>
    <t>DESNZ Arup Report</t>
  </si>
  <si>
    <t>6, 23</t>
  </si>
  <si>
    <t>Accounts for all relevant loss factors, including system availability (Wind Turbine Generator (WTG), Balance of Plant (BoP), and Grid), wake losses (internal and external), electrical system losses, turbine performance losses, and other secondary factor</t>
  </si>
  <si>
    <t>Published UK Offshore Wind Research</t>
  </si>
  <si>
    <t>Installed Capacity of Wind Farm</t>
  </si>
  <si>
    <t xml:space="preserve">For equity IRR and headline return to investors and investment thesis. Represents the expected outcome if you owned an asset across its full lifecycle </t>
  </si>
  <si>
    <t>For equity sensitivity analysis. Represents the outcome for a roughly bad year and to check if you still get a acceptable equity return</t>
  </si>
  <si>
    <t>For debt sizing case. Debt lenders want to ensure the project can service the debt in P90 year (once per decade). The DSCR must be above the covenant floor at event P90</t>
  </si>
  <si>
    <t>DESNZ Energy Trends: UK Renewables</t>
  </si>
  <si>
    <t>Tab 6_1</t>
  </si>
  <si>
    <t>Average offshore wind load factors used from 2015 Q2 to 2025 Q3 where offshore wind capacity is &gt; 5GW</t>
  </si>
  <si>
    <t>Link</t>
  </si>
  <si>
    <t>https://assets.publishing.service.gov.uk/media/6966a5c7e8c04eb2919f773d/lcoe-2024-offshore-wind.pdf</t>
  </si>
  <si>
    <t>https://www.gov.uk/government/statistics/energy-trends-section-6-renewables</t>
  </si>
  <si>
    <t>https://www.rwe.com/en/press/rwe-offshore-wind-gmbh/2026-02-20-rwe-and-vestas-agree-turbine-supply-agreement-for-vanguard-west-offshore-wind-farm/</t>
  </si>
  <si>
    <t>https://docs.nlr.gov/docs/fy21osti/79631.pdf</t>
  </si>
  <si>
    <t>Production Seasonality Profile (Q1)</t>
  </si>
  <si>
    <t>Production Generation Index (Q1)</t>
  </si>
  <si>
    <t>hours</t>
  </si>
  <si>
    <t>2160 hours in Q1</t>
  </si>
  <si>
    <t>Production Generation Index (Q2)</t>
  </si>
  <si>
    <t>Production Generation Index (Q3)</t>
  </si>
  <si>
    <t>Production Generation Index (Q4)</t>
  </si>
  <si>
    <t>Production Seasonality Avg Load Factor (Q1)</t>
  </si>
  <si>
    <t>Production Seasonality Avg Load Factor (Q2)</t>
  </si>
  <si>
    <t>Production Seasonality Avg Load Factor (Q3)</t>
  </si>
  <si>
    <t>Production Seasonality Avg Load Factor (Q4)</t>
  </si>
  <si>
    <t>Base case given modern offshore wind turbines and proactive O&amp;M (which would preserve output). Use 0.5% as a conservative case</t>
  </si>
  <si>
    <t>Financial Investment Decision:</t>
  </si>
  <si>
    <t>RWE is currently targeting a FID for both Vanguard projects in summer 2026</t>
  </si>
  <si>
    <t>Construction End Unit A, B and C:</t>
  </si>
  <si>
    <t>Number increased from press release to account for Unit B and Unit C</t>
  </si>
  <si>
    <t>Unit A, B and C have 1380, 90 and 75 MW respectively</t>
  </si>
  <si>
    <t>Construction Period 1</t>
  </si>
  <si>
    <t>Date / Turbines Installed</t>
  </si>
  <si>
    <t>Construction Period 2</t>
  </si>
  <si>
    <t>Construction Period 3</t>
  </si>
  <si>
    <t>Construction Period 4</t>
  </si>
  <si>
    <t>Construction Period 5</t>
  </si>
  <si>
    <t>Construction Period 6</t>
  </si>
  <si>
    <t>Construction Period 7</t>
  </si>
  <si>
    <t>Construction Period 8</t>
  </si>
  <si>
    <t xml:space="preserve">Average installation rate of turbines </t>
  </si>
  <si>
    <t># / Month</t>
  </si>
  <si>
    <t>Calculated from the construction schedule</t>
  </si>
  <si>
    <t>Capital costs during construction (Capex)</t>
  </si>
  <si>
    <t>Infrastructure Costs (Capex)</t>
  </si>
  <si>
    <t>Insurance (Opex)</t>
  </si>
  <si>
    <t>Connection and UoS charges (Opex)</t>
  </si>
  <si>
    <t>O&amp;M (Opex)</t>
  </si>
  <si>
    <t>£/kW</t>
  </si>
  <si>
    <t>Pre development (Devex)</t>
  </si>
  <si>
    <t>6, 29</t>
  </si>
  <si>
    <t>Includes project design, procurement, and EPC expenses. In addition, other capital costs such as site works, roads, and utility connection</t>
  </si>
  <si>
    <t>Cost of insuring the generation plant, protecting against risks associated with its operation and maintenance</t>
  </si>
  <si>
    <t>https://www.rwe.com/en/press/rwe-renewables/2021-02-08-rwe-successful-in-offshore-wind-leasing-round-4/</t>
  </si>
  <si>
    <t>https://www.offshorewind.biz/2021/02/08/total-gig-move-through-uks-leasing-round-4-with-1-5-gw-project/</t>
  </si>
  <si>
    <t>https://www.neso.energy/document/362106/download</t>
  </si>
  <si>
    <t>DESNZ Arup Report, NESO</t>
  </si>
  <si>
    <t>Development and Operating Assumptions:</t>
  </si>
  <si>
    <t>Escalation Factor for revenue:</t>
  </si>
  <si>
    <t>CfD projects are paid an inflation-adjusted strike price linked to the CPI and ensures the strike price stay in line with inflation changes</t>
  </si>
  <si>
    <t>Seabed lease (Opex)</t>
  </si>
  <si>
    <t>Escalation Factor for costs linked to CPI:</t>
  </si>
  <si>
    <t>Escalation Factor for costs linked to RPI:</t>
  </si>
  <si>
    <t>Assume these are 0.85% higher than CPI (BoE target of 2%) and apply to OFTO, seabed lease</t>
  </si>
  <si>
    <t>2184 hours in Q2</t>
  </si>
  <si>
    <t>2208 hours in Q3</t>
  </si>
  <si>
    <t>2208 hours in Q4</t>
  </si>
  <si>
    <t>Negative Annual Revenue Loss (2029-2032)</t>
  </si>
  <si>
    <t>Negative Annual Revenue Loss (2033-2037)</t>
  </si>
  <si>
    <t>Negative Annual Revenue Loss (2038-2044)</t>
  </si>
  <si>
    <t>Negative Annual Revenue Loss (2045-2049)</t>
  </si>
  <si>
    <t>From AR4 onwards, the government's negative pricing rule is such that generators are not paid any difference payments when the Intermittent Market Reference Price (IMPR) is negative for any single hour. The IMPR is the reference price that is set for each hour based on the results of auctions for power held, the generation weighted day-ahead. This is not the intraday or balancing market price. 
GB negative price hours: 2021 = 7 (0.08%), 2022 = 29 (0.33%), 2023 = 107 (1.22%), 2024 = 155 (1.77%), 2025 = 150-180 (estimated). Using this the values for the negative annual revenue loss has been estimated</t>
  </si>
  <si>
    <t>Assumption</t>
  </si>
  <si>
    <t>UK tax code</t>
  </si>
  <si>
    <t>Route to market fee (Opex)</t>
  </si>
  <si>
    <t>£/MWh</t>
  </si>
  <si>
    <t>Veyt Modelling</t>
  </si>
  <si>
    <t>https://veyt.com/press-releases/uk-ppa-press-release/</t>
  </si>
  <si>
    <t>Assume these are 0.5% higher than CPI (BoE target of 2%) and apply to O&amp;M, Insurance, decommissioning, route to market</t>
  </si>
  <si>
    <t>RWE press release</t>
  </si>
  <si>
    <t>Economic curtailment as the transmission network cannot physically accept all the power being generated. Therefore the generator cannot export to the grid. However GB curtailment problem is almost entirely a Scottish problem given 98% of the total constrained volume arises from Scottish wind farms. The Norfolk Vanguard project is in East Anglia and not a constrained zone given its proximity to demand centres. However the East Anglia corridor does face growing congestion risk as the large cluster of offshore wind farms grows which all connect into broadly the same corridor (Norfolk Vanguard East, East Anglia Two, East Anglia Three, Boreas). 
This value should be applied to AEP</t>
  </si>
  <si>
    <t>Construction debt in Europe for offshore wind typically covers approximately 60–70% of project cost during construction, with the equity not funding until debt has been fully drawn</t>
  </si>
  <si>
    <t>The upfront fee is a commission paid to the lenders to agree to lend money and spend the time required to assess the project and get the loan approved internally.  Typically 1.0–1.5% of total facility size for a large offshore wind construction facility.</t>
  </si>
  <si>
    <t xml:space="preserve">Charged on the undrawn portion of the facility between financial close and drawdown. Market standard for UK infrastructure is 35–50% of the construction margin on undrawn amounts. </t>
  </si>
  <si>
    <t>Debt Refinancing Period</t>
  </si>
  <si>
    <t xml:space="preserve">Institutional / Bond / EIB Debt (longer tenor, fixed rate) which is typically sourced from insurance companies, pension funds, and multilateral lenders (EIB, UK Infrastructure Bank). Normally have lower margins from bond finance </t>
  </si>
  <si>
    <t>Refinancing at COD is standard and expected. Bonds will typically be used to refinance operational wind farms to bring down the cost of debt and increase shareholder returns. This approach plays to the ability of banks to manage construction risk and of bond investors to provide long-term, efficient debt once successful operations have started. The refinancing serves three purposes simultaneously: it replaces the higher-margin construction debt with cheaper operational debt, it uplifts gearing from the construction level (70%) to the operational level (80%), and it typically allows equity investors to extract a special dividend from the incremental debt proceeds, the primary mechanism through which PE sponsors accelerate equity returns in infrastructure investments. Refinancing would be expected approximately 12–18 months post-COD (i.e. 2030–2031) once 12 months of operational performance data has been accumulated, satisfying lender performance requirements. 
Two tranches is indeed standard for large UK offshore wind operational financings, and the split reflects different lender appetites and debt market access rather than project-specific risk differentiation. Additionally, no single commercial bank market can absorb the full quantum at competitive pricing. The two-tranche structure allows the project to access both the bank market (comfortable with operational complexity and covenant monitoring) and the institutional/bond market (comfortable with long-dated fixed-income but less suited to active management).
- Tranche A — Commercial Bank Debt (shorter tenor, floating rate):
- Tranche B — Institutional / Bond / EIB Debt (longer tenor, fixed rate):</t>
  </si>
  <si>
    <t>Commercial Bank Debt (shorter tenor, floating rate) which is typically provided by a syndicate of 15–25 commercial banks, and fully amortising within the CfD term as well as sculpted to the DSCR profile. Lenders sizing debt against CfD cashflows will require principal to be substantially repaid before the CfD expires and merchant price exposure begins as they will not carry significant residual debt into the uncontracted merchant tail</t>
  </si>
  <si>
    <t>DSCR is calculated on the combined debt service of both tranches.  The covenant applies to aggregate cash flow available for debt service (CFADS) divided by aggregate scheduled interest plus principal in any period. A minimum DSCR of 1.30× is typically set in the term sheet to ensure sufficient cash headroom, with debt sculpting aligning principal repayments to the cash flow profile so that both high and low revenue periods meet coverage targets.</t>
  </si>
  <si>
    <t>Debt Service Reserve Account (DSRA)</t>
  </si>
  <si>
    <t>Major Maintenance Reserve Account (MMRA)</t>
  </si>
  <si>
    <t>Decommissioning Security</t>
  </si>
  <si>
    <t>Green Book</t>
  </si>
  <si>
    <t>£M/a</t>
  </si>
  <si>
    <t xml:space="preserve">MMRA is a forward-looking maintenance buffer that accumulates over the operating life to fund predictable but irregular large expenditure events, primarily blade replacement cycles, major bearing overhauls, and gearbox replacements in years 12–20 of operation.  MMRA is built up gradually from operating cashflow and is accounted for after the debt interest and principal payments are paid for. MMRA pot starts to build up after year 5 of operations and is CPI inflated. The major maintenance reserve account is usually funded up to a certain target balance, which might be set at six, 12, 18, or 24 months of future major maintenance capex, or even a fixed amount. </t>
  </si>
  <si>
    <t>Norfolk Vanguard West</t>
  </si>
  <si>
    <t>Norfolk England</t>
  </si>
  <si>
    <t>Production Seasonality Profile (Q2)</t>
  </si>
  <si>
    <t>Production Seasonality Profile (Q3)</t>
  </si>
  <si>
    <t>Production Seasonality Profile (Q4)</t>
  </si>
  <si>
    <t>CfD Expiry Date:</t>
  </si>
  <si>
    <t>CfD Period:</t>
  </si>
  <si>
    <t>DESNZ</t>
  </si>
  <si>
    <t>Long-life assets (defined as assets with a useful economic life of 25 years or more at the time of acquisition) are mandatorily allocated to the special rate pool at 6% per annum declining balance under CAA 2001 s.102. The 6% declining balance is what HMRC actually allows as a deduction against taxable income.</t>
  </si>
  <si>
    <t>Turbine Net Energy Yields (Annual) P50 - 50%</t>
  </si>
  <si>
    <t>Turbine Net Energy Yields (Annual) P75 - 25%</t>
  </si>
  <si>
    <t>Turbine Net Energy Yields (Annual) P90 - 10%</t>
  </si>
  <si>
    <t>Turbine Net Energy Yields (Annual) P99 - 1%</t>
  </si>
  <si>
    <t>P50</t>
  </si>
  <si>
    <t>Construction Capex:</t>
  </si>
  <si>
    <t>Infrastructure Capex:</t>
  </si>
  <si>
    <t>Second Lien Interest Rate:</t>
  </si>
  <si>
    <t>k£/MW/Year</t>
  </si>
  <si>
    <t>O&amp;M Opex:</t>
  </si>
  <si>
    <t>Connection and UoS charges Opex:</t>
  </si>
  <si>
    <t>Calendar Year 4:</t>
  </si>
  <si>
    <t>(+) Construction Capex Costs:</t>
  </si>
  <si>
    <t>(+) Infrastructure Capex Costs:</t>
  </si>
  <si>
    <t>£M</t>
  </si>
  <si>
    <t>(+) Contigency Costs:</t>
  </si>
  <si>
    <t>Percentage of Infrastructure Capex Costs:</t>
  </si>
  <si>
    <t>Percentage of Construction Capex Costs:</t>
  </si>
  <si>
    <t>Effectively quarterly rate where the rate is compounded 4 times to get the stated annual interest rate (i.e. 1 + 0.069)^1/4 - 1</t>
  </si>
  <si>
    <t>Calendar Year 5:</t>
  </si>
  <si>
    <t>Commitment Fee - Annually:</t>
  </si>
  <si>
    <t>Interest Rate - Quarterly:</t>
  </si>
  <si>
    <t>Total Construction Capex Costs:</t>
  </si>
  <si>
    <t>CfD expire and the project transitions to merchant pricing for the remaining operating life</t>
  </si>
  <si>
    <t>Under the CfD contract, each turbine becomes eligible for CfD difference payments from the date of its individual commissioning certificate, and not from the project-wide COD date. This means revenue but also costs can start flowing through the offshore construction phase</t>
  </si>
  <si>
    <t>Theoretical maximum energy produced if every turbine operated perfectly, with no losses, downtime, interference</t>
  </si>
  <si>
    <t>Given revenue is almost entirely a function of how much wind blows which is uncertain, a P-value framework is used to quantify the uncertainty (via treating annual energy output probability distribution = If you modelled the annual energy output over 1000s of hypothetical years).  
IAV uncertainty of 4% (Potisomporn et al. 2022, UK Offshore specific) and model uncertainty of 6% (conservative mid-point, Lee &amp; Fields 2021) combined give you a uncertainty of 7%</t>
  </si>
  <si>
    <t>For worst case scenario. Used to answer 2 questions: 
1) Can the project survive a P99 year without breaching debt covenants or requiring equity payments
2) Does the project generate enough cash flow to cover fixed obligations (debt service, O&amp;M, insurance) without drawing on reserves</t>
  </si>
  <si>
    <t xml:space="preserve">Construction ramp rate greater in the spring/summer windows. These date also reflect when the turbines are installed and commissioned </t>
  </si>
  <si>
    <t>Conservative number which is likely used for evaluation purposes, even though DESNZ-Arup article notes 35 years (which is what developers told they are designing to but perhaps not modelling or likely to be the operational window that lenders are comfortable with</t>
  </si>
  <si>
    <t>By financial close (when contracts are signed), a residual contingency of 5–10% of contracted CAPEX remains appropriate for uncontracted items, owner's costs, and unforeseen condition. However Arup capital costs include contingency, however there may be a difference between what developers typically spend and what they could be exposed to. Therefore a residual value of 2.5% is used in the base case</t>
  </si>
  <si>
    <t>Fixed (e.g. labour, planned maintenance, a limited number of unplanned maintenance activities, spares, and consumables) and variable (related to output and include additional O&amp;M expenditures, although these are generally not significant to renewable energy projects) O&amp;M have been combined into a single O&amp;M figure. Arup noted that fixed O&amp;M costs to decrease by 5.5% of 2023 values in 2025, however this was not considered given O&amp;M costs are not broken down between fixed and variable</t>
  </si>
  <si>
    <t>The decommissioning reserve is legally required under the Energy Act 2004 and the terms of the Crown Estate lease. The project makes annual contributions to a ring-fenced escrow account throughout the operating life, building toward the total estimated decommissioning cost by year 30. The annual contribution is calculated by back-solving from the target fund value (Decommissioning at today's price + escalated at CPI to year 30). The annual contribution is from approx. year 5 onwards. This value should also earn an interest in escrow</t>
  </si>
  <si>
    <t>CPI Cost Escalation Factor:</t>
  </si>
  <si>
    <t>RPI Cost Escalation Factor:</t>
  </si>
  <si>
    <t>Cumulative Degradation Factor:</t>
  </si>
  <si>
    <t>Hours in Q1:</t>
  </si>
  <si>
    <t>Hours in Q2:</t>
  </si>
  <si>
    <t>Hours in Q3:</t>
  </si>
  <si>
    <t>Hours in Q4:</t>
  </si>
  <si>
    <t>Quarterly Load Factor:</t>
  </si>
  <si>
    <t>Seasonality Adjusted Net Energy Yield per Turbine:</t>
  </si>
  <si>
    <t>P-Value Adjusted Net Energy Yield per Turbine:</t>
  </si>
  <si>
    <t>Degradation Adjusted Net Energy Yield per Turbine:</t>
  </si>
  <si>
    <t>Curtailment:</t>
  </si>
  <si>
    <t>Curtailment Period 1 (2029-2034)</t>
  </si>
  <si>
    <t>Curtailment Period 2 (2035-2044)</t>
  </si>
  <si>
    <t>Curtailment Period 1 End Date</t>
  </si>
  <si>
    <t>Curtailment Period 2 End Date</t>
  </si>
  <si>
    <t>Curtailment Period 3 End Date</t>
  </si>
  <si>
    <t>Curtailment Period 3 (2045 and beyond)</t>
  </si>
  <si>
    <t xml:space="preserve">Curtailment Adjusted Net Energy Yield per Turbine: </t>
  </si>
  <si>
    <t>Escalated Insurance Cost:</t>
  </si>
  <si>
    <t>Escalated O&amp;M Cost:</t>
  </si>
  <si>
    <t>Escalated Seabed Lease Cost:</t>
  </si>
  <si>
    <t>Escalated Route to Market Fee:</t>
  </si>
  <si>
    <t>Escalated Electricity Rate CfD:</t>
  </si>
  <si>
    <t>Escalated Electricity Rate Merchant Market:</t>
  </si>
  <si>
    <t>DESNZ Annex M</t>
  </si>
  <si>
    <t>https://www.gov.uk/government/publications/energy-and-emissions-projections-2023-to-2050</t>
  </si>
  <si>
    <t xml:space="preserve">Strike Price for AR7 at 2024 prices is 91.2 £/MWh. OBR CPI rate for 2025 is 3.2% </t>
  </si>
  <si>
    <t>CfD Strike Price in 2026</t>
  </si>
  <si>
    <t>Wholesale electricity market price in 2026</t>
  </si>
  <si>
    <t>Merit order discount in 2045-2050</t>
  </si>
  <si>
    <t>Negative Annual Revenue Loss (2050-Beyond)</t>
  </si>
  <si>
    <t>`</t>
  </si>
  <si>
    <t>Annual Revenue Loss Adjusted Net Energy Yield per Turbine:</t>
  </si>
  <si>
    <t>Annual Revenue Loss:</t>
  </si>
  <si>
    <t>Negative Annual Revenue Loss Period 1 End Date</t>
  </si>
  <si>
    <t>Negative Annual Revenue Loss Period 2 End Date</t>
  </si>
  <si>
    <t>Negative Annual Revenue Loss Period 3 End Date</t>
  </si>
  <si>
    <t>Negative Annual Revenue Loss Period 4 End Date</t>
  </si>
  <si>
    <t>Negative Annual Revenue Loss Period 5 End Date</t>
  </si>
  <si>
    <t>Total Electricity Generation (All Turbines - Revenue, Route-to-Market Fee):</t>
  </si>
  <si>
    <t>Total Electricity Generation (All Turbines - Insurance, O&amp;M, Connection and UoS, Seabed):</t>
  </si>
  <si>
    <t>MW / Quarter</t>
  </si>
  <si>
    <t>Mandatory cash buffer that the project must maintain at all times, held in a blocked account that only lenders can release. The standard requirement is six months of forward debt service meaning at any point in time, the project must hold enough cash in the DSRA to pay the next six months of interest and principal, even if the wind farm generates zero revenue. At loan maturity, the DSRA balance is released, it becomes distributable cash to equity at the point of final debt repayment. To be held after refinancing close</t>
  </si>
  <si>
    <t>£M/Quarter</t>
  </si>
  <si>
    <t>(-) Insurance Costs:</t>
  </si>
  <si>
    <t>Escalated Connection and UoS Charges Cost:</t>
  </si>
  <si>
    <t>(-) Connection and UoS Charges Costs:</t>
  </si>
  <si>
    <t>(-) O&amp;M Costs:</t>
  </si>
  <si>
    <t>(-) Seabed Lease Costs:</t>
  </si>
  <si>
    <t>(-) Route to Market Costs:</t>
  </si>
  <si>
    <t>(-) Interest During Construction Depreciation:</t>
  </si>
  <si>
    <t>(-) Upfront Loan Fees Amortisation:</t>
  </si>
  <si>
    <t>Quarterly Depreciation Rate:</t>
  </si>
  <si>
    <t>Annual Amortisation Rate:</t>
  </si>
  <si>
    <t>Straight line over the debt tenor (assumed to be 20 years)</t>
  </si>
  <si>
    <t>Decommissioning (Opex)</t>
  </si>
  <si>
    <t>k£/MW</t>
  </si>
  <si>
    <t>Costs involve the expenses related to safely dismantling and removing infrastructure of an offshore wind farm at the end of its operational life. Arup medium scenario looks low, whereas BVGA/Grant Thornton recommendation is £255/kW.</t>
  </si>
  <si>
    <t>DESNZ GT Report</t>
  </si>
  <si>
    <t>Min LLCR (and DSCR):</t>
  </si>
  <si>
    <t>Cash Flow to Equity Investors (exc specific conditions):</t>
  </si>
  <si>
    <t>DSCR Test (CFADS / Total Debt Service in Period):</t>
  </si>
  <si>
    <t xml:space="preserve">Major Maintenance Reserve Account </t>
  </si>
  <si>
    <t>MMRA start date (5 years after operation)</t>
  </si>
  <si>
    <t>Pre-development cost valuation multiple</t>
  </si>
  <si>
    <t>Lock up Covenant Upper Limit</t>
  </si>
  <si>
    <t>Cash Sweep Upper Limit</t>
  </si>
  <si>
    <t>months</t>
  </si>
  <si>
    <t xml:space="preserve">Debt Service Reserve Account </t>
  </si>
  <si>
    <t>Default DSCR</t>
  </si>
  <si>
    <t>DSCR &lt; 1.1 (Extra Injection)</t>
  </si>
  <si>
    <t>Equity injection by the investor. So if DSCR falls below this investors provides extra cash to the bare minimum level to "cure the default" and move the project back into the cash sweep or lock-up zone phase.</t>
  </si>
  <si>
    <t>Cash sweep is a mandatory early debt repayment mechanism triggered when the DSCR falls within a specific range between 1.1 and 1.2x. Rather than allowing the project to accumulate cash or distribute it to equity, the sweep forces surplus cash to be applied against the outstanding loan balance ahead of the scheduled repayment profile. It is triggered by moderate underperformance or volatility, the project is still servicing its debt, but the margin of safety is thin enough that lenders want the loan paid down faster to restore headroom</t>
  </si>
  <si>
    <t>DSCR &lt; 1.2 (Cash Sweep)</t>
  </si>
  <si>
    <t>DSCR &lt; 1.3 (Lock Up Covenant)</t>
  </si>
  <si>
    <t>DSCR &gt;= 1.3 (Cash Distribution)</t>
  </si>
  <si>
    <t>Capex Contingency</t>
  </si>
  <si>
    <t xml:space="preserve">Payment cycle between the generator and the LCCC is monthly payment cycle (31% of quarterly revenue). The trade payables (amounts owned to O&amp;M, contractors, seabed lease, insurance) is also typically settled in 30 days terms. This means Opex costs are 20-25% of quarterly revenue. Therefore 31% quarterly revenue Accounts Receivables - 8% quarterly Accounts Payable = ~25% of Quarterly Revenue  </t>
  </si>
  <si>
    <t>Capex Contingency:</t>
  </si>
  <si>
    <t>Lock-up covenant is a distribution blocker and the first preventive measure when a project is underperforming. If the DSCR falls between the limits, cash that would normally be distributed to equity investors is instead held in a distribution lock up. The results in a build of a cash buffer inside the project company until the DSCR returns to a "healthy" level (normally 2 consecutive periods). This may result in a lump sump release.</t>
  </si>
  <si>
    <t>MMRA / Decommissioning Fund Start Date</t>
  </si>
  <si>
    <t>Assume all work is completed by Q1 2029 (taking into account weather windows, vessel availability, seasonal constraints). AR7 results note 2028/29</t>
  </si>
  <si>
    <t>Median DSCR</t>
  </si>
  <si>
    <t>Minimum DSCR</t>
  </si>
  <si>
    <t>Cash on cash multiple</t>
  </si>
  <si>
    <t>Total Invest Equity</t>
  </si>
  <si>
    <t>Cash Flow Available for Debt Service (CFADS Post Tax):</t>
  </si>
  <si>
    <t>Opening Balance:</t>
  </si>
  <si>
    <t>Closing Balance:</t>
  </si>
  <si>
    <t>Target Balance Required:</t>
  </si>
  <si>
    <t>(+) Debt Service Reserve Account Costs:</t>
  </si>
  <si>
    <t>Max Excess DSRA Release to Cash Flow in this Quarter:</t>
  </si>
  <si>
    <t>Closing Balance before Excess Cash Release:</t>
  </si>
  <si>
    <t>Major Maintenance Reserve Account:</t>
  </si>
  <si>
    <t>Decommissioning Security:</t>
  </si>
  <si>
    <t>Capex per Quarter:</t>
  </si>
  <si>
    <t>Interest During Construction per Quarter:</t>
  </si>
  <si>
    <t>Loan Fee per Quarter:</t>
  </si>
  <si>
    <t>Refinancing Fee - Annually:</t>
  </si>
  <si>
    <t>At refinancing close, the borrower pays an upfront arrangement fee to the new lenders, typically 1.0–1.5% of the new facility</t>
  </si>
  <si>
    <t>Target Balance:</t>
  </si>
  <si>
    <t>MMRA Funding Needed:</t>
  </si>
  <si>
    <t xml:space="preserve">Decomissioning Reserve Account </t>
  </si>
  <si>
    <t>Decomissioning Per Quarter:</t>
  </si>
  <si>
    <t>DSR Funding Needed:</t>
  </si>
  <si>
    <t>DRA Interest:</t>
  </si>
  <si>
    <t>Quarterly DSR Rate:</t>
  </si>
  <si>
    <t>Actual Cash to Equity Investors Distributed after DSCR Covenants:</t>
  </si>
  <si>
    <t>Calculated</t>
  </si>
  <si>
    <t>(+) Cash Flows to Equity Investors (from CFADS Waterfall):</t>
  </si>
  <si>
    <t>(+/-) Net Refinancing Proceeds (from Construction Loan):</t>
  </si>
  <si>
    <t>(+) Decommissioning Reserve (Recouped):</t>
  </si>
  <si>
    <t>(-) Initial Equity Invested during Construction:</t>
  </si>
  <si>
    <t>Purchase price for the offshore wind farm in Devex phase</t>
  </si>
  <si>
    <t>Construction Loan Draw
(Without Repayment during Construction):</t>
  </si>
  <si>
    <t>Construction Loan Draw
(Repayment during Construction):</t>
  </si>
  <si>
    <t>(-) DSRA Funding</t>
  </si>
  <si>
    <t>(+) DSRA Withdrawls</t>
  </si>
  <si>
    <t>(+) Excess DSRA Release to Cash Flow</t>
  </si>
  <si>
    <t>(-) DSRA Cash Withheld:</t>
  </si>
  <si>
    <t>(-) MMRA Funding:</t>
  </si>
  <si>
    <t>(-) DRA Funding:</t>
  </si>
  <si>
    <t>(-) DSCR Lock Up (No Distribution):</t>
  </si>
  <si>
    <t>(-) Pre-COD CFADS Swept to Construction Loan (Early Repayment)</t>
  </si>
  <si>
    <t>Pre-Tax Cash Flow Available for Debt Service
(CFADS Pre-Tax used for Sculpting, DSRA and Equity Withdrawls):</t>
  </si>
  <si>
    <t>Early Repayment during Construction Phase</t>
  </si>
  <si>
    <t>DSRA Top-Up</t>
  </si>
  <si>
    <t>Cash Flow Post DSRA (without Cash Withheld):</t>
  </si>
  <si>
    <t>DSRA Funding Available (Based on Balance Difference and CFADS):</t>
  </si>
  <si>
    <t>DSRA Top Needed:</t>
  </si>
  <si>
    <t xml:space="preserve">DSRA Withdrawl to Service Debt in this Quarter: </t>
  </si>
  <si>
    <t>Debt / Major Maintenance Reserve Account Interest Rate</t>
  </si>
  <si>
    <t>MMRA Required Quarterly Contribution:</t>
  </si>
  <si>
    <t>Cash Flow Post Debt Service (CFPDS)</t>
  </si>
  <si>
    <t>Cash Flow Post-MMRA Funding:</t>
  </si>
  <si>
    <t>Cash Flow Post-DSRA Funding:</t>
  </si>
  <si>
    <t>Cash Flow Post Decomissioning Reserve Funding:</t>
  </si>
  <si>
    <t>Lock Up Covenant Opening Balance:</t>
  </si>
  <si>
    <t>Lock Up Covenant Closing Balance:</t>
  </si>
  <si>
    <t>Lock Up Covenant Withdrawl:</t>
  </si>
  <si>
    <t>(+) DSCR Lock Up (Distribution to Equity Investors):</t>
  </si>
  <si>
    <t>Lock Up Covenant That Cannot Be Distributed:</t>
  </si>
  <si>
    <t>(-) DSCR Extra Injection:</t>
  </si>
  <si>
    <t>(-) DSCR Cash Sweep:</t>
  </si>
  <si>
    <t>Ownership</t>
  </si>
  <si>
    <t>KKR equity stake is 50%</t>
  </si>
  <si>
    <t>Derived from the fixed rate of an interest rate swap plus the credit margin, which is negotiated between the borrower and lenders. Construction loans are drawn floating (SONIA + margin) and then swapped to fixed at financial close to eliminate interest rate risk during construction. Additionally, since 2022, rising supply chain costs, higher interest rates, and increased risks associated with constructing and operating large offshore wind projects have caused lenders to reprice construction risk upwards. Therefore the interest rate is calculated as:
- Current SONIA = 3.75% (Bank of England March 2026 with SONIA 5-10 bps)
- Construction margin = 200-250 bps (assume higher end due to economic and geopolitical climate)</t>
  </si>
  <si>
    <t>Based on forward SONIA swap rate of 3.75% and commercial bank margin of 185-210 bps. Revised up due to current market conditions</t>
  </si>
  <si>
    <t>Based on forward 20-year UK gilt of 5.5% and institutional/EIB spread of 110-115 bps. Revised up due to current market conditions</t>
  </si>
  <si>
    <t>In January 2026, Reuters reported that KKR paid approximately $1.8 billion (£1.43 billion) for a 50% stake in the two Vanguard projects (3.1 GW total). This implies a 100% "Development Equity Value" of roughly £2.86 billion for the two sites at the point of FID. While this provides a reference point, there is only one source and therefore not used</t>
  </si>
  <si>
    <t>4, 13</t>
  </si>
  <si>
    <t>(+) Terminal Value at Exit (Recouped)</t>
  </si>
  <si>
    <t>Expenses associated with leasing seabed areas from The Crown Estate for the installation and operation of offshore wind turbines. This project was first owned by Vattenfall when they secured the seabed license in the UK Offshore Wind Leasing Round 3 by The Crown Estate. There are no values for Round 3, but it is noted that the seabed lease costs are significantly lower than the Round 4 costs which were £82,552/MW/year for RWE or £83,000/MW/year for Total. Assume Round 3 is 5% o the costs of Round 4</t>
  </si>
  <si>
    <t>Decommissioning Reserve Account Interest Rate</t>
  </si>
  <si>
    <t>Decommissioning Reserve Account  put in a higher interest rate account given its not needed until the CfD expiry period</t>
  </si>
  <si>
    <t>Main component is the Offshore Local TnUoS (OFTO charge), where Offshore Transmission Owners (OFTOs) operate and maintain offshore electric power transmission infrastructure delivering electrical power from offshore wind farms to the National Grid. Weighted average is taken for these OFTO costs (for 26/27) based on their capacity and used to sense check Arup number:
- East Anglia 1: 714 MW = 13.794649 + 58.160449 = 71.955098 £/kW = 51,375 (weighted contribution £/kW x MW)
- Sheringham Shoal: 317 MW = 34.666415 + 40.811823 = 75.478238 £/kW = 23,926 (weighted contribution £/kW x MW)
- Dudgeon: 402 MW = 22.039112 + 34.557346 = 56.595458 £/kW = 22,751 (weighted contribution £/kW x MW)
Taking a weighted average results in a £63.4/kW or £63.4k/MW/annum (98,052 / 1545 MW).
NESO comparables analysis yields £63.4 k/MW/a but these projects have significantly shorter cable runs (22–45km vs 125km for Norfolk Vanguard). East Anglia 1 project value has been used as the project is similar in size (714 MW) and the length of the offshore connection is similar 73/47km offshore + 60km onshore vs 85 km offshore + 37km onshore)</t>
  </si>
  <si>
    <t xml:space="preserve">As renewable capacity grows towards 2049, zero-marginal-cost wind and solar increasingly set the wholesale price during daylight and high-wind hours. Gas which currently sets the marginal price for the majority of hours will become progressively smaller share of the dispatch stack. Furthermore given an offshore wind farm doesn't earn the baseload average — it earns the "captured" price, which reflects the fact that it generates most during windy periods when wholesale prices are depressed. Current capture discounts for UK offshore wind are in the range of 10–20% below baseload. By the 2050s, with much higher renewable penetration, this discount is likely to widen. A reasonable assumption is a 15–25% capture discount.Assuming 20% discount </t>
  </si>
  <si>
    <t>DESNZ publishes energy and emissions projections based on assumptions of future economic growth, fossil fuel prices, electricity generation costs, and other key variables. The accompanying Annex M provides wholesale electricity price projections under low, central, and high fossil fuel price scenarios. DThe DESNZ reference scenario projects wholesale baseload electricity prices falling steadily, reaching below 5p/kWh (i.e. below £50/MWh) by 2030 in real 2022 terms. This is a reasonable central assumption for the average annual UK wholesale baseload electricity price in the 2050s is approximately £50–60/MWh in 2024 real prices, and so £55/MWh (real 2024) or 57.8 (2026 terms) used as a central case.</t>
  </si>
  <si>
    <t>Terminal Exit Date:</t>
  </si>
  <si>
    <t>Exit Multiple</t>
  </si>
  <si>
    <t>The generator physically delivers power into the grid. The route-to-market PPA counterparty buys that power and pays the generator the PPA price for each MWh delivered. Thus, the PPA counterparty provides a commercial service by aggregating the generator's output, managing imbalance exposure, handling settlement, and providing credit support. They charge for this. The fee is typically structured as a deduction from the IMRP. This is because the PPA counterparty takes on the obligation to buy whatever the wind farm actually produces in real time, which will never exactly match the day-ahead forecast. The difference between forecast and actual output in each settlement period creates imbalance charges that the PPA counterparty incurs and typically passes through (partially or fully) to the generator as an additional deduction from the PPA price.
Typical RtM fees for UK offshore wind projects currently fall in the range of £1.50 to £3.00/MWh, with most large-scale CfD projects achieving fees closer to £1.50 to £2.00/MWh. Smaller or less established projects, or those with less competitive PPA tender processes, tend to sit at £2.50-£3.00/MWh.The RtM fee tends to be at the lower end of the range for large projects because the sheer volume makes it commercially attractive for PPA counterparties (competitive bidding drives the fee down), and the project's scale allows for portfolio diversification effects within the counterparty's book</t>
  </si>
  <si>
    <t>30 year period for the offshore wind farm</t>
  </si>
  <si>
    <t>Exit timing of PE firm is normally completed within first 5-7 years of operations as PE firms look to extract a dividend to equity at refinancing which is the primary mechanism through which PE sponsors accelerate infrastructure returns. Also a PE firm's equity IRR is a function of when they crystallise the exit multiple, not just the absolute quantum. Selling at 12–14x EBITDA in year 3 of operations (with 17 years of CfD remaining) generates a vastly higher equity IRR than selling at 10× in year 10, even though the total cash returned might be similar. Furthermore Post-COD with 1–2 years of operational data, the asset is perfectly positioned for pension funds, insurance companies, and infrastructure yield vehicles that want low-risk, long-duration, inflation-linked cash flows. These buyers have a lower cost of capital than KKR (they're targeting 5–7% returns vs KKR's 10–12%), so they can pay a premium that generates attractive returns for KKR</t>
  </si>
  <si>
    <t>For a project that has secured CfD and nearing FID, the valuation multiples from various sources are: 1) KPMG Offshore Wind in Europe 2019 is 1.5x to 2.5x, 2) Green Giraffe Offshore Wind Finance Update 2019 1.8x to 2.2x, 3) 4C Offshore 2x, 4) FTI Global Wind Market Update 2024 is 1.8x to 2.3x, 5) Wood Mackenzie suggest 1.9x to 2.4x</t>
  </si>
  <si>
    <t>Operation Period Debt</t>
  </si>
  <si>
    <t>Operations Period Gearing Ratio</t>
  </si>
  <si>
    <t>Construction Period Debt</t>
  </si>
  <si>
    <t>Construction Period Gearing Ratio</t>
  </si>
  <si>
    <t>Net Refinancing Proceeds (from Construction Loan)</t>
  </si>
  <si>
    <t>Terminal Value at Exit (Recouped)</t>
  </si>
  <si>
    <t>Construction Period Debt:</t>
  </si>
  <si>
    <t>Construction Period Gearing Ratio:</t>
  </si>
  <si>
    <t>Operation Period Debt:</t>
  </si>
  <si>
    <t>Operations Period Gearing Ratio:</t>
  </si>
  <si>
    <t>Total Invest Equity:</t>
  </si>
  <si>
    <t>Equity IRR</t>
  </si>
  <si>
    <t>Cash on cash multiple:</t>
  </si>
  <si>
    <t>Net Refinancing Proceeds (from Construction Loan):</t>
  </si>
  <si>
    <t>Terminal Value at Exit (Recouped):</t>
  </si>
  <si>
    <t>CfD Base P50</t>
  </si>
  <si>
    <t>CfD P75</t>
  </si>
  <si>
    <t>CfD P90</t>
  </si>
  <si>
    <t>CfD P99</t>
  </si>
  <si>
    <t>P75</t>
  </si>
  <si>
    <t>P90</t>
  </si>
  <si>
    <t>P99</t>
  </si>
  <si>
    <t>Case</t>
  </si>
  <si>
    <t>Capex Contigency - 1</t>
  </si>
  <si>
    <t>Value</t>
  </si>
  <si>
    <t>Scenario</t>
  </si>
  <si>
    <t xml:space="preserve">Net Refinancing Proceeds </t>
  </si>
  <si>
    <t xml:space="preserve">Terminal Value at Exit </t>
  </si>
  <si>
    <t>Capex Contigency - 2</t>
  </si>
  <si>
    <t>O&amp;M Opex - 1</t>
  </si>
  <si>
    <t>O&amp;M Opex - 2</t>
  </si>
  <si>
    <t>Connection &amp; UoS Opex - 1</t>
  </si>
  <si>
    <t>Connection &amp; UoS Opex - 2</t>
  </si>
  <si>
    <t>First Lien Interest Rate:</t>
  </si>
  <si>
    <t>First Lien Interest Rate - 1</t>
  </si>
  <si>
    <t>First Lien Interest Rate - 2</t>
  </si>
  <si>
    <t>Second Lien Interest Rate - 1</t>
  </si>
  <si>
    <t>Second Lien Interest Rate - 2</t>
  </si>
  <si>
    <t>Electricity Rate Escalation Factor - 1</t>
  </si>
  <si>
    <t>Electricity Rate Escalation Factor - 2</t>
  </si>
  <si>
    <t>6, 15</t>
  </si>
  <si>
    <t>Construction Debt Interest Rate</t>
  </si>
  <si>
    <t>Annual Degradation Factor</t>
  </si>
  <si>
    <t>Construction Capex - 1</t>
  </si>
  <si>
    <t>Construction Capex - 2</t>
  </si>
  <si>
    <t>Infrastructure Capex - 1</t>
  </si>
  <si>
    <t>Infrastructure Capex - 2</t>
  </si>
  <si>
    <t>Construction Debt Interest Rate - 1</t>
  </si>
  <si>
    <t>Construction Debt Interest Rate - 2</t>
  </si>
  <si>
    <t>Annual Degradation Factor - 1</t>
  </si>
  <si>
    <t>Annual Degradation Factor - 2</t>
  </si>
  <si>
    <t>Gearing Ratio</t>
  </si>
  <si>
    <t>Base P50</t>
  </si>
  <si>
    <t>Base P75</t>
  </si>
  <si>
    <t>Base P99</t>
  </si>
  <si>
    <t>Base P90</t>
  </si>
  <si>
    <t>-</t>
  </si>
  <si>
    <t>Favourable</t>
  </si>
  <si>
    <t>Adverse</t>
  </si>
  <si>
    <t xml:space="preserve">Capex Contigency </t>
  </si>
  <si>
    <t xml:space="preserve">Construction Capex </t>
  </si>
  <si>
    <t xml:space="preserve">Infrastructure Capex </t>
  </si>
  <si>
    <t xml:space="preserve">O&amp;M Opex </t>
  </si>
  <si>
    <t>Connection &amp; UoS Opex</t>
  </si>
  <si>
    <t xml:space="preserve">Construction Debt Interest Rate </t>
  </si>
  <si>
    <t xml:space="preserve">First Lien Interest Rate </t>
  </si>
  <si>
    <t>Second Lien Interest Rate</t>
  </si>
  <si>
    <t xml:space="preserve">Electricity Rate Escalation Factor </t>
  </si>
  <si>
    <t>Base case: Capex contigency of 2.5%, Construction Capex of 2524 (£/kW), Infrastructure Capex of 550 (£/kW), O&amp;M Opex of 41 (£ / MW / Year), Connection &amp; UoS Opex of 72 (£ / MW / Year), Construction Debt Interest Rate of 5.85%, First Lien Interest Rate of 5.9%, Second Lien Interest Rate of 6.6%, Electricity Rate Escalation Factor of 2%, Annual Degradation Factor of 0.2%</t>
  </si>
  <si>
    <t>Variable</t>
  </si>
  <si>
    <t>Capex Contigency - 3</t>
  </si>
  <si>
    <t>O&amp;M (33.5 k£/MW/a)</t>
  </si>
  <si>
    <t>O&amp;M (54.5 k£/MW/a)</t>
  </si>
  <si>
    <t>Connection &amp; UoS (86.4 k£/MW/a)</t>
  </si>
  <si>
    <t>Electricity Escalation Factor (1.5%)</t>
  </si>
  <si>
    <t>Electricity Escalation Factor (2.5%)</t>
  </si>
  <si>
    <t>Annual Degradation Factor (0.17%)</t>
  </si>
  <si>
    <t>Construction Debt Interest (6.4%)</t>
  </si>
  <si>
    <t>Infrastructure Capex (678 £/kW)</t>
  </si>
  <si>
    <t>Construction Capex (3063 £/kW)</t>
  </si>
  <si>
    <t>Net Refinancing Proceeds as % of Total Invested Equity</t>
  </si>
  <si>
    <t>Base</t>
  </si>
  <si>
    <t>Capex Contigency (5%)</t>
  </si>
  <si>
    <t>First Lien Interest (6.2%)</t>
  </si>
  <si>
    <t>Second Lien Interest (6.9%)</t>
  </si>
  <si>
    <t>Annual Degradation Factor (0.5%)</t>
  </si>
  <si>
    <t xml:space="preserve">Minimum DSCR </t>
  </si>
  <si>
    <t>Cases</t>
  </si>
  <si>
    <t>Electricity Escalation
Factor (1.5%)</t>
  </si>
  <si>
    <t>Connection &amp; UoS
(86.4 k£/MW/a)</t>
  </si>
  <si>
    <t>Annual Degradation
Factor (0.5 %)</t>
  </si>
  <si>
    <t>Annual Degradation
Factor (0.17%)</t>
  </si>
  <si>
    <t>Connection &amp; UoS
(63.4 k£/MW/a)</t>
  </si>
  <si>
    <t>Electricity Escalation
Factor (2.5%)</t>
  </si>
  <si>
    <t>Construction Capex
(3063 £/kW)</t>
  </si>
  <si>
    <t>Infrastructure Capex
(678 £/kW)</t>
  </si>
  <si>
    <t>Construction Debt
Interest (6.4%)</t>
  </si>
  <si>
    <t>Construction Debt
Interest (5.6%)</t>
  </si>
  <si>
    <t>Infrastructure Capex
(472 £/kW)</t>
  </si>
  <si>
    <t>Construction Capex
(2148 £/kW)</t>
  </si>
  <si>
    <t>P50 DSCR</t>
  </si>
  <si>
    <t>P90 DSCR</t>
  </si>
  <si>
    <t>Y1</t>
  </si>
  <si>
    <t>Y2</t>
  </si>
  <si>
    <t>Y3</t>
  </si>
  <si>
    <t>Y4</t>
  </si>
  <si>
    <t>Y5</t>
  </si>
  <si>
    <t>Y6</t>
  </si>
  <si>
    <t>Y7</t>
  </si>
  <si>
    <t>Y8</t>
  </si>
  <si>
    <t>Y9</t>
  </si>
  <si>
    <t>Y10</t>
  </si>
  <si>
    <t>Y11</t>
  </si>
  <si>
    <t>Y12</t>
  </si>
  <si>
    <t>Y13</t>
  </si>
  <si>
    <t>Y14</t>
  </si>
  <si>
    <t>Y15</t>
  </si>
  <si>
    <t>Y16</t>
  </si>
  <si>
    <t>Y17</t>
  </si>
  <si>
    <t>Y18</t>
  </si>
  <si>
    <t>Y19</t>
  </si>
  <si>
    <t>P75 DSCR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</si>
  <si>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</si>
  <si>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</si>
  <si>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</si>
  <si>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</si>
  <si>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</si>
  <si>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</si>
  <si>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</si>
  <si>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</si>
  <si>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</si>
  <si>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</si>
  <si>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</si>
  <si>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</si>
  <si>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</si>
  <si>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</si>
  <si>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</si>
  <si>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</si>
  <si>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</si>
  <si>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</si>
  <si>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</si>
  <si>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</si>
  <si>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</si>
  <si>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</si>
  <si>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</si>
  <si>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</si>
  <si>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P99 DSCR</t>
  </si>
  <si>
    <t>Base - P50 DSCR</t>
  </si>
  <si>
    <t>Base - P75 DSCR</t>
  </si>
  <si>
    <t>Base - P90 DSCR</t>
  </si>
  <si>
    <t>Base - P99 DSCR</t>
  </si>
  <si>
    <t>O&amp;M (54.5 k£/MW/a) - P90 DSCR</t>
  </si>
  <si>
    <t xml:space="preserve">Connection &amp; UoS (86.4 k£/MW/a) - P90 DSCR </t>
  </si>
  <si>
    <t>Electricity Escalation Factor (2.5%) - P90 DSCR</t>
  </si>
  <si>
    <t>Y0</t>
  </si>
  <si>
    <t>Terminal Value £m</t>
  </si>
  <si>
    <t>Net Refinancing Proceeds (£m)</t>
  </si>
  <si>
    <t>Outstanding Debt (£m)</t>
  </si>
  <si>
    <t>DSCR</t>
  </si>
  <si>
    <t>Comprises grid connection expenses (e.g. underground cable costs), the local substation, and transformer stations. The boundary of infrastructure is assumed to include the site where the generator is located, associated electrical infrastructure and connection to the nearest point on the grid. Construction costs for the electricity transmission cable is excluded and included in operating costs (to avoid double counting the cost of offshore transmission assets). IRENA value of 2023 notes infrastructure costs is £437/kW. This has been increased to 550 for 2026 values for a conservative estimate (higher than cumulative inflation rate of 7.62% between 2023 and 2026)</t>
  </si>
  <si>
    <t>Core principle is that the higher the number of contracted years of the CfD, the higher the multiple a buyer will pay. As the CfD burns off, the asset transitions from a quasi-bond (predictable, contracted cash flows) to a merchant power asset (volatile, uncontracted), and the multiple compresses accordingly. This means:
1) Within 20 years of CfD Remaining = Comparable transactions for operational UK offshore wind with long CfD tenors have traded in the 12–14x EBITDA range, as buyers are willing to accept thin returns precisely because the contracted cash flow profile is so predictable
2) With 10-15 years of CfD Remaining = Multiple compresses to roughly 10–12x EBITDA, and as the asset still have a decade or more of CPI-linked contracted revenue, which pension funds and infrastructure yield vehicles find highly attractive. The asset is de-risked due to proven operational track record, known capacity factor, established O&amp;M regime so risk perception is low, but the shorter remaining contract life reduces the present value of contracted cash flows
3) With 5 years of CfD Remaining =  Buyer is now essentially pricing a near-term transition to merchant. The contracted tail is short, and the dominant valuation driver shifts to the merchant power price outlook and remaining asset life. Multiple drops to 8–10x EBITDA. The buyer is paying a blend: a small premium for the remaining CfD years, but increasingly pricing the asset as a merchant generator.
4) Post CfD / Merchant Only =Pure merchant exposure, no contracted revenue, an ageing asset with 10 years of remaining life, rising opex, and capture price cannibalisation risk. The multiple drops significantly to 5–7x EBITDA  and even this requires a constructive view on long-term UK wholesale power prices</t>
  </si>
  <si>
    <t>Capex Contingency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</si>
</sst>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1" formatCode="_(* #,##0_);_(* \(#,##0\);_(* &quot;-&quot;_);_(@_)"/>
    <numFmt numFmtId="164" formatCode="_-* #,##0.00_-;\-* #,##0.00_-;_-* &quot;-&quot;??_-;_-@_-"/>
    <numFmt numFmtId="165" formatCode="_(&quot;$&quot;* #,##0_);_(&quot;$&quot;* \(#,##0\);_(&quot;$&quot;* &quot;-&quot;_);_(@_)"/>
    <numFmt numFmtId="166" formatCode="0.0%_);\(0.0%\);\-_);@_)"/>
    <numFmt numFmtId="167" formatCode="yyyy\-mm\-dd"/>
    <numFmt numFmtId="168" formatCode="#,##0_);\(#,##0\);\-_);@_)"/>
    <numFmt numFmtId="169" formatCode="#,##0\ &quot;sq. ft.&quot;"/>
    <numFmt numFmtId="170" formatCode="0.00\ \x_);\(0.00\ \x\);\-_);@_)"/>
    <numFmt numFmtId="171" formatCode="0.00%_);\(0.00%\);\-_);@_)"/>
    <numFmt numFmtId="172" formatCode="mmm/yyyy"/>
    <numFmt numFmtId="173" formatCode="0.00\ \x"/>
    <numFmt numFmtId="174" formatCode="#,##0\ &quot;kW&quot;"/>
    <numFmt numFmtId="175" formatCode="0.0%"/>
    <numFmt numFmtId="176" formatCode="0.0\ \x"/>
    <numFmt numFmtId="177" formatCode="&quot;Yes&quot;;;&quot;No&quot;"/>
    <numFmt numFmtId="178" formatCode="_-[$£-809]* #,##0_-;\-[$£-809]* #,##0_-;_-[$£-809]* &quot;-&quot;?_-;_-@_-"/>
    <numFmt numFmtId="179" formatCode="_-[$£-809]* #,##0.000_-;\-[$£-809]* #,##0.000_-;_-[$£-809]* &quot;-&quot;?_-;_-@_-"/>
    <numFmt numFmtId="180" formatCode="_(* #,##0.0_);_(* \(#,##0.0\);_(* &quot;-&quot;_);_(@_)"/>
    <numFmt numFmtId="181" formatCode="#,##0\ &quot;MWh&quot;"/>
    <numFmt numFmtId="182" formatCode="_-[$£-809]* #,##0.0_-;\-[$£-809]* #,##0.0_-;_-[$£-809]* &quot;-&quot;?_-;_-@_-"/>
    <numFmt numFmtId="183" formatCode="_(* #,##0.0_);_(* \(#,##0.0\);_(* &quot;-&quot;?_);_(@_)"/>
    <numFmt numFmtId="184" formatCode="#,##0.0"/>
    <numFmt numFmtId="185" formatCode="0.0"/>
    <numFmt numFmtId="186" formatCode="_-* #,##0.0_-;\-* #,##0.0_-;_-* &quot;-&quot;?_-;_-@_-"/>
    <numFmt numFmtId="187" formatCode="_-[$£-809]* #,##0.00_-;\-[$£-809]* #,##0.00_-;_-[$£-809]* &quot;-&quot;??_-;_-@_-"/>
    <numFmt numFmtId="188" formatCode="#,##0.0_ ;\-#,##0.0\ "/>
    <numFmt numFmtId="189" formatCode="0.000"/>
    <numFmt numFmtId="190" formatCode="#,##0\ &quot;MW&quot;"/>
    <numFmt numFmtId="191" formatCode="_-[$£-809]* #,##0_-;\-[$£-809]* #,##0_-;_-[$£-809]* &quot;-&quot;_-;_-@_-"/>
  </numFmts>
  <fonts count="40" x14ac:knownFonts="1">
    <font>
      <sz val="12"/>
      <color theme="1"/>
      <name val="Calibri"/>
      <family val="2"/>
      <scheme val="minor"/>
    </font>
    <font>
      <sz val="11"/>
      <color theme="1"/>
      <name val="Calibri"/>
      <family val="2"/>
      <scheme val="minor"/>
    </font>
    <font>
      <b/>
      <sz val="12"/>
      <color theme="1"/>
      <name val="Calibri"/>
      <family val="2"/>
      <scheme val="minor"/>
    </font>
    <font>
      <sz val="12"/>
      <color theme="0"/>
      <name val="Calibri"/>
      <family val="2"/>
      <scheme val="minor"/>
    </font>
    <font>
      <sz val="12"/>
      <color theme="1" tint="0.249977111117893"/>
      <name val="Calibri"/>
      <family val="2"/>
      <scheme val="minor"/>
    </font>
    <font>
      <sz val="12"/>
      <color theme="8"/>
      <name val="Calibri"/>
      <family val="2"/>
      <scheme val="minor"/>
    </font>
    <font>
      <u/>
      <sz val="12"/>
      <color theme="10"/>
      <name val="Calibri"/>
      <family val="2"/>
      <scheme val="minor"/>
    </font>
    <font>
      <u/>
      <sz val="12"/>
      <color theme="11"/>
      <name val="Calibri"/>
      <family val="2"/>
      <scheme val="minor"/>
    </font>
    <font>
      <sz val="11"/>
      <color theme="1"/>
      <name val="Calibri"/>
      <family val="2"/>
      <scheme val="minor"/>
    </font>
    <font>
      <b/>
      <sz val="12"/>
      <color theme="0"/>
      <name val="Calibri"/>
      <family val="2"/>
      <scheme val="minor"/>
    </font>
    <font>
      <sz val="12"/>
      <color rgb="FF0000FF"/>
      <name val="Calibri"/>
      <family val="2"/>
      <scheme val="minor"/>
    </font>
    <font>
      <sz val="12"/>
      <name val="Calibri"/>
      <family val="2"/>
      <scheme val="minor"/>
    </font>
    <font>
      <b/>
      <sz val="14"/>
      <color theme="1"/>
      <name val="Calibri"/>
      <family val="2"/>
      <scheme val="minor"/>
    </font>
    <font>
      <sz val="12"/>
      <color rgb="FF00B050"/>
      <name val="Calibri"/>
      <family val="2"/>
      <scheme val="minor"/>
    </font>
    <font>
      <b/>
      <sz val="12"/>
      <name val="Calibri"/>
      <family val="2"/>
      <scheme val="minor"/>
    </font>
    <font>
      <b/>
      <sz val="14"/>
      <name val="Calibri"/>
      <family val="2"/>
      <scheme val="minor"/>
    </font>
    <font>
      <b/>
      <i/>
      <sz val="12"/>
      <color theme="0"/>
      <name val="Calibri"/>
      <family val="2"/>
      <scheme val="minor"/>
    </font>
    <font>
      <i/>
      <sz val="12"/>
      <color theme="1"/>
      <name val="Calibri"/>
      <family val="2"/>
      <scheme val="minor"/>
    </font>
    <font>
      <i/>
      <sz val="12"/>
      <name val="Calibri"/>
      <family val="2"/>
      <scheme val="minor"/>
    </font>
    <font>
      <sz val="12"/>
      <color theme="1"/>
      <name val="Calibri"/>
      <family val="2"/>
    </font>
    <font>
      <b/>
      <sz val="12"/>
      <color theme="1"/>
      <name val="Calibri"/>
      <family val="2"/>
    </font>
    <font>
      <b/>
      <sz val="12"/>
      <name val="Calibri"/>
      <family val="2"/>
    </font>
    <font>
      <sz val="12"/>
      <color theme="1"/>
      <name val="Calibri"/>
      <family val="2"/>
      <scheme val="minor"/>
    </font>
    <font>
      <sz val="12"/>
      <name val="Calibri"/>
      <family val="2"/>
    </font>
    <font>
      <i/>
      <sz val="12"/>
      <name val="Calibri"/>
      <family val="2"/>
    </font>
    <font>
      <sz val="10"/>
      <name val="Arial"/>
      <family val="2"/>
    </font>
    <font>
      <sz val="12"/>
      <color rgb="FF0000FF"/>
      <name val="Calibri"/>
      <family val="2"/>
    </font>
    <font>
      <sz val="12"/>
      <color rgb="FF000000"/>
      <name val="Calibri"/>
      <family val="2"/>
    </font>
    <font>
      <sz val="12"/>
      <color rgb="FF000000"/>
      <name val="Calibri"/>
      <family val="2"/>
      <scheme val="minor"/>
    </font>
    <font>
      <b/>
      <i/>
      <sz val="12"/>
      <name val="Calibri"/>
      <family val="2"/>
      <scheme val="minor"/>
    </font>
    <font>
      <b/>
      <sz val="12"/>
      <color rgb="FF0000FF"/>
      <name val="Calibri"/>
      <family val="2"/>
      <scheme val="minor"/>
    </font>
    <font>
      <b/>
      <sz val="12"/>
      <color rgb="FF0000FF"/>
      <name val="Calibri"/>
      <family val="2"/>
    </font>
    <font>
      <sz val="12"/>
      <color rgb="FF1F497D"/>
      <name val="Calibri"/>
      <family val="2"/>
      <scheme val="minor"/>
    </font>
    <font>
      <sz val="12"/>
      <color rgb="FF00B050"/>
      <name val="Calibri"/>
      <family val="2"/>
    </font>
    <font>
      <sz val="8"/>
      <name val="Calibri"/>
      <family val="2"/>
      <scheme val="minor"/>
    </font>
    <font>
      <b/>
      <i/>
      <sz val="12"/>
      <color theme="1"/>
      <name val="Calibri"/>
      <family val="2"/>
      <scheme val="minor"/>
    </font>
    <font>
      <b/>
      <sz val="12"/>
      <color rgb="FF000000"/>
      <name val="Calibri"/>
      <family val="2"/>
      <scheme val="minor"/>
    </font>
    <font>
      <b/>
      <sz val="11"/>
      <color theme="1"/>
      <name val="Calibri"/>
      <family val="2"/>
      <scheme val="minor"/>
    </font>
    <font>
      <sz val="11"/>
      <color theme="1"/>
      <name val="Aptos Display"/>
      <family val="2"/>
    </font>
    <font>
      <b/>
      <sz val="11"/>
      <color theme="1"/>
      <name val="Aptos Display"/>
      <family val="2"/>
    </font>
  </fonts>
  <fills count="12">
    <fill>
      <patternFill patternType="none"/>
    </fill>
    <fill>
      <patternFill patternType="gray125"/>
    </fill>
    <fill>
      <patternFill patternType="solid">
        <fgColor rgb="FFFFFF99"/>
        <bgColor indexed="64"/>
      </patternFill>
    </fill>
    <fill>
      <patternFill patternType="solid">
        <fgColor theme="0" tint="-0.14999847407452621"/>
        <bgColor indexed="64"/>
      </patternFill>
    </fill>
    <fill>
      <patternFill patternType="solid">
        <fgColor rgb="FF1F497D"/>
        <bgColor indexed="64"/>
      </patternFill>
    </fill>
    <fill>
      <patternFill patternType="solid">
        <fgColor theme="4" tint="0.59999389629810485"/>
        <bgColor indexed="64"/>
      </patternFill>
    </fill>
    <fill>
      <patternFill patternType="solid">
        <fgColor rgb="FFFFFF99"/>
        <bgColor rgb="FF000000"/>
      </patternFill>
    </fill>
    <fill>
      <patternFill patternType="solid">
        <fgColor rgb="FFFFFFCC"/>
      </patternFill>
    </fill>
    <fill>
      <patternFill patternType="solid">
        <fgColor theme="1" tint="0.499984740745262"/>
        <bgColor indexed="64"/>
      </patternFill>
    </fill>
    <fill>
      <patternFill patternType="solid">
        <fgColor theme="6" tint="0.79998168889431442"/>
        <bgColor indexed="64"/>
      </patternFill>
    </fill>
    <fill>
      <patternFill patternType="solid">
        <fgColor rgb="FFD9D9D9"/>
        <bgColor indexed="64"/>
      </patternFill>
    </fill>
    <fill>
      <patternFill patternType="solid">
        <fgColor theme="7" tint="0.79998168889431442"/>
        <bgColor indexed="64"/>
      </patternFill>
    </fill>
  </fills>
  <borders count="31">
    <border>
      <left/>
      <right/>
      <top/>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right style="thin">
        <color theme="0"/>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bottom style="thin">
        <color theme="0"/>
      </bottom>
      <diagonal/>
    </border>
    <border>
      <left/>
      <right style="thin">
        <color theme="0"/>
      </right>
      <top style="thin">
        <color theme="0"/>
      </top>
      <bottom style="thin">
        <color auto="1"/>
      </bottom>
      <diagonal/>
    </border>
    <border>
      <left/>
      <right/>
      <top style="thin">
        <color indexed="64"/>
      </top>
      <bottom style="thin">
        <color indexed="64"/>
      </bottom>
      <diagonal/>
    </border>
    <border>
      <left/>
      <right/>
      <top style="thin">
        <color theme="0"/>
      </top>
      <bottom style="thin">
        <color auto="1"/>
      </bottom>
      <diagonal/>
    </border>
    <border>
      <left/>
      <right/>
      <top/>
      <bottom style="thin">
        <color rgb="FF000000"/>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thin">
        <color rgb="FFB2B2B2"/>
      </bottom>
      <diagonal/>
    </border>
    <border>
      <left style="thin">
        <color theme="0"/>
      </left>
      <right/>
      <top/>
      <bottom style="thin">
        <color theme="0"/>
      </bottom>
      <diagonal/>
    </border>
    <border>
      <left style="thin">
        <color rgb="FFB2B2B2"/>
      </left>
      <right style="thin">
        <color rgb="FFB2B2B2"/>
      </right>
      <top style="thin">
        <color auto="1"/>
      </top>
      <bottom style="thin">
        <color rgb="FFB2B2B2"/>
      </bottom>
      <diagonal/>
    </border>
    <border>
      <left style="thin">
        <color indexed="64"/>
      </left>
      <right/>
      <top style="thin">
        <color indexed="64"/>
      </top>
      <bottom/>
      <diagonal/>
    </border>
    <border>
      <left style="thin">
        <color indexed="64"/>
      </left>
      <right style="thin">
        <color indexed="64"/>
      </right>
      <top/>
      <bottom/>
      <diagonal/>
    </border>
    <border>
      <left/>
      <right style="hair">
        <color auto="1"/>
      </right>
      <top/>
      <bottom/>
      <diagonal/>
    </border>
    <border>
      <left/>
      <right style="hair">
        <color auto="1"/>
      </right>
      <top/>
      <bottom style="thin">
        <color theme="0"/>
      </bottom>
      <diagonal/>
    </border>
    <border>
      <left/>
      <right style="hair">
        <color auto="1"/>
      </right>
      <top style="thin">
        <color theme="0"/>
      </top>
      <bottom style="thin">
        <color auto="1"/>
      </bottom>
      <diagonal/>
    </border>
    <border>
      <left/>
      <right style="hair">
        <color auto="1"/>
      </right>
      <top/>
      <bottom style="thin">
        <color auto="1"/>
      </bottom>
      <diagonal/>
    </border>
    <border>
      <left/>
      <right style="hair">
        <color auto="1"/>
      </right>
      <top/>
      <bottom style="thin">
        <color rgb="FF000000"/>
      </bottom>
      <diagonal/>
    </border>
    <border>
      <left/>
      <right style="hair">
        <color auto="1"/>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8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0"/>
    <xf numFmtId="0" fontId="6" fillId="0" borderId="0" applyNumberFormat="0" applyFill="0" applyBorder="0" applyAlignment="0" applyProtection="0"/>
    <xf numFmtId="0" fontId="7" fillId="0" borderId="0" applyNumberFormat="0" applyFill="0" applyBorder="0" applyAlignment="0" applyProtection="0"/>
    <xf numFmtId="0" fontId="25" fillId="0" borderId="0"/>
    <xf numFmtId="0" fontId="22" fillId="7" borderId="3" applyNumberFormat="0" applyFont="0" applyAlignment="0" applyProtection="0"/>
    <xf numFmtId="0" fontId="6" fillId="0" borderId="0" applyNumberFormat="0" applyFill="0" applyBorder="0" applyAlignment="0" applyProtection="0"/>
  </cellStyleXfs>
  <cellXfs count="456">
    <xf numFmtId="0" fontId="0" fillId="0" borderId="0" xfId="0"/>
    <xf numFmtId="0" fontId="4" fillId="0" borderId="0" xfId="0" applyFont="1"/>
    <xf numFmtId="0" fontId="2" fillId="0" borderId="0" xfId="0" applyFont="1"/>
    <xf numFmtId="165" fontId="5" fillId="0" borderId="0" xfId="0" applyNumberFormat="1" applyFont="1"/>
    <xf numFmtId="41" fontId="11" fillId="0" borderId="0" xfId="0" applyNumberFormat="1" applyFont="1"/>
    <xf numFmtId="0" fontId="0" fillId="0" borderId="0" xfId="0" applyAlignment="1">
      <alignment horizontal="center"/>
    </xf>
    <xf numFmtId="0" fontId="9" fillId="0" borderId="0" xfId="0" applyFont="1"/>
    <xf numFmtId="14" fontId="9" fillId="0" borderId="0" xfId="0" applyNumberFormat="1" applyFont="1" applyAlignment="1">
      <alignment horizontal="center"/>
    </xf>
    <xf numFmtId="0" fontId="12" fillId="0" borderId="0" xfId="0" applyFont="1"/>
    <xf numFmtId="0" fontId="0" fillId="0" borderId="0" xfId="0" applyAlignment="1">
      <alignment horizontal="left" indent="1"/>
    </xf>
    <xf numFmtId="0" fontId="2" fillId="3" borderId="1" xfId="0" applyFont="1" applyFill="1" applyBorder="1"/>
    <xf numFmtId="0" fontId="0" fillId="0" borderId="1" xfId="0" applyBorder="1" applyAlignment="1">
      <alignment horizontal="left" indent="1"/>
    </xf>
    <xf numFmtId="0" fontId="11" fillId="0" borderId="0" xfId="0" applyFont="1" applyAlignment="1">
      <alignment horizontal="left" indent="1"/>
    </xf>
    <xf numFmtId="165" fontId="14" fillId="0" borderId="0" xfId="0" applyNumberFormat="1" applyFont="1"/>
    <xf numFmtId="41" fontId="11" fillId="0" borderId="1" xfId="0" applyNumberFormat="1" applyFont="1" applyBorder="1"/>
    <xf numFmtId="41" fontId="0" fillId="0" borderId="0" xfId="0" applyNumberFormat="1"/>
    <xf numFmtId="10" fontId="13" fillId="0" borderId="0" xfId="0" applyNumberFormat="1" applyFont="1" applyAlignment="1">
      <alignment horizontal="center"/>
    </xf>
    <xf numFmtId="0" fontId="0" fillId="0" borderId="0" xfId="0" applyAlignment="1">
      <alignment horizontal="left"/>
    </xf>
    <xf numFmtId="41" fontId="14" fillId="0" borderId="0" xfId="0" applyNumberFormat="1" applyFont="1"/>
    <xf numFmtId="0" fontId="16" fillId="4" borderId="1" xfId="0" applyFont="1" applyFill="1" applyBorder="1" applyAlignment="1">
      <alignment horizontal="center"/>
    </xf>
    <xf numFmtId="0" fontId="9" fillId="4" borderId="1" xfId="0" applyFont="1" applyFill="1" applyBorder="1"/>
    <xf numFmtId="0" fontId="17" fillId="0" borderId="0" xfId="0" applyFont="1" applyAlignment="1">
      <alignment horizontal="center"/>
    </xf>
    <xf numFmtId="0" fontId="18" fillId="0" borderId="0" xfId="0" applyFont="1" applyAlignment="1">
      <alignment horizontal="center"/>
    </xf>
    <xf numFmtId="0" fontId="9" fillId="4" borderId="0" xfId="0" applyFont="1" applyFill="1" applyAlignment="1">
      <alignment horizontal="left"/>
    </xf>
    <xf numFmtId="0" fontId="16" fillId="4" borderId="0" xfId="0" applyFont="1" applyFill="1" applyAlignment="1">
      <alignment horizontal="left"/>
    </xf>
    <xf numFmtId="0" fontId="9" fillId="4" borderId="6" xfId="0" applyFont="1" applyFill="1" applyBorder="1" applyAlignment="1">
      <alignment horizontal="centerContinuous"/>
    </xf>
    <xf numFmtId="0" fontId="9" fillId="4" borderId="1" xfId="0" applyFont="1" applyFill="1" applyBorder="1" applyAlignment="1">
      <alignment horizontal="left"/>
    </xf>
    <xf numFmtId="0" fontId="20" fillId="3" borderId="1" xfId="0" applyFont="1" applyFill="1" applyBorder="1"/>
    <xf numFmtId="0" fontId="17" fillId="3" borderId="1" xfId="0" applyFont="1" applyFill="1" applyBorder="1" applyAlignment="1">
      <alignment horizontal="left"/>
    </xf>
    <xf numFmtId="0" fontId="19" fillId="3" borderId="1" xfId="0" applyFont="1" applyFill="1" applyBorder="1"/>
    <xf numFmtId="0" fontId="19" fillId="0" borderId="0" xfId="0" applyFont="1" applyAlignment="1">
      <alignment horizontal="left" indent="1"/>
    </xf>
    <xf numFmtId="0" fontId="17" fillId="0" borderId="0" xfId="0" quotePrefix="1" applyFont="1" applyAlignment="1">
      <alignment horizontal="center"/>
    </xf>
    <xf numFmtId="0" fontId="17" fillId="0" borderId="1" xfId="0" applyFont="1" applyBorder="1" applyAlignment="1">
      <alignment horizontal="center"/>
    </xf>
    <xf numFmtId="170" fontId="17" fillId="0" borderId="0" xfId="0" applyNumberFormat="1" applyFont="1"/>
    <xf numFmtId="0" fontId="11" fillId="0" borderId="0" xfId="0" applyFont="1"/>
    <xf numFmtId="0" fontId="16" fillId="4" borderId="1" xfId="0" applyFont="1" applyFill="1" applyBorder="1" applyAlignment="1">
      <alignment horizontal="left"/>
    </xf>
    <xf numFmtId="0" fontId="22" fillId="3" borderId="1" xfId="0" applyFont="1" applyFill="1" applyBorder="1"/>
    <xf numFmtId="166" fontId="10" fillId="0" borderId="0" xfId="0" applyNumberFormat="1" applyFont="1" applyAlignment="1" applyProtection="1">
      <alignment horizontal="center"/>
      <protection locked="0"/>
    </xf>
    <xf numFmtId="0" fontId="11" fillId="0" borderId="1" xfId="0" applyFont="1" applyBorder="1" applyAlignment="1">
      <alignment horizontal="left" indent="1"/>
    </xf>
    <xf numFmtId="0" fontId="14" fillId="0" borderId="0" xfId="0" applyFont="1" applyAlignment="1">
      <alignment horizontal="left"/>
    </xf>
    <xf numFmtId="0" fontId="24" fillId="0" borderId="0" xfId="0" applyFont="1"/>
    <xf numFmtId="14" fontId="0" fillId="0" borderId="0" xfId="0" applyNumberFormat="1" applyAlignment="1">
      <alignment horizontal="center"/>
    </xf>
    <xf numFmtId="0" fontId="21" fillId="0" borderId="0" xfId="0" applyFont="1" applyAlignment="1">
      <alignment horizontal="left"/>
    </xf>
    <xf numFmtId="0" fontId="0" fillId="0" borderId="1" xfId="0" applyBorder="1" applyAlignment="1">
      <alignment horizontal="center"/>
    </xf>
    <xf numFmtId="10" fontId="11" fillId="0" borderId="0" xfId="0" applyNumberFormat="1" applyFont="1" applyAlignment="1">
      <alignment horizontal="center"/>
    </xf>
    <xf numFmtId="0" fontId="2" fillId="0" borderId="0" xfId="0" applyFont="1" applyAlignment="1">
      <alignment horizontal="center"/>
    </xf>
    <xf numFmtId="0" fontId="9" fillId="4" borderId="0" xfId="0" applyFont="1" applyFill="1"/>
    <xf numFmtId="0" fontId="16" fillId="4" borderId="0" xfId="0" applyFont="1" applyFill="1" applyAlignment="1">
      <alignment horizontal="center"/>
    </xf>
    <xf numFmtId="172" fontId="9" fillId="4" borderId="6" xfId="0" applyNumberFormat="1" applyFont="1" applyFill="1" applyBorder="1" applyAlignment="1">
      <alignment horizontal="centerContinuous"/>
    </xf>
    <xf numFmtId="14" fontId="9" fillId="4" borderId="6" xfId="0" applyNumberFormat="1" applyFont="1" applyFill="1" applyBorder="1" applyAlignment="1">
      <alignment horizontal="centerContinuous"/>
    </xf>
    <xf numFmtId="14" fontId="9" fillId="4" borderId="5" xfId="0" applyNumberFormat="1" applyFont="1" applyFill="1" applyBorder="1" applyAlignment="1">
      <alignment horizontal="centerContinuous"/>
    </xf>
    <xf numFmtId="166" fontId="11" fillId="0" borderId="0" xfId="0" applyNumberFormat="1" applyFont="1" applyAlignment="1" applyProtection="1">
      <alignment horizontal="center"/>
      <protection locked="0"/>
    </xf>
    <xf numFmtId="0" fontId="9" fillId="4" borderId="5" xfId="0" applyFont="1" applyFill="1" applyBorder="1" applyAlignment="1">
      <alignment horizontal="centerContinuous"/>
    </xf>
    <xf numFmtId="0" fontId="9" fillId="4" borderId="9" xfId="0" applyFont="1" applyFill="1" applyBorder="1" applyAlignment="1">
      <alignment horizontal="centerContinuous"/>
    </xf>
    <xf numFmtId="0" fontId="9" fillId="4" borderId="6" xfId="0" applyFont="1" applyFill="1" applyBorder="1"/>
    <xf numFmtId="165" fontId="0" fillId="0" borderId="0" xfId="0" applyNumberFormat="1"/>
    <xf numFmtId="0" fontId="2" fillId="0" borderId="0" xfId="0" applyFont="1" applyAlignment="1">
      <alignment horizontal="left" indent="1"/>
    </xf>
    <xf numFmtId="0" fontId="2" fillId="5" borderId="7" xfId="0" applyFont="1" applyFill="1" applyBorder="1"/>
    <xf numFmtId="0" fontId="23" fillId="0" borderId="0" xfId="0" applyFont="1" applyAlignment="1">
      <alignment horizontal="left" indent="1"/>
    </xf>
    <xf numFmtId="0" fontId="23" fillId="0" borderId="1" xfId="0" applyFont="1" applyBorder="1" applyAlignment="1">
      <alignment horizontal="left" indent="1"/>
    </xf>
    <xf numFmtId="0" fontId="17" fillId="0" borderId="0" xfId="0" applyFont="1"/>
    <xf numFmtId="0" fontId="11" fillId="0" borderId="0" xfId="0" applyFont="1" applyAlignment="1">
      <alignment horizontal="left" indent="2"/>
    </xf>
    <xf numFmtId="0" fontId="11" fillId="0" borderId="0" xfId="0" applyFont="1" applyAlignment="1">
      <alignment horizontal="center"/>
    </xf>
    <xf numFmtId="0" fontId="2" fillId="0" borderId="2" xfId="0" applyFont="1" applyBorder="1"/>
    <xf numFmtId="0" fontId="17" fillId="0" borderId="2" xfId="0" applyFont="1" applyBorder="1" applyAlignment="1">
      <alignment horizontal="center"/>
    </xf>
    <xf numFmtId="0" fontId="9" fillId="4" borderId="1" xfId="0" applyFont="1" applyFill="1" applyBorder="1" applyAlignment="1">
      <alignment horizontal="center"/>
    </xf>
    <xf numFmtId="41" fontId="10" fillId="0" borderId="0" xfId="0" applyNumberFormat="1" applyFont="1" applyProtection="1">
      <protection locked="0"/>
    </xf>
    <xf numFmtId="41" fontId="10" fillId="0" borderId="2" xfId="0" applyNumberFormat="1" applyFont="1" applyBorder="1" applyProtection="1">
      <protection locked="0"/>
    </xf>
    <xf numFmtId="0" fontId="20" fillId="3" borderId="1" xfId="0" applyFont="1" applyFill="1" applyBorder="1" applyAlignment="1">
      <alignment horizontal="left" indent="1"/>
    </xf>
    <xf numFmtId="2" fontId="26" fillId="0" borderId="0" xfId="0" applyNumberFormat="1" applyFont="1" applyAlignment="1">
      <alignment horizontal="center"/>
    </xf>
    <xf numFmtId="0" fontId="0" fillId="0" borderId="0" xfId="0" applyAlignment="1">
      <alignment horizontal="left" indent="2"/>
    </xf>
    <xf numFmtId="0" fontId="0" fillId="0" borderId="1" xfId="0" applyBorder="1" applyAlignment="1">
      <alignment horizontal="left" indent="2"/>
    </xf>
    <xf numFmtId="0" fontId="17" fillId="5" borderId="11" xfId="0" applyFont="1" applyFill="1" applyBorder="1" applyAlignment="1">
      <alignment horizontal="center"/>
    </xf>
    <xf numFmtId="173" fontId="17" fillId="0" borderId="0" xfId="0" applyNumberFormat="1" applyFont="1" applyAlignment="1">
      <alignment horizontal="right"/>
    </xf>
    <xf numFmtId="0" fontId="4" fillId="0" borderId="0" xfId="0" applyFont="1" applyAlignment="1">
      <alignment horizontal="left" indent="1"/>
    </xf>
    <xf numFmtId="15" fontId="9" fillId="4" borderId="10" xfId="0" applyNumberFormat="1" applyFont="1" applyFill="1" applyBorder="1" applyAlignment="1">
      <alignment horizontal="centerContinuous"/>
    </xf>
    <xf numFmtId="15" fontId="9" fillId="4" borderId="1" xfId="0" applyNumberFormat="1" applyFont="1" applyFill="1" applyBorder="1" applyAlignment="1">
      <alignment horizontal="center"/>
    </xf>
    <xf numFmtId="15" fontId="9" fillId="4" borderId="12" xfId="0" applyNumberFormat="1" applyFont="1" applyFill="1" applyBorder="1" applyAlignment="1">
      <alignment horizontal="centerContinuous"/>
    </xf>
    <xf numFmtId="15" fontId="9" fillId="4" borderId="12" xfId="0" applyNumberFormat="1" applyFont="1" applyFill="1" applyBorder="1" applyAlignment="1">
      <alignment horizontal="center"/>
    </xf>
    <xf numFmtId="0" fontId="28" fillId="0" borderId="0" xfId="0" applyFont="1" applyAlignment="1">
      <alignment horizontal="center"/>
    </xf>
    <xf numFmtId="9" fontId="0" fillId="0" borderId="0" xfId="0" applyNumberFormat="1"/>
    <xf numFmtId="0" fontId="27" fillId="0" borderId="13" xfId="0" applyFont="1" applyBorder="1" applyAlignment="1">
      <alignment horizontal="left" indent="1"/>
    </xf>
    <xf numFmtId="2" fontId="27" fillId="0" borderId="0" xfId="0" applyNumberFormat="1" applyFont="1" applyAlignment="1">
      <alignment horizontal="center"/>
    </xf>
    <xf numFmtId="0" fontId="0" fillId="0" borderId="13" xfId="0" applyBorder="1" applyAlignment="1">
      <alignment horizontal="left" indent="2"/>
    </xf>
    <xf numFmtId="41" fontId="0" fillId="0" borderId="0" xfId="0" applyNumberFormat="1" applyAlignment="1">
      <alignment horizontal="right"/>
    </xf>
    <xf numFmtId="41" fontId="11" fillId="0" borderId="0" xfId="0" applyNumberFormat="1" applyFont="1" applyAlignment="1" applyProtection="1">
      <alignment horizontal="right"/>
      <protection locked="0"/>
    </xf>
    <xf numFmtId="178" fontId="14" fillId="0" borderId="0" xfId="0" applyNumberFormat="1" applyFont="1"/>
    <xf numFmtId="0" fontId="17" fillId="0" borderId="13" xfId="0" applyFont="1" applyBorder="1" applyAlignment="1">
      <alignment horizontal="center"/>
    </xf>
    <xf numFmtId="179" fontId="23" fillId="0" borderId="0" xfId="79" applyNumberFormat="1" applyFont="1" applyFill="1" applyBorder="1" applyAlignment="1"/>
    <xf numFmtId="0" fontId="9" fillId="0" borderId="13" xfId="0" applyFont="1" applyBorder="1"/>
    <xf numFmtId="0" fontId="0" fillId="0" borderId="13" xfId="0" applyBorder="1" applyAlignment="1">
      <alignment horizontal="left" indent="1"/>
    </xf>
    <xf numFmtId="181" fontId="0" fillId="0" borderId="0" xfId="0" applyNumberFormat="1"/>
    <xf numFmtId="0" fontId="4" fillId="0" borderId="0" xfId="0" applyFont="1" applyAlignment="1">
      <alignment horizontal="center"/>
    </xf>
    <xf numFmtId="0" fontId="14" fillId="0" borderId="0" xfId="0" applyFont="1" applyAlignment="1">
      <alignment horizontal="left" indent="1"/>
    </xf>
    <xf numFmtId="0" fontId="11" fillId="0" borderId="1" xfId="0" applyFont="1" applyBorder="1" applyAlignment="1">
      <alignment horizontal="left" indent="2"/>
    </xf>
    <xf numFmtId="0" fontId="10" fillId="2" borderId="3" xfId="0" applyFont="1" applyFill="1" applyBorder="1" applyAlignment="1">
      <alignment horizontal="center"/>
    </xf>
    <xf numFmtId="0" fontId="9" fillId="4" borderId="16" xfId="0" applyFont="1" applyFill="1" applyBorder="1" applyAlignment="1">
      <alignment horizontal="centerContinuous"/>
    </xf>
    <xf numFmtId="0" fontId="22" fillId="0" borderId="0" xfId="0" applyFont="1" applyAlignment="1">
      <alignment horizontal="left"/>
    </xf>
    <xf numFmtId="0" fontId="22" fillId="0" borderId="0" xfId="0" applyFont="1" applyAlignment="1">
      <alignment horizontal="left" indent="1"/>
    </xf>
    <xf numFmtId="0" fontId="22" fillId="0" borderId="1" xfId="0" applyFont="1" applyBorder="1" applyAlignment="1">
      <alignment horizontal="left" indent="1"/>
    </xf>
    <xf numFmtId="0" fontId="2" fillId="0" borderId="0" xfId="0" applyFont="1" applyAlignment="1">
      <alignment horizontal="left"/>
    </xf>
    <xf numFmtId="0" fontId="17" fillId="0" borderId="1" xfId="0" quotePrefix="1" applyFont="1" applyBorder="1" applyAlignment="1">
      <alignment horizontal="center"/>
    </xf>
    <xf numFmtId="0" fontId="10" fillId="0" borderId="0" xfId="0" applyFont="1" applyAlignment="1">
      <alignment horizontal="center"/>
    </xf>
    <xf numFmtId="182" fontId="11" fillId="0" borderId="0" xfId="0" applyNumberFormat="1" applyFont="1"/>
    <xf numFmtId="183" fontId="11" fillId="0" borderId="0" xfId="0" applyNumberFormat="1" applyFont="1" applyProtection="1">
      <protection locked="0"/>
    </xf>
    <xf numFmtId="183" fontId="11" fillId="0" borderId="13" xfId="0" applyNumberFormat="1" applyFont="1" applyBorder="1" applyProtection="1">
      <protection locked="0"/>
    </xf>
    <xf numFmtId="183" fontId="14" fillId="0" borderId="0" xfId="0" applyNumberFormat="1" applyFont="1"/>
    <xf numFmtId="183" fontId="0" fillId="0" borderId="0" xfId="0" applyNumberFormat="1"/>
    <xf numFmtId="182" fontId="14" fillId="0" borderId="0" xfId="0" applyNumberFormat="1" applyFont="1"/>
    <xf numFmtId="183" fontId="11" fillId="0" borderId="0" xfId="0" applyNumberFormat="1" applyFont="1"/>
    <xf numFmtId="183" fontId="11" fillId="0" borderId="13" xfId="0" applyNumberFormat="1" applyFont="1" applyBorder="1"/>
    <xf numFmtId="183" fontId="28" fillId="0" borderId="0" xfId="0" applyNumberFormat="1" applyFont="1"/>
    <xf numFmtId="183" fontId="11" fillId="0" borderId="1" xfId="0" applyNumberFormat="1" applyFont="1" applyBorder="1"/>
    <xf numFmtId="183" fontId="2" fillId="0" borderId="0" xfId="0" applyNumberFormat="1" applyFont="1"/>
    <xf numFmtId="183" fontId="10" fillId="2" borderId="3" xfId="0" applyNumberFormat="1" applyFont="1" applyFill="1" applyBorder="1" applyProtection="1">
      <protection locked="0"/>
    </xf>
    <xf numFmtId="183" fontId="0" fillId="0" borderId="1" xfId="0" applyNumberFormat="1" applyBorder="1"/>
    <xf numFmtId="41" fontId="30" fillId="2" borderId="17" xfId="0" applyNumberFormat="1" applyFont="1" applyFill="1" applyBorder="1" applyAlignment="1" applyProtection="1">
      <alignment horizontal="center"/>
      <protection locked="0"/>
    </xf>
    <xf numFmtId="183" fontId="0" fillId="0" borderId="13" xfId="0" applyNumberFormat="1" applyBorder="1"/>
    <xf numFmtId="183" fontId="22" fillId="0" borderId="0" xfId="0" applyNumberFormat="1" applyFont="1"/>
    <xf numFmtId="183" fontId="28" fillId="0" borderId="0" xfId="0" applyNumberFormat="1" applyFont="1" applyAlignment="1">
      <alignment horizontal="right"/>
    </xf>
    <xf numFmtId="183" fontId="11" fillId="0" borderId="0" xfId="0" applyNumberFormat="1" applyFont="1" applyAlignment="1" applyProtection="1">
      <alignment horizontal="right"/>
      <protection locked="0"/>
    </xf>
    <xf numFmtId="183" fontId="0" fillId="0" borderId="0" xfId="0" applyNumberFormat="1" applyAlignment="1">
      <alignment horizontal="right"/>
    </xf>
    <xf numFmtId="183" fontId="31" fillId="2" borderId="3" xfId="79" applyNumberFormat="1" applyFont="1" applyFill="1" applyAlignment="1"/>
    <xf numFmtId="173" fontId="0" fillId="0" borderId="0" xfId="0" applyNumberFormat="1" applyAlignment="1">
      <alignment horizontal="center"/>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166" fontId="10" fillId="2" borderId="3" xfId="0" applyNumberFormat="1" applyFont="1" applyFill="1" applyBorder="1" applyAlignment="1" applyProtection="1">
      <alignment horizontal="center" vertical="top"/>
      <protection locked="0"/>
    </xf>
    <xf numFmtId="0" fontId="17" fillId="0" borderId="0" xfId="0" applyFont="1" applyAlignment="1">
      <alignment horizontal="center" vertical="top"/>
    </xf>
    <xf numFmtId="0" fontId="23" fillId="0" borderId="0" xfId="0" applyFont="1" applyAlignment="1">
      <alignment horizontal="left" vertical="top"/>
    </xf>
    <xf numFmtId="0" fontId="18" fillId="0" borderId="0" xfId="0" applyFont="1" applyAlignment="1">
      <alignment horizontal="center" vertical="top"/>
    </xf>
    <xf numFmtId="3" fontId="10" fillId="2" borderId="3" xfId="0" applyNumberFormat="1" applyFont="1" applyFill="1" applyBorder="1" applyAlignment="1" applyProtection="1">
      <alignment horizontal="center" vertical="top"/>
      <protection locked="0"/>
    </xf>
    <xf numFmtId="0" fontId="6" fillId="0" borderId="0" xfId="80" applyAlignment="1">
      <alignment vertical="top"/>
    </xf>
    <xf numFmtId="0" fontId="11" fillId="0" borderId="0" xfId="0" applyFont="1" applyAlignment="1">
      <alignment horizontal="left" vertical="top"/>
    </xf>
    <xf numFmtId="0" fontId="10" fillId="2" borderId="3" xfId="0" applyFont="1" applyFill="1" applyBorder="1" applyAlignment="1" applyProtection="1">
      <alignment horizontal="center" vertical="top"/>
      <protection locked="0"/>
    </xf>
    <xf numFmtId="0" fontId="10" fillId="0" borderId="0" xfId="0" applyFont="1" applyAlignment="1">
      <alignment horizontal="center" vertical="top"/>
    </xf>
    <xf numFmtId="1" fontId="10" fillId="2" borderId="3" xfId="0" applyNumberFormat="1" applyFont="1" applyFill="1" applyBorder="1" applyAlignment="1" applyProtection="1">
      <alignment horizontal="center" vertical="top"/>
      <protection locked="0"/>
    </xf>
    <xf numFmtId="0" fontId="15"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9" fillId="4" borderId="1" xfId="0" applyFont="1" applyFill="1" applyBorder="1" applyAlignment="1">
      <alignment vertical="top"/>
    </xf>
    <xf numFmtId="0" fontId="3" fillId="4" borderId="1" xfId="0" applyFont="1" applyFill="1" applyBorder="1" applyAlignment="1">
      <alignment vertical="top"/>
    </xf>
    <xf numFmtId="0" fontId="16" fillId="4" borderId="1" xfId="0" applyFont="1" applyFill="1" applyBorder="1" applyAlignment="1">
      <alignment horizontal="center" vertical="top"/>
    </xf>
    <xf numFmtId="0" fontId="16" fillId="4" borderId="1" xfId="0" applyFont="1" applyFill="1" applyBorder="1" applyAlignment="1">
      <alignment horizontal="left" vertical="top"/>
    </xf>
    <xf numFmtId="0" fontId="4" fillId="4" borderId="1" xfId="0" applyFont="1" applyFill="1" applyBorder="1" applyAlignment="1">
      <alignment vertical="top"/>
    </xf>
    <xf numFmtId="0" fontId="16" fillId="0" borderId="0" xfId="0" applyFont="1" applyAlignment="1">
      <alignment horizontal="center" vertical="top"/>
    </xf>
    <xf numFmtId="0" fontId="14" fillId="3" borderId="1" xfId="0" applyFont="1" applyFill="1" applyBorder="1" applyAlignment="1">
      <alignment vertical="top"/>
    </xf>
    <xf numFmtId="0" fontId="14" fillId="3" borderId="1" xfId="0" applyFont="1" applyFill="1" applyBorder="1" applyAlignment="1">
      <alignment horizontal="center" vertical="top"/>
    </xf>
    <xf numFmtId="0" fontId="10" fillId="2" borderId="3" xfId="0" applyFont="1" applyFill="1" applyBorder="1" applyAlignment="1" applyProtection="1">
      <alignment horizontal="centerContinuous" vertical="top"/>
      <protection locked="0"/>
    </xf>
    <xf numFmtId="175" fontId="10" fillId="2" borderId="3" xfId="0" applyNumberFormat="1" applyFont="1" applyFill="1" applyBorder="1" applyAlignment="1" applyProtection="1">
      <alignment horizontal="center" vertical="top"/>
      <protection locked="0"/>
    </xf>
    <xf numFmtId="184" fontId="10" fillId="2" borderId="3" xfId="0" applyNumberFormat="1" applyFont="1" applyFill="1" applyBorder="1" applyAlignment="1" applyProtection="1">
      <alignment horizontal="center" vertical="top"/>
      <protection locked="0"/>
    </xf>
    <xf numFmtId="177" fontId="10" fillId="0" borderId="0" xfId="0" applyNumberFormat="1" applyFont="1" applyAlignment="1" applyProtection="1">
      <alignment horizontal="center" vertical="top"/>
      <protection locked="0"/>
    </xf>
    <xf numFmtId="3" fontId="27" fillId="0" borderId="0" xfId="0" applyNumberFormat="1" applyFont="1" applyAlignment="1">
      <alignment horizontal="center" vertical="top"/>
    </xf>
    <xf numFmtId="185" fontId="0" fillId="0" borderId="0" xfId="0" applyNumberFormat="1" applyAlignment="1">
      <alignment horizontal="center" vertical="top"/>
    </xf>
    <xf numFmtId="175" fontId="0" fillId="0" borderId="0" xfId="0" applyNumberFormat="1" applyAlignment="1">
      <alignment horizontal="center" vertical="top"/>
    </xf>
    <xf numFmtId="166" fontId="10" fillId="0" borderId="0" xfId="0" applyNumberFormat="1" applyFont="1" applyAlignment="1" applyProtection="1">
      <alignment horizontal="center" vertical="top"/>
      <protection locked="0"/>
    </xf>
    <xf numFmtId="167" fontId="10" fillId="2" borderId="3" xfId="0" applyNumberFormat="1" applyFont="1" applyFill="1" applyBorder="1" applyAlignment="1" applyProtection="1">
      <alignment horizontal="center" vertical="top"/>
      <protection locked="0"/>
    </xf>
    <xf numFmtId="41" fontId="0" fillId="0" borderId="0" xfId="0" applyNumberFormat="1" applyAlignment="1">
      <alignment vertical="top"/>
    </xf>
    <xf numFmtId="0" fontId="0" fillId="0" borderId="0" xfId="0" applyAlignment="1">
      <alignment horizontal="left" vertical="top"/>
    </xf>
    <xf numFmtId="0" fontId="14" fillId="3" borderId="0" xfId="0" applyFont="1" applyFill="1" applyAlignment="1">
      <alignment horizontal="center" vertical="top"/>
    </xf>
    <xf numFmtId="0" fontId="14" fillId="3" borderId="1" xfId="0" applyFont="1" applyFill="1" applyBorder="1" applyAlignment="1">
      <alignment horizontal="centerContinuous" vertical="top"/>
    </xf>
    <xf numFmtId="0" fontId="29" fillId="3" borderId="1" xfId="0" applyFont="1" applyFill="1" applyBorder="1" applyAlignment="1">
      <alignment horizontal="center" vertical="top"/>
    </xf>
    <xf numFmtId="166" fontId="10" fillId="2" borderId="4" xfId="0" applyNumberFormat="1" applyFont="1" applyFill="1" applyBorder="1" applyAlignment="1" applyProtection="1">
      <alignment horizontal="center" vertical="top"/>
      <protection locked="0"/>
    </xf>
    <xf numFmtId="0" fontId="10" fillId="2" borderId="4" xfId="0" applyFont="1" applyFill="1" applyBorder="1" applyAlignment="1" applyProtection="1">
      <alignment horizontal="center" vertical="top"/>
      <protection locked="0"/>
    </xf>
    <xf numFmtId="0" fontId="11" fillId="0" borderId="0" xfId="0" applyFont="1" applyAlignment="1">
      <alignment vertical="top"/>
    </xf>
    <xf numFmtId="169" fontId="11" fillId="0" borderId="0" xfId="0" applyNumberFormat="1" applyFont="1" applyAlignment="1" applyProtection="1">
      <alignment vertical="top"/>
      <protection locked="0"/>
    </xf>
    <xf numFmtId="0" fontId="4" fillId="3" borderId="1" xfId="0" applyFont="1" applyFill="1" applyBorder="1" applyAlignment="1">
      <alignment vertical="top"/>
    </xf>
    <xf numFmtId="0" fontId="4" fillId="3" borderId="1" xfId="0" applyFont="1" applyFill="1" applyBorder="1" applyAlignment="1">
      <alignment horizontal="center" vertical="top"/>
    </xf>
    <xf numFmtId="178" fontId="23" fillId="0" borderId="0" xfId="79" applyNumberFormat="1" applyFont="1" applyFill="1" applyBorder="1" applyAlignment="1">
      <alignment vertical="top"/>
    </xf>
    <xf numFmtId="171" fontId="10" fillId="2" borderId="3" xfId="0" applyNumberFormat="1" applyFont="1" applyFill="1" applyBorder="1" applyAlignment="1" applyProtection="1">
      <alignment horizontal="center" vertical="top"/>
      <protection locked="0"/>
    </xf>
    <xf numFmtId="10" fontId="28" fillId="0" borderId="0" xfId="0" applyNumberFormat="1" applyFont="1" applyAlignment="1">
      <alignment horizontal="center" vertical="top"/>
    </xf>
    <xf numFmtId="166" fontId="10" fillId="6" borderId="14" xfId="0" applyNumberFormat="1" applyFont="1" applyFill="1" applyBorder="1" applyAlignment="1" applyProtection="1">
      <alignment horizontal="center" vertical="top"/>
      <protection locked="0"/>
    </xf>
    <xf numFmtId="166" fontId="10" fillId="6" borderId="15" xfId="0" applyNumberFormat="1" applyFont="1" applyFill="1" applyBorder="1" applyAlignment="1" applyProtection="1">
      <alignment horizontal="center" vertical="top"/>
      <protection locked="0"/>
    </xf>
    <xf numFmtId="0" fontId="2" fillId="3" borderId="1" xfId="0" applyFont="1" applyFill="1" applyBorder="1" applyAlignment="1">
      <alignment vertical="top"/>
    </xf>
    <xf numFmtId="0" fontId="2" fillId="3" borderId="1" xfId="0" applyFont="1" applyFill="1" applyBorder="1" applyAlignment="1">
      <alignment horizontal="center" vertical="top"/>
    </xf>
    <xf numFmtId="168" fontId="11" fillId="0" borderId="0" xfId="0" applyNumberFormat="1" applyFont="1" applyAlignment="1">
      <alignment horizontal="left" vertical="top"/>
    </xf>
    <xf numFmtId="182" fontId="33" fillId="0" borderId="0" xfId="79" applyNumberFormat="1" applyFont="1" applyFill="1" applyBorder="1" applyAlignment="1">
      <alignment vertical="top"/>
    </xf>
    <xf numFmtId="168" fontId="0" fillId="0" borderId="0" xfId="0" applyNumberFormat="1" applyAlignment="1">
      <alignment horizontal="left" vertical="top"/>
    </xf>
    <xf numFmtId="0" fontId="11" fillId="0" borderId="1" xfId="0" applyFont="1" applyBorder="1" applyAlignment="1">
      <alignment horizontal="left" vertical="top"/>
    </xf>
    <xf numFmtId="0" fontId="17" fillId="0" borderId="1" xfId="0" applyFont="1" applyBorder="1" applyAlignment="1">
      <alignment horizontal="center" vertical="top"/>
    </xf>
    <xf numFmtId="180" fontId="13" fillId="0" borderId="1" xfId="0" applyNumberFormat="1" applyFont="1" applyBorder="1" applyAlignment="1">
      <alignment vertical="top"/>
    </xf>
    <xf numFmtId="168" fontId="2" fillId="0" borderId="0" xfId="0" applyNumberFormat="1" applyFont="1" applyAlignment="1">
      <alignment vertical="top"/>
    </xf>
    <xf numFmtId="0" fontId="17" fillId="0" borderId="2" xfId="0" applyFont="1" applyBorder="1" applyAlignment="1">
      <alignment horizontal="center" vertical="top"/>
    </xf>
    <xf numFmtId="182" fontId="21" fillId="0" borderId="0" xfId="79" applyNumberFormat="1" applyFont="1" applyFill="1" applyBorder="1" applyAlignment="1">
      <alignment vertical="top"/>
    </xf>
    <xf numFmtId="0" fontId="11" fillId="0" borderId="2" xfId="0" applyFont="1" applyBorder="1" applyAlignment="1">
      <alignment horizontal="left" vertical="top"/>
    </xf>
    <xf numFmtId="0" fontId="0" fillId="0" borderId="1" xfId="0" applyBorder="1" applyAlignment="1">
      <alignment horizontal="left" vertical="top"/>
    </xf>
    <xf numFmtId="183" fontId="13" fillId="0" borderId="1" xfId="0" applyNumberFormat="1" applyFont="1" applyBorder="1" applyAlignment="1">
      <alignment vertical="top"/>
    </xf>
    <xf numFmtId="0" fontId="3" fillId="4" borderId="1" xfId="0" applyFont="1" applyFill="1" applyBorder="1" applyAlignment="1">
      <alignment horizontal="center" vertical="top"/>
    </xf>
    <xf numFmtId="0" fontId="3" fillId="0" borderId="0" xfId="0" applyFont="1" applyAlignment="1">
      <alignment vertical="top"/>
    </xf>
    <xf numFmtId="166" fontId="13" fillId="0" borderId="0" xfId="0" applyNumberFormat="1" applyFont="1" applyAlignment="1" applyProtection="1">
      <alignment horizontal="center" vertical="top"/>
      <protection locked="0"/>
    </xf>
    <xf numFmtId="173" fontId="13" fillId="0" borderId="0" xfId="0" applyNumberFormat="1" applyFont="1" applyAlignment="1">
      <alignment horizontal="center" vertical="top"/>
    </xf>
    <xf numFmtId="173" fontId="0" fillId="0" borderId="0" xfId="0" applyNumberFormat="1" applyAlignment="1">
      <alignment horizontal="center" vertical="top"/>
    </xf>
    <xf numFmtId="0" fontId="9" fillId="4" borderId="18" xfId="78" applyFont="1" applyFill="1" applyBorder="1" applyAlignment="1">
      <alignment horizontal="center" vertical="top"/>
    </xf>
    <xf numFmtId="0" fontId="9" fillId="4" borderId="11" xfId="78" applyFont="1" applyFill="1" applyBorder="1" applyAlignment="1">
      <alignment horizontal="centerContinuous" vertical="top"/>
    </xf>
    <xf numFmtId="166" fontId="9" fillId="4" borderId="19" xfId="78" applyNumberFormat="1" applyFont="1" applyFill="1" applyBorder="1" applyAlignment="1">
      <alignment horizontal="center" vertical="top"/>
    </xf>
    <xf numFmtId="171" fontId="11" fillId="3" borderId="7" xfId="78" applyNumberFormat="1" applyFont="1" applyFill="1" applyBorder="1" applyAlignment="1">
      <alignment horizontal="center" vertical="top"/>
    </xf>
    <xf numFmtId="171" fontId="11" fillId="3" borderId="11" xfId="78" applyNumberFormat="1" applyFont="1" applyFill="1" applyBorder="1" applyAlignment="1">
      <alignment horizontal="center" vertical="top"/>
    </xf>
    <xf numFmtId="166" fontId="32" fillId="4" borderId="19" xfId="78" applyNumberFormat="1" applyFont="1" applyFill="1" applyBorder="1" applyAlignment="1">
      <alignment vertical="top"/>
    </xf>
    <xf numFmtId="10" fontId="0" fillId="0" borderId="0" xfId="0" applyNumberFormat="1" applyAlignment="1">
      <alignment vertical="top"/>
    </xf>
    <xf numFmtId="0" fontId="4" fillId="3" borderId="1" xfId="0" applyFont="1" applyFill="1" applyBorder="1" applyAlignment="1">
      <alignment vertical="top" wrapText="1"/>
    </xf>
    <xf numFmtId="185" fontId="17" fillId="0" borderId="0" xfId="0" applyNumberFormat="1" applyFont="1" applyAlignment="1">
      <alignment horizontal="center" vertical="top"/>
    </xf>
    <xf numFmtId="167" fontId="11" fillId="0" borderId="0" xfId="0" applyNumberFormat="1" applyFont="1" applyAlignment="1" applyProtection="1">
      <alignment horizontal="center" vertical="top"/>
      <protection locked="0"/>
    </xf>
    <xf numFmtId="0" fontId="14" fillId="3" borderId="1" xfId="0" applyFont="1" applyFill="1" applyBorder="1" applyAlignment="1">
      <alignment horizontal="center" vertical="top" wrapText="1"/>
    </xf>
    <xf numFmtId="10" fontId="23" fillId="2" borderId="3" xfId="79" applyNumberFormat="1" applyFont="1" applyFill="1" applyAlignment="1">
      <alignment horizontal="center" vertical="top"/>
    </xf>
    <xf numFmtId="166" fontId="11" fillId="0" borderId="0" xfId="0" applyNumberFormat="1" applyFont="1" applyAlignment="1">
      <alignment horizontal="center"/>
    </xf>
    <xf numFmtId="182" fontId="23" fillId="2" borderId="3" xfId="79" applyNumberFormat="1" applyFont="1" applyFill="1" applyAlignment="1">
      <alignment horizontal="center" vertical="top"/>
    </xf>
    <xf numFmtId="0" fontId="0" fillId="0" borderId="2" xfId="0" applyBorder="1"/>
    <xf numFmtId="183" fontId="11" fillId="0" borderId="2" xfId="0" applyNumberFormat="1" applyFont="1" applyBorder="1"/>
    <xf numFmtId="178" fontId="11" fillId="0" borderId="2" xfId="0" applyNumberFormat="1" applyFont="1" applyBorder="1"/>
    <xf numFmtId="186" fontId="0" fillId="0" borderId="0" xfId="0" applyNumberFormat="1" applyAlignment="1">
      <alignment horizontal="center"/>
    </xf>
    <xf numFmtId="183" fontId="14" fillId="0" borderId="2" xfId="0" applyNumberFormat="1" applyFont="1" applyBorder="1"/>
    <xf numFmtId="0" fontId="0" fillId="3" borderId="1" xfId="0" applyFill="1" applyBorder="1" applyAlignment="1">
      <alignment horizontal="left"/>
    </xf>
    <xf numFmtId="0" fontId="0" fillId="0" borderId="13" xfId="0" applyBorder="1" applyAlignment="1">
      <alignment horizontal="center"/>
    </xf>
    <xf numFmtId="183" fontId="0" fillId="0" borderId="0" xfId="0" applyNumberFormat="1" applyAlignment="1">
      <alignment horizontal="center"/>
    </xf>
    <xf numFmtId="0" fontId="0" fillId="0" borderId="0" xfId="0" quotePrefix="1" applyAlignment="1">
      <alignment horizontal="center"/>
    </xf>
    <xf numFmtId="0" fontId="0" fillId="0" borderId="1" xfId="0" quotePrefix="1" applyBorder="1" applyAlignment="1">
      <alignment horizontal="center"/>
    </xf>
    <xf numFmtId="0" fontId="0" fillId="3" borderId="1" xfId="0" applyFill="1" applyBorder="1"/>
    <xf numFmtId="0" fontId="0" fillId="5" borderId="11" xfId="0" applyFill="1" applyBorder="1" applyAlignment="1">
      <alignment horizontal="center"/>
    </xf>
    <xf numFmtId="3" fontId="11" fillId="0" borderId="0" xfId="0" applyNumberFormat="1" applyFont="1" applyAlignment="1">
      <alignment horizontal="center"/>
    </xf>
    <xf numFmtId="10" fontId="27" fillId="0" borderId="0" xfId="0" applyNumberFormat="1" applyFont="1" applyAlignment="1">
      <alignment horizontal="center"/>
    </xf>
    <xf numFmtId="174" fontId="28" fillId="0" borderId="0" xfId="0" applyNumberFormat="1" applyFont="1" applyAlignment="1" applyProtection="1">
      <alignment horizontal="center"/>
      <protection locked="0"/>
    </xf>
    <xf numFmtId="174" fontId="11" fillId="0" borderId="0" xfId="0" applyNumberFormat="1" applyFont="1" applyProtection="1">
      <protection locked="0"/>
    </xf>
    <xf numFmtId="174" fontId="28" fillId="0" borderId="0" xfId="0" applyNumberFormat="1" applyFont="1" applyProtection="1">
      <protection locked="0"/>
    </xf>
    <xf numFmtId="175" fontId="0" fillId="0" borderId="0" xfId="0" applyNumberFormat="1"/>
    <xf numFmtId="175" fontId="27" fillId="0" borderId="0" xfId="0" applyNumberFormat="1" applyFont="1" applyAlignment="1">
      <alignment horizontal="center" vertical="top"/>
    </xf>
    <xf numFmtId="185" fontId="10" fillId="2" borderId="3" xfId="0" applyNumberFormat="1" applyFont="1" applyFill="1" applyBorder="1" applyAlignment="1" applyProtection="1">
      <alignment horizontal="center" vertical="top"/>
      <protection locked="0"/>
    </xf>
    <xf numFmtId="187" fontId="23" fillId="0" borderId="0" xfId="79" applyNumberFormat="1" applyFont="1" applyFill="1" applyBorder="1" applyAlignment="1"/>
    <xf numFmtId="188" fontId="23" fillId="0" borderId="0" xfId="79" applyNumberFormat="1" applyFont="1" applyFill="1" applyBorder="1" applyAlignment="1">
      <alignment horizontal="center" vertical="top"/>
    </xf>
    <xf numFmtId="189" fontId="26" fillId="0" borderId="0" xfId="0" applyNumberFormat="1" applyFont="1" applyAlignment="1">
      <alignment horizontal="center"/>
    </xf>
    <xf numFmtId="189" fontId="27" fillId="0" borderId="0" xfId="0" applyNumberFormat="1" applyFont="1" applyAlignment="1">
      <alignment horizontal="center"/>
    </xf>
    <xf numFmtId="0" fontId="11" fillId="0" borderId="0" xfId="0" applyFont="1" applyAlignment="1">
      <alignment horizontal="center" vertical="top"/>
    </xf>
    <xf numFmtId="181" fontId="0" fillId="0" borderId="0" xfId="0" applyNumberFormat="1" applyAlignment="1">
      <alignment vertical="top"/>
    </xf>
    <xf numFmtId="190" fontId="0" fillId="0" borderId="0" xfId="0" applyNumberFormat="1" applyAlignment="1">
      <alignment vertical="top"/>
    </xf>
    <xf numFmtId="0" fontId="19" fillId="0" borderId="0" xfId="0" applyFont="1" applyAlignment="1">
      <alignment horizontal="left" vertical="top" wrapText="1" indent="1"/>
    </xf>
    <xf numFmtId="189" fontId="4" fillId="0" borderId="0" xfId="0" applyNumberFormat="1" applyFont="1"/>
    <xf numFmtId="191" fontId="23" fillId="0" borderId="0" xfId="79" applyNumberFormat="1" applyFont="1" applyFill="1" applyBorder="1" applyAlignment="1"/>
    <xf numFmtId="0" fontId="0" fillId="0" borderId="20" xfId="0" applyBorder="1"/>
    <xf numFmtId="0" fontId="9" fillId="4" borderId="21" xfId="0" applyFont="1" applyFill="1" applyBorder="1"/>
    <xf numFmtId="15" fontId="9" fillId="4" borderId="22" xfId="0" applyNumberFormat="1" applyFont="1" applyFill="1" applyBorder="1" applyAlignment="1">
      <alignment horizontal="centerContinuous"/>
    </xf>
    <xf numFmtId="0" fontId="4" fillId="0" borderId="20" xfId="0" applyFont="1" applyBorder="1" applyAlignment="1">
      <alignment horizontal="center"/>
    </xf>
    <xf numFmtId="0" fontId="11" fillId="0" borderId="20" xfId="0" applyFont="1" applyBorder="1" applyAlignment="1">
      <alignment horizontal="center"/>
    </xf>
    <xf numFmtId="0" fontId="28" fillId="0" borderId="20" xfId="0" applyFont="1" applyBorder="1" applyAlignment="1">
      <alignment horizontal="center"/>
    </xf>
    <xf numFmtId="3" fontId="11" fillId="0" borderId="20" xfId="0" applyNumberFormat="1" applyFont="1" applyBorder="1" applyAlignment="1">
      <alignment horizontal="center"/>
    </xf>
    <xf numFmtId="189" fontId="27" fillId="0" borderId="20" xfId="0" applyNumberFormat="1" applyFont="1" applyBorder="1" applyAlignment="1">
      <alignment horizontal="center"/>
    </xf>
    <xf numFmtId="10" fontId="27" fillId="0" borderId="20" xfId="0" applyNumberFormat="1" applyFont="1" applyBorder="1" applyAlignment="1">
      <alignment horizontal="center"/>
    </xf>
    <xf numFmtId="2" fontId="27" fillId="0" borderId="20" xfId="0" applyNumberFormat="1" applyFont="1" applyBorder="1" applyAlignment="1">
      <alignment horizontal="center"/>
    </xf>
    <xf numFmtId="0" fontId="19" fillId="3" borderId="23" xfId="0" applyFont="1" applyFill="1" applyBorder="1"/>
    <xf numFmtId="175" fontId="0" fillId="0" borderId="20" xfId="0" applyNumberFormat="1" applyBorder="1"/>
    <xf numFmtId="181" fontId="0" fillId="0" borderId="20" xfId="0" applyNumberFormat="1" applyBorder="1"/>
    <xf numFmtId="181" fontId="0" fillId="0" borderId="20" xfId="0" applyNumberFormat="1" applyBorder="1" applyAlignment="1">
      <alignment vertical="top"/>
    </xf>
    <xf numFmtId="190" fontId="0" fillId="0" borderId="20" xfId="0" applyNumberFormat="1" applyBorder="1" applyAlignment="1">
      <alignment vertical="top"/>
    </xf>
    <xf numFmtId="174" fontId="28" fillId="0" borderId="20" xfId="0" applyNumberFormat="1" applyFont="1" applyBorder="1" applyProtection="1">
      <protection locked="0"/>
    </xf>
    <xf numFmtId="187" fontId="23" fillId="0" borderId="20" xfId="79" applyNumberFormat="1" applyFont="1" applyFill="1" applyBorder="1" applyAlignment="1"/>
    <xf numFmtId="179" fontId="23" fillId="0" borderId="20" xfId="79" applyNumberFormat="1" applyFont="1" applyFill="1" applyBorder="1" applyAlignment="1"/>
    <xf numFmtId="191" fontId="23" fillId="0" borderId="20" xfId="79" applyNumberFormat="1" applyFont="1" applyFill="1" applyBorder="1" applyAlignment="1"/>
    <xf numFmtId="15" fontId="9" fillId="4" borderId="23" xfId="0" applyNumberFormat="1" applyFont="1" applyFill="1" applyBorder="1" applyAlignment="1">
      <alignment horizontal="center"/>
    </xf>
    <xf numFmtId="182" fontId="14" fillId="0" borderId="20" xfId="0" applyNumberFormat="1" applyFont="1" applyBorder="1"/>
    <xf numFmtId="183" fontId="11" fillId="0" borderId="20" xfId="0" applyNumberFormat="1" applyFont="1" applyBorder="1"/>
    <xf numFmtId="183" fontId="11" fillId="0" borderId="24" xfId="0" applyNumberFormat="1" applyFont="1" applyBorder="1"/>
    <xf numFmtId="183" fontId="14" fillId="0" borderId="20" xfId="0" applyNumberFormat="1" applyFont="1" applyBorder="1"/>
    <xf numFmtId="183" fontId="28" fillId="0" borderId="20" xfId="0" applyNumberFormat="1" applyFont="1" applyBorder="1"/>
    <xf numFmtId="183" fontId="11" fillId="0" borderId="23" xfId="0" applyNumberFormat="1" applyFont="1" applyBorder="1"/>
    <xf numFmtId="165" fontId="14" fillId="0" borderId="20" xfId="0" applyNumberFormat="1" applyFont="1" applyBorder="1"/>
    <xf numFmtId="183" fontId="0" fillId="0" borderId="20" xfId="0" applyNumberFormat="1" applyBorder="1"/>
    <xf numFmtId="183" fontId="0" fillId="0" borderId="23" xfId="0" applyNumberFormat="1" applyBorder="1"/>
    <xf numFmtId="183" fontId="2" fillId="0" borderId="20" xfId="0" applyNumberFormat="1" applyFont="1" applyBorder="1"/>
    <xf numFmtId="183" fontId="28" fillId="0" borderId="20" xfId="0" applyNumberFormat="1" applyFont="1" applyBorder="1" applyAlignment="1">
      <alignment horizontal="right"/>
    </xf>
    <xf numFmtId="173" fontId="17" fillId="0" borderId="20" xfId="0" applyNumberFormat="1" applyFont="1" applyBorder="1" applyAlignment="1">
      <alignment horizontal="right"/>
    </xf>
    <xf numFmtId="170" fontId="17" fillId="0" borderId="20" xfId="0" applyNumberFormat="1" applyFont="1" applyBorder="1"/>
    <xf numFmtId="0" fontId="22" fillId="3" borderId="23" xfId="0" applyFont="1" applyFill="1" applyBorder="1"/>
    <xf numFmtId="183" fontId="0" fillId="0" borderId="24" xfId="0" applyNumberFormat="1" applyBorder="1"/>
    <xf numFmtId="166" fontId="11" fillId="0" borderId="20" xfId="0" applyNumberFormat="1" applyFont="1" applyBorder="1" applyAlignment="1" applyProtection="1">
      <alignment horizontal="center"/>
      <protection locked="0"/>
    </xf>
    <xf numFmtId="183" fontId="0" fillId="0" borderId="20" xfId="0" applyNumberFormat="1" applyBorder="1" applyAlignment="1">
      <alignment horizontal="right"/>
    </xf>
    <xf numFmtId="41" fontId="0" fillId="0" borderId="20" xfId="0" applyNumberFormat="1" applyBorder="1" applyAlignment="1">
      <alignment horizontal="right"/>
    </xf>
    <xf numFmtId="41" fontId="0" fillId="0" borderId="20" xfId="0" applyNumberFormat="1" applyBorder="1"/>
    <xf numFmtId="1" fontId="28" fillId="0" borderId="0" xfId="0" applyNumberFormat="1" applyFont="1" applyAlignment="1">
      <alignment horizontal="center" vertical="top"/>
    </xf>
    <xf numFmtId="0" fontId="0" fillId="0" borderId="2" xfId="0" applyBorder="1" applyAlignment="1">
      <alignment horizontal="center"/>
    </xf>
    <xf numFmtId="0" fontId="14" fillId="0" borderId="2" xfId="0" applyFont="1" applyBorder="1" applyAlignment="1">
      <alignment horizontal="left"/>
    </xf>
    <xf numFmtId="183" fontId="14" fillId="0" borderId="25" xfId="0" applyNumberFormat="1" applyFont="1" applyBorder="1"/>
    <xf numFmtId="0" fontId="10" fillId="0" borderId="0" xfId="0" applyFont="1" applyAlignment="1" applyProtection="1">
      <alignment horizontal="center" vertical="top"/>
      <protection locked="0"/>
    </xf>
    <xf numFmtId="0" fontId="2" fillId="0" borderId="2" xfId="0" applyFont="1" applyBorder="1" applyAlignment="1">
      <alignment horizontal="center"/>
    </xf>
    <xf numFmtId="0" fontId="14" fillId="3" borderId="11" xfId="0" applyFont="1" applyFill="1" applyBorder="1" applyAlignment="1">
      <alignment horizontal="center" vertical="top" wrapText="1"/>
    </xf>
    <xf numFmtId="184" fontId="11" fillId="0" borderId="0" xfId="0" applyNumberFormat="1" applyFont="1" applyAlignment="1">
      <alignment vertical="top"/>
    </xf>
    <xf numFmtId="175" fontId="11" fillId="0" borderId="0" xfId="0" applyNumberFormat="1" applyFont="1" applyAlignment="1">
      <alignment vertical="top"/>
    </xf>
    <xf numFmtId="2" fontId="11" fillId="0" borderId="0" xfId="0" applyNumberFormat="1" applyFont="1" applyAlignment="1">
      <alignment vertical="top"/>
    </xf>
    <xf numFmtId="41" fontId="30" fillId="2" borderId="3" xfId="0" applyNumberFormat="1" applyFont="1" applyFill="1" applyBorder="1" applyAlignment="1" applyProtection="1">
      <alignment horizontal="center"/>
      <protection locked="0"/>
    </xf>
    <xf numFmtId="183" fontId="2" fillId="0" borderId="2" xfId="0" applyNumberFormat="1" applyFont="1" applyBorder="1" applyAlignment="1">
      <alignment horizontal="center"/>
    </xf>
    <xf numFmtId="0" fontId="35" fillId="0" borderId="0" xfId="0" applyFont="1" applyAlignment="1">
      <alignment horizontal="center"/>
    </xf>
    <xf numFmtId="183" fontId="36" fillId="0" borderId="0" xfId="0" applyNumberFormat="1" applyFont="1" applyAlignment="1">
      <alignment horizontal="right"/>
    </xf>
    <xf numFmtId="183" fontId="36" fillId="0" borderId="20" xfId="0" applyNumberFormat="1" applyFont="1" applyBorder="1" applyAlignment="1">
      <alignment horizontal="right"/>
    </xf>
    <xf numFmtId="183" fontId="28" fillId="0" borderId="0" xfId="0" applyNumberFormat="1" applyFont="1" applyAlignment="1">
      <alignment horizontal="center"/>
    </xf>
    <xf numFmtId="0" fontId="0" fillId="0" borderId="0" xfId="0" applyAlignment="1">
      <alignment wrapText="1"/>
    </xf>
    <xf numFmtId="183" fontId="11" fillId="0" borderId="0" xfId="0" applyNumberFormat="1" applyFont="1" applyAlignment="1">
      <alignment vertical="top"/>
    </xf>
    <xf numFmtId="0" fontId="14" fillId="0" borderId="2" xfId="0" applyFont="1" applyBorder="1" applyAlignment="1">
      <alignment horizontal="left" vertical="top" wrapText="1"/>
    </xf>
    <xf numFmtId="0" fontId="14" fillId="0" borderId="2" xfId="0" applyFont="1" applyBorder="1" applyAlignment="1">
      <alignment horizontal="left" vertical="top"/>
    </xf>
    <xf numFmtId="183" fontId="14" fillId="0" borderId="2" xfId="0" applyNumberFormat="1" applyFont="1" applyBorder="1" applyAlignment="1">
      <alignment vertical="top"/>
    </xf>
    <xf numFmtId="183" fontId="14" fillId="0" borderId="25" xfId="0" applyNumberFormat="1" applyFont="1" applyBorder="1" applyAlignment="1">
      <alignment vertical="top"/>
    </xf>
    <xf numFmtId="186" fontId="0" fillId="0" borderId="0" xfId="0" applyNumberFormat="1"/>
    <xf numFmtId="187" fontId="0" fillId="0" borderId="0" xfId="0" applyNumberFormat="1"/>
    <xf numFmtId="164" fontId="0" fillId="0" borderId="0" xfId="0" applyNumberFormat="1"/>
    <xf numFmtId="0" fontId="0" fillId="8" borderId="0" xfId="0" applyFill="1"/>
    <xf numFmtId="0" fontId="14" fillId="8" borderId="0" xfId="0" applyFont="1" applyFill="1" applyAlignment="1">
      <alignment horizontal="left" indent="1"/>
    </xf>
    <xf numFmtId="0" fontId="17" fillId="8" borderId="0" xfId="0" applyFont="1" applyFill="1" applyAlignment="1">
      <alignment horizontal="center"/>
    </xf>
    <xf numFmtId="0" fontId="0" fillId="8" borderId="0" xfId="0" applyFill="1" applyAlignment="1">
      <alignment horizontal="center"/>
    </xf>
    <xf numFmtId="183" fontId="14" fillId="8" borderId="0" xfId="0" applyNumberFormat="1" applyFont="1" applyFill="1"/>
    <xf numFmtId="183" fontId="14" fillId="8" borderId="20" xfId="0" applyNumberFormat="1" applyFont="1" applyFill="1" applyBorder="1"/>
    <xf numFmtId="0" fontId="2" fillId="8" borderId="0" xfId="0" applyFont="1" applyFill="1"/>
    <xf numFmtId="183" fontId="28" fillId="0" borderId="2" xfId="0" applyNumberFormat="1" applyFont="1" applyBorder="1" applyAlignment="1">
      <alignment horizontal="right"/>
    </xf>
    <xf numFmtId="183" fontId="28" fillId="0" borderId="25" xfId="0" applyNumberFormat="1" applyFont="1" applyBorder="1" applyAlignment="1">
      <alignment horizontal="right"/>
    </xf>
    <xf numFmtId="189" fontId="17" fillId="0" borderId="2" xfId="0" applyNumberFormat="1" applyFont="1" applyBorder="1" applyAlignment="1">
      <alignment horizontal="right"/>
    </xf>
    <xf numFmtId="189" fontId="17" fillId="0" borderId="25" xfId="0" applyNumberFormat="1" applyFont="1" applyBorder="1" applyAlignment="1">
      <alignment horizontal="right"/>
    </xf>
    <xf numFmtId="9" fontId="10" fillId="2" borderId="3" xfId="0" applyNumberFormat="1" applyFont="1" applyFill="1" applyBorder="1" applyAlignment="1" applyProtection="1">
      <alignment horizontal="center" vertical="top"/>
      <protection locked="0"/>
    </xf>
    <xf numFmtId="183" fontId="11" fillId="0" borderId="20" xfId="0" applyNumberFormat="1" applyFont="1" applyBorder="1" applyAlignment="1">
      <alignment vertical="top"/>
    </xf>
    <xf numFmtId="183" fontId="28" fillId="0" borderId="20" xfId="0" applyNumberFormat="1" applyFont="1" applyBorder="1" applyAlignment="1">
      <alignment horizontal="center"/>
    </xf>
    <xf numFmtId="183" fontId="0" fillId="2" borderId="0" xfId="0" applyNumberFormat="1" applyFill="1"/>
    <xf numFmtId="185" fontId="28" fillId="0" borderId="0" xfId="0" applyNumberFormat="1" applyFont="1" applyAlignment="1">
      <alignment horizontal="center" vertical="top"/>
    </xf>
    <xf numFmtId="175" fontId="0" fillId="0" borderId="0" xfId="0" applyNumberFormat="1" applyAlignment="1">
      <alignment vertical="top"/>
    </xf>
    <xf numFmtId="173" fontId="11" fillId="0" borderId="0" xfId="0" applyNumberFormat="1" applyFont="1" applyAlignment="1">
      <alignment vertical="top"/>
    </xf>
    <xf numFmtId="185" fontId="11" fillId="0" borderId="0" xfId="0" applyNumberFormat="1" applyFont="1" applyAlignment="1" applyProtection="1">
      <alignment horizontal="center" vertical="top"/>
      <protection locked="0"/>
    </xf>
    <xf numFmtId="175" fontId="11" fillId="0" borderId="0" xfId="0" applyNumberFormat="1" applyFont="1" applyAlignment="1">
      <alignment horizontal="center" vertical="top"/>
    </xf>
    <xf numFmtId="184" fontId="11" fillId="0" borderId="0" xfId="0" applyNumberFormat="1" applyFont="1" applyAlignment="1">
      <alignment horizontal="center" vertical="top"/>
    </xf>
    <xf numFmtId="173" fontId="11" fillId="0" borderId="0" xfId="0" applyNumberFormat="1" applyFont="1" applyAlignment="1">
      <alignment horizontal="center" vertical="top"/>
    </xf>
    <xf numFmtId="2" fontId="11" fillId="0" borderId="0" xfId="0" applyNumberFormat="1" applyFont="1" applyAlignment="1">
      <alignment horizontal="center" vertical="top"/>
    </xf>
    <xf numFmtId="185" fontId="0" fillId="0" borderId="0" xfId="0" applyNumberFormat="1" applyAlignment="1">
      <alignment vertical="top"/>
    </xf>
    <xf numFmtId="173" fontId="0" fillId="0" borderId="0" xfId="0" applyNumberFormat="1" applyAlignment="1">
      <alignment vertical="top"/>
    </xf>
    <xf numFmtId="184" fontId="0" fillId="0" borderId="0" xfId="0" applyNumberFormat="1" applyAlignment="1">
      <alignment vertical="top"/>
    </xf>
    <xf numFmtId="2" fontId="0" fillId="0" borderId="0" xfId="0" applyNumberFormat="1" applyAlignment="1">
      <alignment vertical="top"/>
    </xf>
    <xf numFmtId="185" fontId="0" fillId="0" borderId="0" xfId="0" applyNumberFormat="1" applyAlignment="1">
      <alignment horizontal="center"/>
    </xf>
    <xf numFmtId="10" fontId="0" fillId="0" borderId="0" xfId="0" applyNumberFormat="1" applyAlignment="1">
      <alignment horizontal="center"/>
    </xf>
    <xf numFmtId="175" fontId="0" fillId="0" borderId="0" xfId="0" applyNumberFormat="1" applyAlignment="1">
      <alignment horizontal="center"/>
    </xf>
    <xf numFmtId="2" fontId="0" fillId="0" borderId="0" xfId="0" applyNumberFormat="1" applyAlignment="1">
      <alignment horizontal="center"/>
    </xf>
    <xf numFmtId="171" fontId="11" fillId="10" borderId="7" xfId="78" applyNumberFormat="1" applyFont="1" applyFill="1" applyBorder="1" applyAlignment="1">
      <alignment horizontal="center" vertical="top"/>
    </xf>
    <xf numFmtId="0" fontId="19" fillId="0" borderId="0" xfId="0" applyFont="1" applyAlignment="1">
      <alignment horizontal="left" vertical="top"/>
    </xf>
    <xf numFmtId="10" fontId="10" fillId="2" borderId="4" xfId="0" applyNumberFormat="1" applyFont="1" applyFill="1" applyBorder="1" applyAlignment="1" applyProtection="1">
      <alignment horizontal="center" vertical="top"/>
      <protection locked="0"/>
    </xf>
    <xf numFmtId="175" fontId="23" fillId="2" borderId="3" xfId="79" applyNumberFormat="1" applyFont="1" applyFill="1" applyAlignment="1">
      <alignment horizontal="center" vertical="top"/>
    </xf>
    <xf numFmtId="175" fontId="10" fillId="2" borderId="4" xfId="0" applyNumberFormat="1" applyFont="1" applyFill="1" applyBorder="1" applyAlignment="1" applyProtection="1">
      <alignment horizontal="center" vertical="top"/>
      <protection locked="0"/>
    </xf>
    <xf numFmtId="10" fontId="20" fillId="5" borderId="8" xfId="0" applyNumberFormat="1" applyFont="1" applyFill="1" applyBorder="1" applyAlignment="1">
      <alignment horizontal="center"/>
    </xf>
    <xf numFmtId="2" fontId="0" fillId="0" borderId="0" xfId="0" applyNumberFormat="1"/>
    <xf numFmtId="0" fontId="9" fillId="4" borderId="7" xfId="0" applyFont="1" applyFill="1" applyBorder="1" applyAlignment="1">
      <alignment vertical="top" wrapText="1"/>
    </xf>
    <xf numFmtId="0" fontId="9" fillId="4" borderId="11" xfId="0" applyFont="1" applyFill="1" applyBorder="1" applyAlignment="1">
      <alignment horizontal="left" vertical="top" wrapText="1"/>
    </xf>
    <xf numFmtId="0" fontId="9" fillId="4" borderId="11" xfId="0" applyFont="1" applyFill="1" applyBorder="1" applyAlignment="1">
      <alignment vertical="top" wrapText="1"/>
    </xf>
    <xf numFmtId="185" fontId="9" fillId="4" borderId="11" xfId="0" applyNumberFormat="1" applyFont="1" applyFill="1" applyBorder="1" applyAlignment="1">
      <alignment horizontal="center" vertical="top" wrapText="1"/>
    </xf>
    <xf numFmtId="175" fontId="9" fillId="4" borderId="11" xfId="0" applyNumberFormat="1" applyFont="1" applyFill="1" applyBorder="1" applyAlignment="1">
      <alignment horizontal="center" vertical="top" wrapText="1"/>
    </xf>
    <xf numFmtId="0" fontId="9" fillId="4" borderId="11" xfId="0" applyFont="1" applyFill="1" applyBorder="1" applyAlignment="1">
      <alignment horizontal="center" vertical="top" wrapText="1"/>
    </xf>
    <xf numFmtId="10" fontId="9" fillId="4" borderId="11" xfId="0" applyNumberFormat="1" applyFont="1" applyFill="1" applyBorder="1" applyAlignment="1">
      <alignment horizontal="center" vertical="top" wrapText="1"/>
    </xf>
    <xf numFmtId="173" fontId="9" fillId="4" borderId="11" xfId="0" applyNumberFormat="1" applyFont="1" applyFill="1" applyBorder="1" applyAlignment="1">
      <alignment horizontal="center" vertical="top" wrapText="1"/>
    </xf>
    <xf numFmtId="2" fontId="9" fillId="4" borderId="11" xfId="0" applyNumberFormat="1" applyFont="1" applyFill="1" applyBorder="1" applyAlignment="1">
      <alignment horizontal="center" vertical="top" wrapText="1"/>
    </xf>
    <xf numFmtId="2" fontId="9" fillId="4" borderId="8" xfId="0" applyNumberFormat="1" applyFont="1" applyFill="1" applyBorder="1" applyAlignment="1">
      <alignment horizontal="center" vertical="top" wrapText="1"/>
    </xf>
    <xf numFmtId="0" fontId="0" fillId="9" borderId="27" xfId="0" applyFill="1" applyBorder="1"/>
    <xf numFmtId="0" fontId="0" fillId="9" borderId="0" xfId="0" applyFill="1" applyAlignment="1">
      <alignment horizontal="left"/>
    </xf>
    <xf numFmtId="0" fontId="0" fillId="9" borderId="0" xfId="0" applyFill="1"/>
    <xf numFmtId="185" fontId="0" fillId="9" borderId="0" xfId="0" applyNumberFormat="1" applyFill="1" applyAlignment="1">
      <alignment horizontal="center"/>
    </xf>
    <xf numFmtId="175" fontId="0" fillId="9" borderId="0" xfId="0" applyNumberFormat="1" applyFill="1" applyAlignment="1">
      <alignment horizontal="center"/>
    </xf>
    <xf numFmtId="0" fontId="0" fillId="9" borderId="0" xfId="0" applyFill="1" applyAlignment="1">
      <alignment horizontal="center"/>
    </xf>
    <xf numFmtId="10" fontId="0" fillId="9" borderId="0" xfId="0" applyNumberFormat="1" applyFill="1" applyAlignment="1">
      <alignment horizontal="center"/>
    </xf>
    <xf numFmtId="173" fontId="0" fillId="9" borderId="0" xfId="0" applyNumberFormat="1" applyFill="1" applyAlignment="1">
      <alignment horizontal="center"/>
    </xf>
    <xf numFmtId="2" fontId="0" fillId="9" borderId="0" xfId="0" applyNumberFormat="1" applyFill="1" applyAlignment="1">
      <alignment horizontal="center"/>
    </xf>
    <xf numFmtId="2" fontId="0" fillId="9" borderId="28" xfId="0" applyNumberFormat="1" applyFill="1" applyBorder="1" applyAlignment="1">
      <alignment horizontal="center"/>
    </xf>
    <xf numFmtId="0" fontId="0" fillId="11" borderId="27" xfId="0" applyFill="1" applyBorder="1"/>
    <xf numFmtId="175" fontId="0" fillId="11" borderId="0" xfId="0" quotePrefix="1" applyNumberFormat="1" applyFill="1" applyAlignment="1">
      <alignment horizontal="left"/>
    </xf>
    <xf numFmtId="0" fontId="0" fillId="11" borderId="0" xfId="0" applyFill="1" applyAlignment="1">
      <alignment horizontal="left"/>
    </xf>
    <xf numFmtId="0" fontId="0" fillId="11" borderId="0" xfId="0" applyFill="1"/>
    <xf numFmtId="185" fontId="0" fillId="11" borderId="0" xfId="0" applyNumberFormat="1" applyFill="1" applyAlignment="1">
      <alignment horizontal="center"/>
    </xf>
    <xf numFmtId="175" fontId="0" fillId="11" borderId="0" xfId="0" applyNumberFormat="1" applyFill="1" applyAlignment="1">
      <alignment horizontal="center"/>
    </xf>
    <xf numFmtId="0" fontId="0" fillId="11" borderId="0" xfId="0" applyFill="1" applyAlignment="1">
      <alignment horizontal="center"/>
    </xf>
    <xf numFmtId="10" fontId="0" fillId="11" borderId="0" xfId="0" applyNumberFormat="1" applyFill="1" applyAlignment="1">
      <alignment horizontal="center"/>
    </xf>
    <xf numFmtId="173" fontId="0" fillId="11" borderId="0" xfId="0" applyNumberFormat="1" applyFill="1" applyAlignment="1">
      <alignment horizontal="center"/>
    </xf>
    <xf numFmtId="2" fontId="0" fillId="11" borderId="0" xfId="0" applyNumberFormat="1" applyFill="1" applyAlignment="1">
      <alignment horizontal="center"/>
    </xf>
    <xf numFmtId="2" fontId="0" fillId="11" borderId="28" xfId="0" applyNumberFormat="1" applyFill="1" applyBorder="1" applyAlignment="1">
      <alignment horizontal="center"/>
    </xf>
    <xf numFmtId="0" fontId="0" fillId="0" borderId="27" xfId="0" applyBorder="1"/>
    <xf numFmtId="9" fontId="0" fillId="0" borderId="0" xfId="0" applyNumberFormat="1" applyAlignment="1">
      <alignment horizontal="left"/>
    </xf>
    <xf numFmtId="2" fontId="0" fillId="0" borderId="28" xfId="0" applyNumberFormat="1" applyBorder="1" applyAlignment="1">
      <alignment horizontal="center"/>
    </xf>
    <xf numFmtId="10" fontId="0" fillId="0" borderId="0" xfId="0" applyNumberFormat="1" applyAlignment="1">
      <alignment horizontal="left"/>
    </xf>
    <xf numFmtId="175" fontId="0" fillId="9" borderId="0" xfId="0" applyNumberFormat="1" applyFill="1" applyAlignment="1">
      <alignment horizontal="left"/>
    </xf>
    <xf numFmtId="175" fontId="0" fillId="0" borderId="0" xfId="0" applyNumberFormat="1" applyAlignment="1">
      <alignment horizontal="left"/>
    </xf>
    <xf numFmtId="0" fontId="0" fillId="9" borderId="29" xfId="0" applyFill="1" applyBorder="1"/>
    <xf numFmtId="0" fontId="0" fillId="9" borderId="1" xfId="0" applyFill="1" applyBorder="1" applyAlignment="1">
      <alignment horizontal="left"/>
    </xf>
    <xf numFmtId="0" fontId="0" fillId="9" borderId="1" xfId="0" applyFill="1" applyBorder="1"/>
    <xf numFmtId="185" fontId="0" fillId="9" borderId="1" xfId="0" applyNumberFormat="1" applyFill="1" applyBorder="1" applyAlignment="1">
      <alignment horizontal="center"/>
    </xf>
    <xf numFmtId="175" fontId="0" fillId="9" borderId="1" xfId="0" applyNumberFormat="1" applyFill="1" applyBorder="1" applyAlignment="1">
      <alignment horizontal="center"/>
    </xf>
    <xf numFmtId="0" fontId="0" fillId="9" borderId="1" xfId="0" applyFill="1" applyBorder="1" applyAlignment="1">
      <alignment horizontal="center"/>
    </xf>
    <xf numFmtId="10" fontId="0" fillId="9" borderId="1" xfId="0" applyNumberFormat="1" applyFill="1" applyBorder="1" applyAlignment="1">
      <alignment horizontal="center"/>
    </xf>
    <xf numFmtId="173" fontId="0" fillId="9" borderId="1" xfId="0" applyNumberFormat="1" applyFill="1" applyBorder="1" applyAlignment="1">
      <alignment horizontal="center"/>
    </xf>
    <xf numFmtId="2" fontId="0" fillId="9" borderId="1" xfId="0" applyNumberFormat="1" applyFill="1" applyBorder="1" applyAlignment="1">
      <alignment horizontal="center"/>
    </xf>
    <xf numFmtId="2" fontId="0" fillId="9" borderId="30" xfId="0" applyNumberFormat="1" applyFill="1" applyBorder="1" applyAlignment="1">
      <alignment horizontal="center"/>
    </xf>
    <xf numFmtId="0" fontId="0" fillId="0" borderId="18" xfId="0" applyBorder="1"/>
    <xf numFmtId="0" fontId="0" fillId="0" borderId="2" xfId="0" applyBorder="1" applyAlignment="1">
      <alignment horizontal="centerContinuous"/>
    </xf>
    <xf numFmtId="185" fontId="0" fillId="0" borderId="26" xfId="0" applyNumberFormat="1" applyBorder="1" applyAlignment="1">
      <alignment horizontal="centerContinuous"/>
    </xf>
    <xf numFmtId="185" fontId="0" fillId="0" borderId="28" xfId="0" applyNumberFormat="1" applyBorder="1" applyAlignment="1">
      <alignment horizontal="center"/>
    </xf>
    <xf numFmtId="175" fontId="0" fillId="0" borderId="28" xfId="0" applyNumberFormat="1" applyBorder="1" applyAlignment="1">
      <alignment horizontal="center"/>
    </xf>
    <xf numFmtId="0" fontId="0" fillId="0" borderId="29" xfId="0" applyBorder="1"/>
    <xf numFmtId="10" fontId="0" fillId="0" borderId="1" xfId="0" applyNumberFormat="1" applyBorder="1" applyAlignment="1">
      <alignment horizontal="center"/>
    </xf>
    <xf numFmtId="175" fontId="0" fillId="0" borderId="1" xfId="0" applyNumberFormat="1" applyBorder="1" applyAlignment="1">
      <alignment horizontal="center"/>
    </xf>
    <xf numFmtId="175" fontId="0" fillId="0" borderId="30" xfId="0" applyNumberFormat="1" applyBorder="1" applyAlignment="1">
      <alignment horizontal="center"/>
    </xf>
    <xf numFmtId="9" fontId="0" fillId="0" borderId="2" xfId="0" applyNumberFormat="1" applyBorder="1" applyAlignment="1">
      <alignment horizontal="left"/>
    </xf>
    <xf numFmtId="0" fontId="0" fillId="0" borderId="2" xfId="0" applyBorder="1" applyAlignment="1">
      <alignment horizontal="left"/>
    </xf>
    <xf numFmtId="185" fontId="0" fillId="0" borderId="2" xfId="0" applyNumberFormat="1" applyBorder="1" applyAlignment="1">
      <alignment horizontal="center"/>
    </xf>
    <xf numFmtId="175" fontId="0" fillId="0" borderId="2" xfId="0" applyNumberFormat="1" applyBorder="1" applyAlignment="1">
      <alignment horizontal="center"/>
    </xf>
    <xf numFmtId="10" fontId="0" fillId="0" borderId="2" xfId="0" applyNumberFormat="1" applyBorder="1" applyAlignment="1">
      <alignment horizontal="center"/>
    </xf>
    <xf numFmtId="173" fontId="0" fillId="0" borderId="2" xfId="0" applyNumberFormat="1" applyBorder="1" applyAlignment="1">
      <alignment horizontal="center"/>
    </xf>
    <xf numFmtId="2" fontId="0" fillId="0" borderId="2" xfId="0" applyNumberFormat="1" applyBorder="1" applyAlignment="1">
      <alignment horizontal="center"/>
    </xf>
    <xf numFmtId="2" fontId="0" fillId="0" borderId="26" xfId="0" applyNumberFormat="1" applyBorder="1" applyAlignment="1">
      <alignment horizontal="center"/>
    </xf>
    <xf numFmtId="9"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85" fontId="0" fillId="0" borderId="1" xfId="0" applyNumberFormat="1" applyBorder="1" applyAlignment="1">
      <alignment horizontal="center"/>
    </xf>
    <xf numFmtId="173" fontId="0" fillId="0" borderId="1" xfId="0" applyNumberFormat="1" applyBorder="1" applyAlignment="1">
      <alignment horizontal="center"/>
    </xf>
    <xf numFmtId="2" fontId="0" fillId="0" borderId="1" xfId="0" applyNumberFormat="1" applyBorder="1" applyAlignment="1">
      <alignment horizontal="center"/>
    </xf>
    <xf numFmtId="2" fontId="0" fillId="0" borderId="30" xfId="0" applyNumberFormat="1" applyBorder="1" applyAlignment="1">
      <alignment horizontal="center"/>
    </xf>
    <xf numFmtId="0" fontId="0" fillId="0" borderId="26" xfId="0" applyBorder="1" applyAlignment="1">
      <alignment horizontal="left"/>
    </xf>
    <xf numFmtId="185" fontId="0" fillId="0" borderId="28" xfId="0" applyNumberFormat="1" applyBorder="1" applyAlignment="1">
      <alignment horizontal="left"/>
    </xf>
    <xf numFmtId="185" fontId="0" fillId="0" borderId="30" xfId="0" applyNumberFormat="1" applyBorder="1" applyAlignment="1">
      <alignment horizontal="left"/>
    </xf>
    <xf numFmtId="185" fontId="0" fillId="0" borderId="0" xfId="0" applyNumberFormat="1" applyAlignment="1">
      <alignment horizontal="left"/>
    </xf>
    <xf numFmtId="175" fontId="0" fillId="0" borderId="28" xfId="0" applyNumberFormat="1" applyBorder="1" applyAlignment="1">
      <alignment horizontal="left"/>
    </xf>
    <xf numFmtId="185" fontId="0" fillId="0" borderId="1" xfId="0" applyNumberFormat="1" applyBorder="1" applyAlignment="1">
      <alignment horizontal="left"/>
    </xf>
    <xf numFmtId="175" fontId="0" fillId="0" borderId="30" xfId="0" applyNumberFormat="1" applyBorder="1" applyAlignment="1">
      <alignment horizontal="left"/>
    </xf>
    <xf numFmtId="185" fontId="0" fillId="0" borderId="26" xfId="0" applyNumberFormat="1" applyBorder="1" applyAlignment="1">
      <alignment horizontal="center"/>
    </xf>
    <xf numFmtId="189" fontId="0" fillId="0" borderId="0" xfId="0" applyNumberFormat="1" applyAlignment="1">
      <alignment horizontal="left"/>
    </xf>
    <xf numFmtId="2" fontId="0" fillId="0" borderId="0" xfId="0" applyNumberFormat="1" applyAlignment="1">
      <alignment horizontal="left"/>
    </xf>
    <xf numFmtId="2" fontId="0" fillId="0" borderId="28" xfId="0" applyNumberFormat="1" applyBorder="1" applyAlignment="1">
      <alignment horizontal="left"/>
    </xf>
    <xf numFmtId="2" fontId="0" fillId="0" borderId="1" xfId="0" applyNumberFormat="1" applyBorder="1" applyAlignment="1">
      <alignment horizontal="left"/>
    </xf>
    <xf numFmtId="2" fontId="0" fillId="0" borderId="30" xfId="0" applyNumberFormat="1" applyBorder="1" applyAlignment="1">
      <alignment horizontal="left"/>
    </xf>
    <xf numFmtId="0" fontId="1" fillId="0" borderId="18" xfId="0" applyFont="1" applyBorder="1"/>
    <xf numFmtId="0" fontId="37" fillId="0" borderId="2" xfId="0" applyFont="1" applyBorder="1" applyAlignment="1">
      <alignment horizontal="centerContinuous"/>
    </xf>
    <xf numFmtId="0" fontId="1" fillId="0" borderId="2" xfId="0" applyFont="1" applyBorder="1" applyAlignment="1">
      <alignment horizontal="centerContinuous"/>
    </xf>
    <xf numFmtId="0" fontId="1" fillId="0" borderId="26" xfId="0" applyFont="1" applyBorder="1" applyAlignment="1">
      <alignment horizontal="centerContinuous"/>
    </xf>
    <xf numFmtId="0" fontId="38" fillId="0" borderId="29" xfId="0" applyFont="1" applyBorder="1"/>
    <xf numFmtId="0" fontId="38" fillId="0" borderId="27" xfId="0" applyFont="1" applyBorder="1"/>
    <xf numFmtId="2" fontId="38" fillId="0" borderId="0" xfId="0" applyNumberFormat="1" applyFont="1" applyAlignment="1">
      <alignment horizontal="center"/>
    </xf>
    <xf numFmtId="2" fontId="38" fillId="0" borderId="28" xfId="0" applyNumberFormat="1" applyFont="1" applyBorder="1" applyAlignment="1">
      <alignment horizontal="center"/>
    </xf>
    <xf numFmtId="2" fontId="38" fillId="0" borderId="1" xfId="0" applyNumberFormat="1" applyFont="1" applyBorder="1" applyAlignment="1">
      <alignment horizontal="center"/>
    </xf>
    <xf numFmtId="2" fontId="38" fillId="0" borderId="30" xfId="0" applyNumberFormat="1" applyFont="1" applyBorder="1" applyAlignment="1">
      <alignment horizontal="center"/>
    </xf>
    <xf numFmtId="0" fontId="39" fillId="0" borderId="0" xfId="0" applyFont="1" applyAlignment="1">
      <alignment horizontal="center"/>
    </xf>
    <xf numFmtId="0" fontId="39" fillId="0" borderId="28" xfId="0" applyFont="1" applyBorder="1" applyAlignment="1">
      <alignment horizontal="center"/>
    </xf>
    <xf numFmtId="175" fontId="0" fillId="0" borderId="1" xfId="0" applyNumberFormat="1" applyBorder="1" applyAlignment="1">
      <alignment horizontal="left"/>
    </xf>
    <xf numFmtId="0" fontId="0" fillId="0" borderId="27" xfId="0" applyBorder="1" applyAlignment="1">
      <alignment wrapText="1"/>
    </xf>
    <xf numFmtId="0" fontId="0" fillId="0" borderId="29" xfId="0" applyBorder="1" applyAlignment="1">
      <alignment wrapText="1"/>
    </xf>
    <xf numFmtId="1" fontId="0" fillId="0" borderId="0" xfId="0" applyNumberFormat="1" applyAlignment="1">
      <alignment vertical="top"/>
    </xf>
    <xf numFmtId="1" fontId="0" fillId="0" borderId="0" xfId="0" applyNumberFormat="1"/>
    <xf numFmtId="0" fontId="0" fillId="0" borderId="18" xfId="0" applyBorder="1" applyAlignment="1">
      <alignment horizontal="left" vertical="top" wrapText="1"/>
    </xf>
    <xf numFmtId="0" fontId="0" fillId="0" borderId="2" xfId="0"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0" fillId="0" borderId="29" xfId="0" applyBorder="1" applyAlignment="1">
      <alignment horizontal="left" vertical="top" wrapText="1"/>
    </xf>
    <xf numFmtId="0" fontId="0" fillId="0" borderId="1" xfId="0" applyBorder="1" applyAlignment="1">
      <alignment horizontal="left" vertical="top" wrapText="1"/>
    </xf>
    <xf numFmtId="2" fontId="0" fillId="0" borderId="27" xfId="0" applyNumberFormat="1" applyBorder="1"/>
    <xf numFmtId="2" fontId="0" fillId="0" borderId="0" xfId="0" applyNumberFormat="1" applyBorder="1" applyAlignment="1">
      <alignment horizontal="center"/>
    </xf>
    <xf numFmtId="0" fontId="0" fillId="0" borderId="26" xfId="0" applyBorder="1" applyAlignment="1">
      <alignment horizontal="center"/>
    </xf>
    <xf numFmtId="1" fontId="0" fillId="0" borderId="0" xfId="0" applyNumberFormat="1" applyBorder="1" applyAlignment="1">
      <alignment horizontal="center"/>
    </xf>
    <xf numFmtId="2" fontId="0" fillId="0" borderId="29" xfId="0" applyNumberFormat="1" applyBorder="1"/>
    <xf numFmtId="1" fontId="0" fillId="0" borderId="1" xfId="0" applyNumberFormat="1" applyBorder="1" applyAlignment="1">
      <alignment horizontal="center"/>
    </xf>
    <xf numFmtId="1" fontId="0" fillId="0" borderId="28" xfId="0" applyNumberFormat="1" applyBorder="1" applyAlignment="1">
      <alignment horizontal="center"/>
    </xf>
    <xf numFmtId="1" fontId="0" fillId="0" borderId="30" xfId="0" applyNumberFormat="1" applyBorder="1" applyAlignment="1">
      <alignment horizontal="center"/>
    </xf>
    <xf numFmtId="0" fontId="0" fillId="0" borderId="0" xfId="0" applyAlignment="1">
      <alignment horizontal="right"/>
    </xf>
    <xf numFmtId="173" fontId="0" fillId="0" borderId="0" xfId="0" applyNumberFormat="1" applyAlignment="1">
      <alignment horizontal="right"/>
    </xf>
    <xf numFmtId="176" fontId="19" fillId="0" borderId="0" xfId="0" applyNumberFormat="1" applyFont="1" applyAlignment="1">
      <alignment horizontal="right"/>
    </xf>
  </cellXfs>
  <cellStyles count="8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6" builtinId="8" hidden="1"/>
    <cellStyle name="Hyperlink" xfId="80" builtinId="8"/>
    <cellStyle name="Normal" xfId="0" builtinId="0"/>
    <cellStyle name="Normal 2" xfId="78" xr:uid="{00000000-0005-0000-0000-00004D000000}"/>
    <cellStyle name="Normal 22" xfId="75" xr:uid="{00000000-0005-0000-0000-00004E000000}"/>
    <cellStyle name="Note" xfId="79" builtinId="10"/>
  </cellStyles>
  <dxfs count="7">
    <dxf>
      <font>
        <color rgb="FFFF0000"/>
      </font>
      <fill>
        <patternFill>
          <bgColor theme="7" tint="0.59996337778862885"/>
        </patternFill>
      </fill>
    </dxf>
    <dxf>
      <font>
        <color rgb="FFFF0000"/>
      </font>
      <fill>
        <patternFill>
          <bgColor theme="7" tint="0.59996337778862885"/>
        </patternFill>
      </fill>
    </dxf>
    <dxf>
      <font>
        <color rgb="FFFF0000"/>
      </font>
      <fill>
        <patternFill>
          <bgColor theme="7" tint="0.59996337778862885"/>
        </patternFill>
      </fill>
    </dxf>
    <dxf>
      <font>
        <color rgb="FFFF0000"/>
      </font>
      <fill>
        <patternFill>
          <bgColor theme="7" tint="0.59996337778862885"/>
        </patternFill>
      </fill>
    </dxf>
    <dxf>
      <font>
        <color rgb="FFFF0000"/>
      </font>
      <fill>
        <patternFill>
          <bgColor theme="7" tint="0.59996337778862885"/>
        </patternFill>
      </fill>
    </dxf>
    <dxf>
      <font>
        <color rgb="FFFF0000"/>
      </font>
      <fill>
        <patternFill>
          <bgColor theme="7" tint="0.59996337778862885"/>
        </patternFill>
      </fill>
    </dxf>
    <dxf>
      <font>
        <color rgb="FFFF0000"/>
      </font>
      <fill>
        <patternFill>
          <bgColor theme="7" tint="0.59996337778862885"/>
        </patternFill>
      </fill>
    </dxf>
  </dxfs>
  <tableStyles count="0" defaultTableStyle="TableStyleMedium9" defaultPivotStyle="PivotStyleMedium7"/>
  <colors>
    <mruColors>
      <color rgb="FFFFD85D"/>
      <color rgb="FFFFFF99"/>
      <color rgb="FF67A9CF"/>
      <color rgb="FFB2182B"/>
      <color rgb="FFEF8A62"/>
      <color rgb="FF2166AC"/>
      <color rgb="FFFFE697"/>
      <color rgb="FFFFFFFF"/>
      <color rgb="FFFFA600"/>
      <color rgb="FF2498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Display" panose="020B0004020202020204" pitchFamily="34" charset="0"/>
                <a:ea typeface="+mn-ea"/>
                <a:cs typeface="Arial" panose="020B0604020202020204" pitchFamily="34" charset="0"/>
              </a:defRPr>
            </a:pPr>
            <a:r>
              <a:rPr lang="en-GB" sz="1100" b="1"/>
              <a:t>Change in equity IRR for P50 scenario</a:t>
            </a:r>
            <a:r>
              <a:rPr lang="en-GB" sz="1100" b="1" baseline="0"/>
              <a:t> (percentage points vs 10.4% base case) </a:t>
            </a:r>
            <a:endParaRPr lang="en-GB" sz="1100" b="1"/>
          </a:p>
        </c:rich>
      </c:tx>
      <c:layout>
        <c:manualLayout>
          <c:xMode val="edge"/>
          <c:yMode val="edge"/>
          <c:x val="0.11604494233173536"/>
          <c:y val="2.341153509657446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Display" panose="020B00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5.4927269605318019E-2"/>
          <c:y val="0.18331694578786789"/>
          <c:w val="0.6651029836223743"/>
          <c:h val="0.72491226667732522"/>
        </c:manualLayout>
      </c:layout>
      <c:barChart>
        <c:barDir val="bar"/>
        <c:grouping val="stacked"/>
        <c:varyColors val="0"/>
        <c:ser>
          <c:idx val="0"/>
          <c:order val="0"/>
          <c:tx>
            <c:strRef>
              <c:f>Data_for_Graphs!$C$111</c:f>
              <c:strCache>
                <c:ptCount val="1"/>
                <c:pt idx="0">
                  <c:v>Favourable</c:v>
                </c:pt>
              </c:strCache>
            </c:strRef>
          </c:tx>
          <c:spPr>
            <a:solidFill>
              <a:srgbClr val="67A9CF"/>
            </a:solidFill>
            <a:ln>
              <a:noFill/>
            </a:ln>
            <a:effectLst/>
          </c:spPr>
          <c:invertIfNegative val="0"/>
          <c:cat>
            <c:strRef>
              <c:f>Data_for_Graphs!$B$112:$B$121</c:f>
              <c:strCache>
                <c:ptCount val="10"/>
                <c:pt idx="0">
                  <c:v>Construction Capex </c:v>
                </c:pt>
                <c:pt idx="1">
                  <c:v>Electricity Rate Escalation Factor </c:v>
                </c:pt>
                <c:pt idx="2">
                  <c:v>Connection &amp; UoS Opex</c:v>
                </c:pt>
                <c:pt idx="3">
                  <c:v>O&amp;M Opex </c:v>
                </c:pt>
                <c:pt idx="4">
                  <c:v>Infrastructure Capex </c:v>
                </c:pt>
                <c:pt idx="5">
                  <c:v>Capex Contigency </c:v>
                </c:pt>
                <c:pt idx="6">
                  <c:v>Annual Degradation Factor</c:v>
                </c:pt>
                <c:pt idx="7">
                  <c:v>First Lien Interest Rate </c:v>
                </c:pt>
                <c:pt idx="8">
                  <c:v>Second Lien Interest Rate</c:v>
                </c:pt>
                <c:pt idx="9">
                  <c:v>Construction Debt Interest Rate </c:v>
                </c:pt>
              </c:strCache>
            </c:strRef>
          </c:cat>
          <c:val>
            <c:numRef>
              <c:f>Data_for_Graphs!$C$112:$C$121</c:f>
              <c:numCache>
                <c:formatCode>0.00%</c:formatCode>
                <c:ptCount val="10"/>
                <c:pt idx="0">
                  <c:v>6.0038399696350109E-2</c:v>
                </c:pt>
                <c:pt idx="1">
                  <c:v>3.3826100826263389E-2</c:v>
                </c:pt>
                <c:pt idx="2">
                  <c:v>1.9235634803771967E-2</c:v>
                </c:pt>
                <c:pt idx="3">
                  <c:v>1.6323518753051713E-2</c:v>
                </c:pt>
                <c:pt idx="4">
                  <c:v>1.2541508674621588E-2</c:v>
                </c:pt>
                <c:pt idx="5">
                  <c:v>2.2824883460998424E-3</c:v>
                </c:pt>
                <c:pt idx="6">
                  <c:v>1.2184143066406306E-3</c:v>
                </c:pt>
                <c:pt idx="7">
                  <c:v>2.4338006973266546E-3</c:v>
                </c:pt>
                <c:pt idx="8">
                  <c:v>1.6216039657593051E-3</c:v>
                </c:pt>
                <c:pt idx="9">
                  <c:v>1.0831117630004938E-3</c:v>
                </c:pt>
              </c:numCache>
            </c:numRef>
          </c:val>
          <c:extLst>
            <c:ext xmlns:c16="http://schemas.microsoft.com/office/drawing/2014/chart" uri="{C3380CC4-5D6E-409C-BE32-E72D297353CC}">
              <c16:uniqueId val="{00000000-3EDC-46B0-9C43-1041BE127242}"/>
            </c:ext>
          </c:extLst>
        </c:ser>
        <c:ser>
          <c:idx val="1"/>
          <c:order val="1"/>
          <c:tx>
            <c:strRef>
              <c:f>Data_for_Graphs!$D$111</c:f>
              <c:strCache>
                <c:ptCount val="1"/>
                <c:pt idx="0">
                  <c:v>Adverse</c:v>
                </c:pt>
              </c:strCache>
            </c:strRef>
          </c:tx>
          <c:spPr>
            <a:solidFill>
              <a:srgbClr val="EF8A62"/>
            </a:solidFill>
            <a:ln>
              <a:noFill/>
            </a:ln>
            <a:effectLst/>
          </c:spPr>
          <c:invertIfNegative val="0"/>
          <c:cat>
            <c:strRef>
              <c:f>Data_for_Graphs!$B$112:$B$121</c:f>
              <c:strCache>
                <c:ptCount val="10"/>
                <c:pt idx="0">
                  <c:v>Construction Capex </c:v>
                </c:pt>
                <c:pt idx="1">
                  <c:v>Electricity Rate Escalation Factor </c:v>
                </c:pt>
                <c:pt idx="2">
                  <c:v>Connection &amp; UoS Opex</c:v>
                </c:pt>
                <c:pt idx="3">
                  <c:v>O&amp;M Opex </c:v>
                </c:pt>
                <c:pt idx="4">
                  <c:v>Infrastructure Capex </c:v>
                </c:pt>
                <c:pt idx="5">
                  <c:v>Capex Contigency </c:v>
                </c:pt>
                <c:pt idx="6">
                  <c:v>Annual Degradation Factor</c:v>
                </c:pt>
                <c:pt idx="7">
                  <c:v>First Lien Interest Rate </c:v>
                </c:pt>
                <c:pt idx="8">
                  <c:v>Second Lien Interest Rate</c:v>
                </c:pt>
                <c:pt idx="9">
                  <c:v>Construction Debt Interest Rate </c:v>
                </c:pt>
              </c:strCache>
            </c:strRef>
          </c:cat>
          <c:val>
            <c:numRef>
              <c:f>Data_for_Graphs!$D$112:$D$121</c:f>
              <c:numCache>
                <c:formatCode>0.00%</c:formatCode>
                <c:ptCount val="10"/>
                <c:pt idx="0">
                  <c:v>-7.4050346016883872E-2</c:v>
                </c:pt>
                <c:pt idx="1">
                  <c:v>-3.1086191534996019E-2</c:v>
                </c:pt>
                <c:pt idx="2">
                  <c:v>-3.2453277707099895E-2</c:v>
                </c:pt>
                <c:pt idx="3">
                  <c:v>-2.9627552628517143E-2</c:v>
                </c:pt>
                <c:pt idx="4">
                  <c:v>-1.9684109091758731E-2</c:v>
                </c:pt>
                <c:pt idx="5">
                  <c:v>-1.123532950878145E-2</c:v>
                </c:pt>
                <c:pt idx="6">
                  <c:v>-1.1860904097557079E-2</c:v>
                </c:pt>
                <c:pt idx="7">
                  <c:v>-2.334892749786377E-3</c:v>
                </c:pt>
                <c:pt idx="8">
                  <c:v>-1.5913844108581543E-3</c:v>
                </c:pt>
                <c:pt idx="9">
                  <c:v>-2.3794412612914984E-3</c:v>
                </c:pt>
              </c:numCache>
            </c:numRef>
          </c:val>
          <c:extLst>
            <c:ext xmlns:c16="http://schemas.microsoft.com/office/drawing/2014/chart" uri="{C3380CC4-5D6E-409C-BE32-E72D297353CC}">
              <c16:uniqueId val="{00000001-3EDC-46B0-9C43-1041BE127242}"/>
            </c:ext>
          </c:extLst>
        </c:ser>
        <c:dLbls>
          <c:showLegendKey val="0"/>
          <c:showVal val="0"/>
          <c:showCatName val="0"/>
          <c:showSerName val="0"/>
          <c:showPercent val="0"/>
          <c:showBubbleSize val="0"/>
        </c:dLbls>
        <c:gapWidth val="150"/>
        <c:overlap val="100"/>
        <c:axId val="1630482687"/>
        <c:axId val="1630481727"/>
      </c:barChart>
      <c:catAx>
        <c:axId val="163048268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Arial" panose="020B0604020202020204" pitchFamily="34" charset="0"/>
              </a:defRPr>
            </a:pPr>
            <a:endParaRPr lang="en-US"/>
          </a:p>
        </c:txPr>
        <c:crossAx val="1630481727"/>
        <c:crosses val="autoZero"/>
        <c:auto val="1"/>
        <c:lblAlgn val="ctr"/>
        <c:lblOffset val="100"/>
        <c:noMultiLvlLbl val="0"/>
      </c:catAx>
      <c:valAx>
        <c:axId val="1630481727"/>
        <c:scaling>
          <c:orientation val="minMax"/>
          <c:max val="8.0000000000000016E-2"/>
          <c:min val="-8.0000000000000016E-2"/>
        </c:scaling>
        <c:delete val="0"/>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Arial" panose="020B0604020202020204" pitchFamily="34" charset="0"/>
              </a:defRPr>
            </a:pPr>
            <a:endParaRPr lang="en-US"/>
          </a:p>
        </c:txPr>
        <c:crossAx val="1630482687"/>
        <c:crosses val="autoZero"/>
        <c:crossBetween val="between"/>
        <c:majorUnit val="2.0000000000000004E-2"/>
        <c:minorUnit val="5.000000000000001E-3"/>
      </c:valAx>
      <c:spPr>
        <a:noFill/>
        <a:ln>
          <a:noFill/>
        </a:ln>
        <a:effectLst/>
      </c:spPr>
    </c:plotArea>
    <c:legend>
      <c:legendPos val="t"/>
      <c:layout>
        <c:manualLayout>
          <c:xMode val="edge"/>
          <c:yMode val="edge"/>
          <c:x val="0.30898813515818407"/>
          <c:y val="9.8339322969244233E-2"/>
          <c:w val="0.25222534091755883"/>
          <c:h val="6.182192610539067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Display" panose="020B0004020202020204" pitchFamily="34" charset="0"/>
                <a:ea typeface="+mn-ea"/>
                <a:cs typeface="+mn-cs"/>
              </a:defRPr>
            </a:pPr>
            <a:r>
              <a:rPr lang="en-GB" sz="1100" b="1"/>
              <a:t>Financial</a:t>
            </a:r>
            <a:r>
              <a:rPr lang="en-GB" sz="1100" b="1" baseline="0"/>
              <a:t> model base case results for all scenarios (P50 to P99)</a:t>
            </a:r>
            <a:endParaRPr lang="en-GB" sz="1100" b="1"/>
          </a:p>
        </c:rich>
      </c:tx>
      <c:layout>
        <c:manualLayout>
          <c:xMode val="edge"/>
          <c:yMode val="edge"/>
          <c:x val="0.18837872176805925"/>
          <c:y val="1.4580372575379297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GB"/>
        </a:p>
      </c:txPr>
    </c:title>
    <c:autoTitleDeleted val="0"/>
    <c:plotArea>
      <c:layout/>
      <c:lineChart>
        <c:grouping val="standard"/>
        <c:varyColors val="0"/>
        <c:ser>
          <c:idx val="0"/>
          <c:order val="0"/>
          <c:tx>
            <c:strRef>
              <c:f>Data_for_Graphs!$L$2</c:f>
              <c:strCache>
                <c:ptCount val="1"/>
                <c:pt idx="0">
                  <c:v>Equity IRR</c:v>
                </c:pt>
              </c:strCache>
            </c:strRef>
          </c:tx>
          <c:spPr>
            <a:ln w="28575" cap="rnd">
              <a:solidFill>
                <a:srgbClr val="67A9CF"/>
              </a:solidFill>
              <a:round/>
            </a:ln>
            <a:effectLst/>
          </c:spPr>
          <c:marker>
            <c:symbol val="square"/>
            <c:size val="7"/>
            <c:spPr>
              <a:solidFill>
                <a:srgbClr val="67A9CF"/>
              </a:solidFill>
              <a:ln w="9525">
                <a:solidFill>
                  <a:srgbClr val="67A9CF"/>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Data_for_Graphs!$B$4:$B$7</c:f>
              <c:strCache>
                <c:ptCount val="4"/>
                <c:pt idx="0">
                  <c:v>Base P50</c:v>
                </c:pt>
                <c:pt idx="1">
                  <c:v>Base P75</c:v>
                </c:pt>
                <c:pt idx="2">
                  <c:v>Base P90</c:v>
                </c:pt>
                <c:pt idx="3">
                  <c:v>Base P99</c:v>
                </c:pt>
              </c:strCache>
            </c:strRef>
          </c:cat>
          <c:val>
            <c:numRef>
              <c:f>Data_for_Graphs!$L$4:$L$7</c:f>
              <c:numCache>
                <c:formatCode>0.00%</c:formatCode>
                <c:ptCount val="4"/>
                <c:pt idx="0">
                  <c:v>0.10405264496803285</c:v>
                </c:pt>
                <c:pt idx="1">
                  <c:v>6.4011439681053162E-2</c:v>
                </c:pt>
                <c:pt idx="2">
                  <c:v>2.7292004227638243E-2</c:v>
                </c:pt>
                <c:pt idx="3">
                  <c:v>-3.7061130255460747E-2</c:v>
                </c:pt>
              </c:numCache>
            </c:numRef>
          </c:val>
          <c:smooth val="0"/>
          <c:extLst>
            <c:ext xmlns:c16="http://schemas.microsoft.com/office/drawing/2014/chart" uri="{C3380CC4-5D6E-409C-BE32-E72D297353CC}">
              <c16:uniqueId val="{00000000-BF10-430E-BDC0-FDE8E9A749BE}"/>
            </c:ext>
          </c:extLst>
        </c:ser>
        <c:dLbls>
          <c:showLegendKey val="0"/>
          <c:showVal val="0"/>
          <c:showCatName val="0"/>
          <c:showSerName val="0"/>
          <c:showPercent val="0"/>
          <c:showBubbleSize val="0"/>
        </c:dLbls>
        <c:marker val="1"/>
        <c:smooth val="0"/>
        <c:axId val="593561087"/>
        <c:axId val="593561567"/>
      </c:lineChart>
      <c:scatterChart>
        <c:scatterStyle val="smoothMarker"/>
        <c:varyColors val="0"/>
        <c:ser>
          <c:idx val="1"/>
          <c:order val="1"/>
          <c:tx>
            <c:strRef>
              <c:f>Data_for_Graphs!$M$2</c:f>
              <c:strCache>
                <c:ptCount val="1"/>
                <c:pt idx="0">
                  <c:v>Cash on cash multiple</c:v>
                </c:pt>
              </c:strCache>
            </c:strRef>
          </c:tx>
          <c:spPr>
            <a:ln w="28575" cap="rnd">
              <a:solidFill>
                <a:srgbClr val="EF8A62"/>
              </a:solidFill>
              <a:round/>
            </a:ln>
            <a:effectLst/>
          </c:spPr>
          <c:marker>
            <c:symbol val="circle"/>
            <c:size val="8"/>
            <c:spPr>
              <a:solidFill>
                <a:srgbClr val="EF8A62"/>
              </a:solidFill>
              <a:ln w="9525">
                <a:solidFill>
                  <a:srgbClr val="EF8A62"/>
                </a:solidFill>
              </a:ln>
              <a:effectLst/>
            </c:spPr>
          </c:marker>
          <c:dLbls>
            <c:dLbl>
              <c:idx val="0"/>
              <c:layout>
                <c:manualLayout>
                  <c:x val="-5.7259864289402176E-2"/>
                  <c:y val="-3.6118339235359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10-430E-BDC0-FDE8E9A749BE}"/>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strRef>
              <c:f>Data_for_Graphs!$B$4:$B$7</c:f>
              <c:strCache>
                <c:ptCount val="4"/>
                <c:pt idx="0">
                  <c:v>Base P50</c:v>
                </c:pt>
                <c:pt idx="1">
                  <c:v>Base P75</c:v>
                </c:pt>
                <c:pt idx="2">
                  <c:v>Base P90</c:v>
                </c:pt>
                <c:pt idx="3">
                  <c:v>Base P99</c:v>
                </c:pt>
              </c:strCache>
            </c:strRef>
          </c:xVal>
          <c:yVal>
            <c:numRef>
              <c:f>Data_for_Graphs!$M$4:$M$7</c:f>
              <c:numCache>
                <c:formatCode>0.00\ \x</c:formatCode>
                <c:ptCount val="4"/>
                <c:pt idx="0">
                  <c:v>1.5662522735273705</c:v>
                </c:pt>
                <c:pt idx="1">
                  <c:v>1.3450814882644331</c:v>
                </c:pt>
                <c:pt idx="2">
                  <c:v>1.1460507792927683</c:v>
                </c:pt>
                <c:pt idx="3">
                  <c:v>0.80369804097825248</c:v>
                </c:pt>
              </c:numCache>
            </c:numRef>
          </c:yVal>
          <c:smooth val="1"/>
          <c:extLst>
            <c:ext xmlns:c16="http://schemas.microsoft.com/office/drawing/2014/chart" uri="{C3380CC4-5D6E-409C-BE32-E72D297353CC}">
              <c16:uniqueId val="{00000001-BF10-430E-BDC0-FDE8E9A749BE}"/>
            </c:ext>
          </c:extLst>
        </c:ser>
        <c:dLbls>
          <c:showLegendKey val="0"/>
          <c:showVal val="0"/>
          <c:showCatName val="0"/>
          <c:showSerName val="0"/>
          <c:showPercent val="0"/>
          <c:showBubbleSize val="0"/>
        </c:dLbls>
        <c:axId val="587030111"/>
        <c:axId val="587033471"/>
      </c:scatterChart>
      <c:catAx>
        <c:axId val="59356108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93561567"/>
        <c:crosses val="autoZero"/>
        <c:auto val="1"/>
        <c:lblAlgn val="ctr"/>
        <c:lblOffset val="100"/>
        <c:noMultiLvlLbl val="0"/>
      </c:catAx>
      <c:valAx>
        <c:axId val="593561567"/>
        <c:scaling>
          <c:orientation val="minMax"/>
          <c:min val="-4.0000000000000008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r>
                  <a:rPr lang="en-GB" sz="900"/>
                  <a:t> IRR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93561087"/>
        <c:crosses val="autoZero"/>
        <c:crossBetween val="between"/>
        <c:minorUnit val="1.0000000000000002E-2"/>
      </c:valAx>
      <c:valAx>
        <c:axId val="587033471"/>
        <c:scaling>
          <c:orientation val="minMax"/>
          <c:max val="1.6"/>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r>
                  <a:rPr lang="en-GB"/>
                  <a:t>Multiple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00\ \x"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87030111"/>
        <c:crosses val="max"/>
        <c:crossBetween val="midCat"/>
        <c:majorUnit val="0.4"/>
      </c:valAx>
      <c:valAx>
        <c:axId val="587030111"/>
        <c:scaling>
          <c:orientation val="minMax"/>
        </c:scaling>
        <c:delete val="1"/>
        <c:axPos val="b"/>
        <c:numFmt formatCode="General" sourceLinked="1"/>
        <c:majorTickMark val="out"/>
        <c:minorTickMark val="none"/>
        <c:tickLblPos val="nextTo"/>
        <c:crossAx val="5870334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Display" panose="020B0004020202020204" pitchFamily="34" charset="0"/>
                <a:ea typeface="+mn-ea"/>
                <a:cs typeface="+mn-cs"/>
              </a:defRPr>
            </a:pPr>
            <a:r>
              <a:rPr lang="en-GB" sz="1100" b="1"/>
              <a:t>Contingency impact on the IRR across all scenarios (P50 to P99)</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lineChart>
        <c:grouping val="standard"/>
        <c:varyColors val="0"/>
        <c:ser>
          <c:idx val="0"/>
          <c:order val="0"/>
          <c:tx>
            <c:v>2.5% (Base)</c:v>
          </c:tx>
          <c:spPr>
            <a:ln w="28575" cap="rnd">
              <a:solidFill>
                <a:srgbClr val="2166AC"/>
              </a:solidFill>
              <a:round/>
            </a:ln>
            <a:effectLst/>
          </c:spPr>
          <c:marker>
            <c:symbol val="circle"/>
            <c:size val="5"/>
            <c:spPr>
              <a:solidFill>
                <a:srgbClr val="2166AC"/>
              </a:solidFill>
              <a:ln w="9525">
                <a:solidFill>
                  <a:srgbClr val="2166AC"/>
                </a:solidFill>
              </a:ln>
              <a:effectLst/>
            </c:spPr>
          </c:marker>
          <c:dLbls>
            <c:dLbl>
              <c:idx val="0"/>
              <c:layout>
                <c:manualLayout>
                  <c:x val="-9.1740329264876103E-2"/>
                  <c:y val="-1.9530053279340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76-4D8C-8BAE-2E6A68FC4A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Data_for_Graphs!$D$4:$D$7</c:f>
              <c:strCache>
                <c:ptCount val="4"/>
                <c:pt idx="0">
                  <c:v>P50</c:v>
                </c:pt>
                <c:pt idx="1">
                  <c:v>P75</c:v>
                </c:pt>
                <c:pt idx="2">
                  <c:v>P90</c:v>
                </c:pt>
                <c:pt idx="3">
                  <c:v>P99</c:v>
                </c:pt>
              </c:strCache>
            </c:strRef>
          </c:cat>
          <c:val>
            <c:numRef>
              <c:f>Data_for_Graphs!$L$4:$L$7</c:f>
              <c:numCache>
                <c:formatCode>0.00%</c:formatCode>
                <c:ptCount val="4"/>
                <c:pt idx="0">
                  <c:v>0.10405264496803285</c:v>
                </c:pt>
                <c:pt idx="1">
                  <c:v>6.4011439681053162E-2</c:v>
                </c:pt>
                <c:pt idx="2">
                  <c:v>2.7292004227638243E-2</c:v>
                </c:pt>
                <c:pt idx="3">
                  <c:v>-3.7061130255460747E-2</c:v>
                </c:pt>
              </c:numCache>
            </c:numRef>
          </c:val>
          <c:smooth val="0"/>
          <c:extLst>
            <c:ext xmlns:c16="http://schemas.microsoft.com/office/drawing/2014/chart" uri="{C3380CC4-5D6E-409C-BE32-E72D297353CC}">
              <c16:uniqueId val="{00000000-9E76-4D8C-8BAE-2E6A68FC4AF8}"/>
            </c:ext>
          </c:extLst>
        </c:ser>
        <c:ser>
          <c:idx val="2"/>
          <c:order val="1"/>
          <c:tx>
            <c:v>5% (Upper Case)</c:v>
          </c:tx>
          <c:spPr>
            <a:ln w="28575" cap="rnd">
              <a:solidFill>
                <a:srgbClr val="67A9CF"/>
              </a:solidFill>
              <a:round/>
            </a:ln>
            <a:effectLst/>
          </c:spPr>
          <c:marker>
            <c:symbol val="circle"/>
            <c:size val="5"/>
            <c:spPr>
              <a:solidFill>
                <a:srgbClr val="67A9CF"/>
              </a:solidFill>
              <a:ln w="9525">
                <a:solidFill>
                  <a:srgbClr val="67A9CF"/>
                </a:solidFill>
              </a:ln>
              <a:effectLst/>
            </c:spPr>
          </c:marker>
          <c:cat>
            <c:strRef>
              <c:f>Data_for_Graphs!$D$4:$D$7</c:f>
              <c:strCache>
                <c:ptCount val="4"/>
                <c:pt idx="0">
                  <c:v>P50</c:v>
                </c:pt>
                <c:pt idx="1">
                  <c:v>P75</c:v>
                </c:pt>
                <c:pt idx="2">
                  <c:v>P90</c:v>
                </c:pt>
                <c:pt idx="3">
                  <c:v>P99</c:v>
                </c:pt>
              </c:strCache>
            </c:strRef>
          </c:cat>
          <c:val>
            <c:numRef>
              <c:f>Data_for_Graphs!$L$14:$L$17</c:f>
              <c:numCache>
                <c:formatCode>0.00%</c:formatCode>
                <c:ptCount val="4"/>
                <c:pt idx="0">
                  <c:v>9.2817315459251398E-2</c:v>
                </c:pt>
                <c:pt idx="1">
                  <c:v>5.3211507201194774E-2</c:v>
                </c:pt>
                <c:pt idx="2">
                  <c:v>1.6957625746726993E-2</c:v>
                </c:pt>
                <c:pt idx="3">
                  <c:v>-4.6447874605655672E-2</c:v>
                </c:pt>
              </c:numCache>
            </c:numRef>
          </c:val>
          <c:smooth val="0"/>
          <c:extLst>
            <c:ext xmlns:c16="http://schemas.microsoft.com/office/drawing/2014/chart" uri="{C3380CC4-5D6E-409C-BE32-E72D297353CC}">
              <c16:uniqueId val="{00000001-9E76-4D8C-8BAE-2E6A68FC4AF8}"/>
            </c:ext>
          </c:extLst>
        </c:ser>
        <c:ser>
          <c:idx val="3"/>
          <c:order val="2"/>
          <c:tx>
            <c:v>10% (Additional Test)</c:v>
          </c:tx>
          <c:spPr>
            <a:ln w="28575" cap="rnd">
              <a:solidFill>
                <a:srgbClr val="EF8A62"/>
              </a:solidFill>
              <a:round/>
            </a:ln>
            <a:effectLst/>
          </c:spPr>
          <c:marker>
            <c:symbol val="circle"/>
            <c:size val="5"/>
            <c:spPr>
              <a:solidFill>
                <a:srgbClr val="EF8A62"/>
              </a:solidFill>
              <a:ln w="9525">
                <a:solidFill>
                  <a:srgbClr val="EF8A62"/>
                </a:solidFill>
              </a:ln>
              <a:effectLst/>
            </c:spPr>
          </c:marker>
          <c:dLbls>
            <c:dLbl>
              <c:idx val="3"/>
              <c:layout>
                <c:manualLayout>
                  <c:x val="-1.9924256698071732E-3"/>
                  <c:y val="1.09608915527900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76-4D8C-8BAE-2E6A68FC4A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Data_for_Graphs!$D$4:$D$7</c:f>
              <c:strCache>
                <c:ptCount val="4"/>
                <c:pt idx="0">
                  <c:v>P50</c:v>
                </c:pt>
                <c:pt idx="1">
                  <c:v>P75</c:v>
                </c:pt>
                <c:pt idx="2">
                  <c:v>P90</c:v>
                </c:pt>
                <c:pt idx="3">
                  <c:v>P99</c:v>
                </c:pt>
              </c:strCache>
            </c:strRef>
          </c:cat>
          <c:val>
            <c:numRef>
              <c:f>Data_for_Graphs!$L$123:$L$126</c:f>
              <c:numCache>
                <c:formatCode>0.00%</c:formatCode>
                <c:ptCount val="4"/>
                <c:pt idx="0">
                  <c:v>7.1222260594367981E-2</c:v>
                </c:pt>
                <c:pt idx="1">
                  <c:v>3.2527634501457223E-2</c:v>
                </c:pt>
                <c:pt idx="2">
                  <c:v>-2.7746632695198068E-3</c:v>
                </c:pt>
                <c:pt idx="3">
                  <c:v>-6.4293321967124936E-2</c:v>
                </c:pt>
              </c:numCache>
            </c:numRef>
          </c:val>
          <c:smooth val="0"/>
          <c:extLst>
            <c:ext xmlns:c16="http://schemas.microsoft.com/office/drawing/2014/chart" uri="{C3380CC4-5D6E-409C-BE32-E72D297353CC}">
              <c16:uniqueId val="{00000002-9E76-4D8C-8BAE-2E6A68FC4AF8}"/>
            </c:ext>
          </c:extLst>
        </c:ser>
        <c:dLbls>
          <c:showLegendKey val="0"/>
          <c:showVal val="0"/>
          <c:showCatName val="0"/>
          <c:showSerName val="0"/>
          <c:showPercent val="0"/>
          <c:showBubbleSize val="0"/>
        </c:dLbls>
        <c:marker val="1"/>
        <c:smooth val="0"/>
        <c:axId val="604702335"/>
        <c:axId val="604693695"/>
      </c:lineChart>
      <c:catAx>
        <c:axId val="6047023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04693695"/>
        <c:crosses val="autoZero"/>
        <c:auto val="1"/>
        <c:lblAlgn val="ctr"/>
        <c:lblOffset val="100"/>
        <c:noMultiLvlLbl val="0"/>
      </c:catAx>
      <c:valAx>
        <c:axId val="6046936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r>
                  <a:rPr lang="en-GB" sz="900"/>
                  <a:t>Equity IRR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04702335"/>
        <c:crosses val="autoZero"/>
        <c:crossBetween val="between"/>
        <c:majorUnit val="4.0000000000000008E-2"/>
        <c:minorUnit val="1.0000000000000002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r>
              <a:rPr lang="en-GB" sz="1100" b="1"/>
              <a:t>Changes in terminal value for P50 scenarios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manualLayout>
          <c:layoutTarget val="inner"/>
          <c:xMode val="edge"/>
          <c:yMode val="edge"/>
          <c:x val="0.10191486220472441"/>
          <c:y val="0.10488212828060586"/>
          <c:w val="0.87516847112860896"/>
          <c:h val="0.57838769552880132"/>
        </c:manualLayout>
      </c:layout>
      <c:barChart>
        <c:barDir val="col"/>
        <c:grouping val="clustered"/>
        <c:varyColors val="0"/>
        <c:ser>
          <c:idx val="0"/>
          <c:order val="0"/>
          <c:spPr>
            <a:solidFill>
              <a:srgbClr val="67A9CF"/>
            </a:solidFill>
            <a:ln>
              <a:solidFill>
                <a:srgbClr val="2166AC"/>
              </a:solidFill>
            </a:ln>
            <a:effectLst/>
          </c:spPr>
          <c:invertIfNegative val="0"/>
          <c:dPt>
            <c:idx val="0"/>
            <c:invertIfNegative val="0"/>
            <c:bubble3D val="0"/>
            <c:spPr>
              <a:solidFill>
                <a:srgbClr val="EF8A62"/>
              </a:solidFill>
              <a:ln>
                <a:solidFill>
                  <a:srgbClr val="EF8A62"/>
                </a:solidFill>
              </a:ln>
              <a:effectLst/>
            </c:spPr>
            <c:extLst>
              <c:ext xmlns:c16="http://schemas.microsoft.com/office/drawing/2014/chart" uri="{C3380CC4-5D6E-409C-BE32-E72D297353CC}">
                <c16:uniqueId val="{00000001-6FCE-4558-B8AB-841903EF520F}"/>
              </c:ext>
            </c:extLst>
          </c:dPt>
          <c:dPt>
            <c:idx val="1"/>
            <c:invertIfNegative val="0"/>
            <c:bubble3D val="0"/>
            <c:spPr>
              <a:solidFill>
                <a:srgbClr val="EF8A62"/>
              </a:solidFill>
              <a:ln>
                <a:solidFill>
                  <a:srgbClr val="EF8A62"/>
                </a:solidFill>
              </a:ln>
              <a:effectLst/>
            </c:spPr>
            <c:extLst>
              <c:ext xmlns:c16="http://schemas.microsoft.com/office/drawing/2014/chart" uri="{C3380CC4-5D6E-409C-BE32-E72D297353CC}">
                <c16:uniqueId val="{00000003-6FCE-4558-B8AB-841903EF520F}"/>
              </c:ext>
            </c:extLst>
          </c:dPt>
          <c:dPt>
            <c:idx val="2"/>
            <c:invertIfNegative val="0"/>
            <c:bubble3D val="0"/>
            <c:spPr>
              <a:solidFill>
                <a:srgbClr val="EF8A62"/>
              </a:solidFill>
              <a:ln>
                <a:solidFill>
                  <a:srgbClr val="EF8A62"/>
                </a:solidFill>
              </a:ln>
              <a:effectLst/>
            </c:spPr>
            <c:extLst>
              <c:ext xmlns:c16="http://schemas.microsoft.com/office/drawing/2014/chart" uri="{C3380CC4-5D6E-409C-BE32-E72D297353CC}">
                <c16:uniqueId val="{00000005-6FCE-4558-B8AB-841903EF520F}"/>
              </c:ext>
            </c:extLst>
          </c:dPt>
          <c:dPt>
            <c:idx val="3"/>
            <c:invertIfNegative val="0"/>
            <c:bubble3D val="0"/>
            <c:spPr>
              <a:solidFill>
                <a:srgbClr val="EF8A62"/>
              </a:solidFill>
              <a:ln>
                <a:solidFill>
                  <a:srgbClr val="EF8A62"/>
                </a:solidFill>
              </a:ln>
              <a:effectLst/>
            </c:spPr>
            <c:extLst>
              <c:ext xmlns:c16="http://schemas.microsoft.com/office/drawing/2014/chart" uri="{C3380CC4-5D6E-409C-BE32-E72D297353CC}">
                <c16:uniqueId val="{00000007-6FCE-4558-B8AB-841903EF520F}"/>
              </c:ext>
            </c:extLst>
          </c:dPt>
          <c:dPt>
            <c:idx val="4"/>
            <c:invertIfNegative val="0"/>
            <c:bubble3D val="0"/>
            <c:spPr>
              <a:solidFill>
                <a:srgbClr val="2166AC"/>
              </a:solidFill>
              <a:ln>
                <a:solidFill>
                  <a:srgbClr val="2166AC"/>
                </a:solidFill>
              </a:ln>
              <a:effectLst/>
            </c:spPr>
            <c:extLst>
              <c:ext xmlns:c16="http://schemas.microsoft.com/office/drawing/2014/chart" uri="{C3380CC4-5D6E-409C-BE32-E72D297353CC}">
                <c16:uniqueId val="{00000009-6FCE-4558-B8AB-841903EF520F}"/>
              </c:ext>
            </c:extLst>
          </c:dPt>
          <c:dPt>
            <c:idx val="5"/>
            <c:invertIfNegative val="0"/>
            <c:bubble3D val="0"/>
            <c:spPr>
              <a:solidFill>
                <a:srgbClr val="67A9CF"/>
              </a:solidFill>
              <a:ln>
                <a:solidFill>
                  <a:srgbClr val="67A9CF"/>
                </a:solidFill>
              </a:ln>
              <a:effectLst/>
            </c:spPr>
            <c:extLst>
              <c:ext xmlns:c16="http://schemas.microsoft.com/office/drawing/2014/chart" uri="{C3380CC4-5D6E-409C-BE32-E72D297353CC}">
                <c16:uniqueId val="{0000000B-6FCE-4558-B8AB-841903EF520F}"/>
              </c:ext>
            </c:extLst>
          </c:dPt>
          <c:dPt>
            <c:idx val="6"/>
            <c:invertIfNegative val="0"/>
            <c:bubble3D val="0"/>
            <c:spPr>
              <a:solidFill>
                <a:srgbClr val="67A9CF"/>
              </a:solidFill>
              <a:ln>
                <a:solidFill>
                  <a:srgbClr val="67A9CF"/>
                </a:solidFill>
              </a:ln>
              <a:effectLst/>
            </c:spPr>
            <c:extLst>
              <c:ext xmlns:c16="http://schemas.microsoft.com/office/drawing/2014/chart" uri="{C3380CC4-5D6E-409C-BE32-E72D297353CC}">
                <c16:uniqueId val="{0000000D-6FCE-4558-B8AB-841903EF520F}"/>
              </c:ext>
            </c:extLst>
          </c:dPt>
          <c:dPt>
            <c:idx val="7"/>
            <c:invertIfNegative val="0"/>
            <c:bubble3D val="0"/>
            <c:spPr>
              <a:solidFill>
                <a:srgbClr val="67A9CF"/>
              </a:solidFill>
              <a:ln>
                <a:solidFill>
                  <a:srgbClr val="67A9CF"/>
                </a:solidFill>
              </a:ln>
              <a:effectLst/>
            </c:spPr>
            <c:extLst>
              <c:ext xmlns:c16="http://schemas.microsoft.com/office/drawing/2014/chart" uri="{C3380CC4-5D6E-409C-BE32-E72D297353CC}">
                <c16:uniqueId val="{0000000F-6FCE-4558-B8AB-841903EF520F}"/>
              </c:ext>
            </c:extLst>
          </c:dPt>
          <c:dPt>
            <c:idx val="8"/>
            <c:invertIfNegative val="0"/>
            <c:bubble3D val="0"/>
            <c:spPr>
              <a:solidFill>
                <a:srgbClr val="67A9CF"/>
              </a:solidFill>
              <a:ln>
                <a:solidFill>
                  <a:srgbClr val="67A9CF"/>
                </a:solidFill>
              </a:ln>
              <a:effectLst/>
            </c:spPr>
            <c:extLst>
              <c:ext xmlns:c16="http://schemas.microsoft.com/office/drawing/2014/chart" uri="{C3380CC4-5D6E-409C-BE32-E72D297353CC}">
                <c16:uniqueId val="{00000011-6FCE-4558-B8AB-841903EF520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Data_for_Graphs!$B$129:$B$137</c:f>
              <c:strCache>
                <c:ptCount val="9"/>
                <c:pt idx="0">
                  <c:v>Electricity Escalation
Factor (1.5%)</c:v>
                </c:pt>
                <c:pt idx="1">
                  <c:v>Connection &amp; UoS
(86.4 k£/MW/a)</c:v>
                </c:pt>
                <c:pt idx="2">
                  <c:v>O&amp;M (54.5 k£/MW/a)</c:v>
                </c:pt>
                <c:pt idx="3">
                  <c:v>Annual Degradation
Factor (0.5 %)</c:v>
                </c:pt>
                <c:pt idx="4">
                  <c:v>Base P50</c:v>
                </c:pt>
                <c:pt idx="5">
                  <c:v>Annual Degradation
Factor (0.17%)</c:v>
                </c:pt>
                <c:pt idx="6">
                  <c:v>O&amp;M (33.5 k£/MW/a)</c:v>
                </c:pt>
                <c:pt idx="7">
                  <c:v>Connection &amp; UoS
(63.4 k£/MW/a)</c:v>
                </c:pt>
                <c:pt idx="8">
                  <c:v>Electricity Escalation
Factor (2.5%)</c:v>
                </c:pt>
              </c:strCache>
            </c:strRef>
          </c:cat>
          <c:val>
            <c:numRef>
              <c:f>Data_for_Graphs!$C$129:$C$137</c:f>
              <c:numCache>
                <c:formatCode>0.0</c:formatCode>
                <c:ptCount val="9"/>
                <c:pt idx="0">
                  <c:v>2593.6817510514202</c:v>
                </c:pt>
                <c:pt idx="1">
                  <c:v>2609.9688160340629</c:v>
                </c:pt>
                <c:pt idx="2">
                  <c:v>2625.4622943977165</c:v>
                </c:pt>
                <c:pt idx="3">
                  <c:v>2705.6701980705816</c:v>
                </c:pt>
                <c:pt idx="4">
                  <c:v>2781.2733076009108</c:v>
                </c:pt>
                <c:pt idx="5">
                  <c:v>2788.8956568289473</c:v>
                </c:pt>
                <c:pt idx="6">
                  <c:v>2867.8349816026857</c:v>
                </c:pt>
                <c:pt idx="7">
                  <c:v>2883.5801567311119</c:v>
                </c:pt>
                <c:pt idx="8">
                  <c:v>2976.310032940798</c:v>
                </c:pt>
              </c:numCache>
            </c:numRef>
          </c:val>
          <c:extLst>
            <c:ext xmlns:c16="http://schemas.microsoft.com/office/drawing/2014/chart" uri="{C3380CC4-5D6E-409C-BE32-E72D297353CC}">
              <c16:uniqueId val="{00000012-6FCE-4558-B8AB-841903EF520F}"/>
            </c:ext>
          </c:extLst>
        </c:ser>
        <c:dLbls>
          <c:showLegendKey val="0"/>
          <c:showVal val="0"/>
          <c:showCatName val="0"/>
          <c:showSerName val="0"/>
          <c:showPercent val="0"/>
          <c:showBubbleSize val="0"/>
        </c:dLbls>
        <c:gapWidth val="219"/>
        <c:overlap val="-27"/>
        <c:axId val="617448991"/>
        <c:axId val="617448031"/>
      </c:barChart>
      <c:catAx>
        <c:axId val="61744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17448031"/>
        <c:crosses val="autoZero"/>
        <c:auto val="1"/>
        <c:lblAlgn val="ctr"/>
        <c:lblOffset val="100"/>
        <c:noMultiLvlLbl val="0"/>
      </c:catAx>
      <c:valAx>
        <c:axId val="6174480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r>
                  <a:rPr lang="en-GB" sz="900"/>
                  <a:t>Terminal Exit</a:t>
                </a:r>
                <a:r>
                  <a:rPr lang="en-GB" sz="900" baseline="0"/>
                  <a:t> Value (£M)</a:t>
                </a:r>
              </a:p>
            </c:rich>
          </c:tx>
          <c:layout>
            <c:manualLayout>
              <c:xMode val="edge"/>
              <c:yMode val="edge"/>
              <c:x val="8.9683398950131232E-3"/>
              <c:y val="0.1701495742836579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17448991"/>
        <c:crosses val="autoZero"/>
        <c:crossBetween val="between"/>
        <c:min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r>
              <a:rPr lang="en-GB" sz="1100" b="1"/>
              <a:t>Changes in net refinancing proceeds for P50 scenarios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lotArea>
      <c:layout>
        <c:manualLayout>
          <c:layoutTarget val="inner"/>
          <c:xMode val="edge"/>
          <c:yMode val="edge"/>
          <c:x val="9.7466864192524177E-2"/>
          <c:y val="0.1602613660307188"/>
          <c:w val="0.82254059487190967"/>
          <c:h val="0.52616363804524835"/>
        </c:manualLayout>
      </c:layout>
      <c:barChart>
        <c:barDir val="col"/>
        <c:grouping val="clustered"/>
        <c:varyColors val="0"/>
        <c:ser>
          <c:idx val="0"/>
          <c:order val="0"/>
          <c:tx>
            <c:strRef>
              <c:f>Data_for_Graphs!$C$139</c:f>
              <c:strCache>
                <c:ptCount val="1"/>
                <c:pt idx="0">
                  <c:v>Net Refinancing Proceeds (£m)</c:v>
                </c:pt>
              </c:strCache>
            </c:strRef>
          </c:tx>
          <c:spPr>
            <a:solidFill>
              <a:srgbClr val="67A9CF"/>
            </a:solidFill>
            <a:ln>
              <a:solidFill>
                <a:srgbClr val="2166AC"/>
              </a:solidFill>
            </a:ln>
            <a:effectLst/>
          </c:spPr>
          <c:invertIfNegative val="0"/>
          <c:dPt>
            <c:idx val="0"/>
            <c:invertIfNegative val="0"/>
            <c:bubble3D val="0"/>
            <c:spPr>
              <a:solidFill>
                <a:srgbClr val="EF8A62"/>
              </a:solidFill>
              <a:ln>
                <a:solidFill>
                  <a:srgbClr val="EF8A62"/>
                </a:solidFill>
              </a:ln>
              <a:effectLst/>
            </c:spPr>
            <c:extLst>
              <c:ext xmlns:c16="http://schemas.microsoft.com/office/drawing/2014/chart" uri="{C3380CC4-5D6E-409C-BE32-E72D297353CC}">
                <c16:uniqueId val="{00000001-EE38-4FD5-BCE1-71F1716ED479}"/>
              </c:ext>
            </c:extLst>
          </c:dPt>
          <c:dPt>
            <c:idx val="1"/>
            <c:invertIfNegative val="0"/>
            <c:bubble3D val="0"/>
            <c:spPr>
              <a:solidFill>
                <a:srgbClr val="EF8A62"/>
              </a:solidFill>
              <a:ln>
                <a:solidFill>
                  <a:srgbClr val="EF8A62"/>
                </a:solidFill>
              </a:ln>
              <a:effectLst/>
            </c:spPr>
            <c:extLst>
              <c:ext xmlns:c16="http://schemas.microsoft.com/office/drawing/2014/chart" uri="{C3380CC4-5D6E-409C-BE32-E72D297353CC}">
                <c16:uniqueId val="{00000003-EE38-4FD5-BCE1-71F1716ED479}"/>
              </c:ext>
            </c:extLst>
          </c:dPt>
          <c:dPt>
            <c:idx val="2"/>
            <c:invertIfNegative val="0"/>
            <c:bubble3D val="0"/>
            <c:spPr>
              <a:solidFill>
                <a:srgbClr val="EF8A62"/>
              </a:solidFill>
              <a:ln>
                <a:solidFill>
                  <a:srgbClr val="EF8A62"/>
                </a:solidFill>
              </a:ln>
              <a:effectLst/>
            </c:spPr>
            <c:extLst>
              <c:ext xmlns:c16="http://schemas.microsoft.com/office/drawing/2014/chart" uri="{C3380CC4-5D6E-409C-BE32-E72D297353CC}">
                <c16:uniqueId val="{00000005-EE38-4FD5-BCE1-71F1716ED479}"/>
              </c:ext>
            </c:extLst>
          </c:dPt>
          <c:dPt>
            <c:idx val="3"/>
            <c:invertIfNegative val="0"/>
            <c:bubble3D val="0"/>
            <c:spPr>
              <a:solidFill>
                <a:srgbClr val="EF8A62"/>
              </a:solidFill>
              <a:ln>
                <a:solidFill>
                  <a:srgbClr val="EF8A62"/>
                </a:solidFill>
              </a:ln>
              <a:effectLst/>
            </c:spPr>
            <c:extLst>
              <c:ext xmlns:c16="http://schemas.microsoft.com/office/drawing/2014/chart" uri="{C3380CC4-5D6E-409C-BE32-E72D297353CC}">
                <c16:uniqueId val="{00000007-EE38-4FD5-BCE1-71F1716ED479}"/>
              </c:ext>
            </c:extLst>
          </c:dPt>
          <c:dPt>
            <c:idx val="4"/>
            <c:invertIfNegative val="0"/>
            <c:bubble3D val="0"/>
            <c:spPr>
              <a:solidFill>
                <a:srgbClr val="2166AC"/>
              </a:solidFill>
              <a:ln>
                <a:solidFill>
                  <a:srgbClr val="2166AC"/>
                </a:solidFill>
              </a:ln>
              <a:effectLst/>
            </c:spPr>
            <c:extLst>
              <c:ext xmlns:c16="http://schemas.microsoft.com/office/drawing/2014/chart" uri="{C3380CC4-5D6E-409C-BE32-E72D297353CC}">
                <c16:uniqueId val="{00000009-EE38-4FD5-BCE1-71F1716ED479}"/>
              </c:ext>
            </c:extLst>
          </c:dPt>
          <c:dPt>
            <c:idx val="5"/>
            <c:invertIfNegative val="0"/>
            <c:bubble3D val="0"/>
            <c:spPr>
              <a:solidFill>
                <a:srgbClr val="67A9CF"/>
              </a:solidFill>
              <a:ln>
                <a:solidFill>
                  <a:srgbClr val="67A9CF"/>
                </a:solidFill>
              </a:ln>
              <a:effectLst/>
            </c:spPr>
            <c:extLst>
              <c:ext xmlns:c16="http://schemas.microsoft.com/office/drawing/2014/chart" uri="{C3380CC4-5D6E-409C-BE32-E72D297353CC}">
                <c16:uniqueId val="{0000000B-EE38-4FD5-BCE1-71F1716ED479}"/>
              </c:ext>
            </c:extLst>
          </c:dPt>
          <c:dPt>
            <c:idx val="6"/>
            <c:invertIfNegative val="0"/>
            <c:bubble3D val="0"/>
            <c:spPr>
              <a:solidFill>
                <a:srgbClr val="67A9CF"/>
              </a:solidFill>
              <a:ln>
                <a:solidFill>
                  <a:srgbClr val="67A9CF"/>
                </a:solidFill>
              </a:ln>
              <a:effectLst/>
            </c:spPr>
            <c:extLst>
              <c:ext xmlns:c16="http://schemas.microsoft.com/office/drawing/2014/chart" uri="{C3380CC4-5D6E-409C-BE32-E72D297353CC}">
                <c16:uniqueId val="{0000000D-EE38-4FD5-BCE1-71F1716ED479}"/>
              </c:ext>
            </c:extLst>
          </c:dPt>
          <c:dPt>
            <c:idx val="7"/>
            <c:invertIfNegative val="0"/>
            <c:bubble3D val="0"/>
            <c:spPr>
              <a:solidFill>
                <a:srgbClr val="67A9CF"/>
              </a:solidFill>
              <a:ln>
                <a:solidFill>
                  <a:srgbClr val="67A9CF"/>
                </a:solidFill>
              </a:ln>
              <a:effectLst/>
            </c:spPr>
            <c:extLst>
              <c:ext xmlns:c16="http://schemas.microsoft.com/office/drawing/2014/chart" uri="{C3380CC4-5D6E-409C-BE32-E72D297353CC}">
                <c16:uniqueId val="{0000000F-EE38-4FD5-BCE1-71F1716ED479}"/>
              </c:ext>
            </c:extLst>
          </c:dPt>
          <c:dPt>
            <c:idx val="8"/>
            <c:invertIfNegative val="0"/>
            <c:bubble3D val="0"/>
            <c:spPr>
              <a:solidFill>
                <a:srgbClr val="67A9CF"/>
              </a:solidFill>
              <a:ln>
                <a:solidFill>
                  <a:srgbClr val="67A9CF"/>
                </a:solidFill>
              </a:ln>
              <a:effectLst/>
            </c:spPr>
            <c:extLst>
              <c:ext xmlns:c16="http://schemas.microsoft.com/office/drawing/2014/chart" uri="{C3380CC4-5D6E-409C-BE32-E72D297353CC}">
                <c16:uniqueId val="{00000011-EE38-4FD5-BCE1-71F1716ED479}"/>
              </c:ext>
            </c:extLst>
          </c:dPt>
          <c:dLbls>
            <c:dLbl>
              <c:idx val="4"/>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Display" panose="020B0004020202020204" pitchFamily="34"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9-EE38-4FD5-BCE1-71F1716ED479}"/>
                </c:ext>
              </c:extLst>
            </c:dLbl>
            <c:dLbl>
              <c:idx val="5"/>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Display" panose="020B0004020202020204" pitchFamily="34"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B-EE38-4FD5-BCE1-71F1716ED479}"/>
                </c:ext>
              </c:extLst>
            </c:dLbl>
            <c:dLbl>
              <c:idx val="6"/>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Display" panose="020B0004020202020204" pitchFamily="34"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D-EE38-4FD5-BCE1-71F1716ED479}"/>
                </c:ext>
              </c:extLst>
            </c:dLbl>
            <c:dLbl>
              <c:idx val="7"/>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Display" panose="020B0004020202020204" pitchFamily="34"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F-EE38-4FD5-BCE1-71F1716ED479}"/>
                </c:ext>
              </c:extLst>
            </c:dLbl>
            <c:dLbl>
              <c:idx val="8"/>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Display" panose="020B0004020202020204" pitchFamily="34" charset="0"/>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11-EE38-4FD5-BCE1-71F1716ED47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Data_for_Graphs!$B$140:$B$148</c:f>
              <c:strCache>
                <c:ptCount val="9"/>
                <c:pt idx="0">
                  <c:v>Construction Capex
(3063 £/kW)</c:v>
                </c:pt>
                <c:pt idx="1">
                  <c:v>Electricity Escalation
Factor (1.5%)</c:v>
                </c:pt>
                <c:pt idx="2">
                  <c:v>Infrastructure Capex
(678 £/kW)</c:v>
                </c:pt>
                <c:pt idx="3">
                  <c:v>Construction Debt
Interest (6.4%)</c:v>
                </c:pt>
                <c:pt idx="4">
                  <c:v>Base P50</c:v>
                </c:pt>
                <c:pt idx="5">
                  <c:v>Construction Debt
Interest (5.6%)</c:v>
                </c:pt>
                <c:pt idx="6">
                  <c:v>Infrastructure Capex
(472 £/kW)</c:v>
                </c:pt>
                <c:pt idx="7">
                  <c:v>Construction Capex
(2148 £/kW)</c:v>
                </c:pt>
                <c:pt idx="8">
                  <c:v>Electricity Escalation
Factor (2.5%)</c:v>
                </c:pt>
              </c:strCache>
            </c:strRef>
          </c:cat>
          <c:val>
            <c:numRef>
              <c:f>Data_for_Graphs!$C$140:$C$148</c:f>
              <c:numCache>
                <c:formatCode>0.0</c:formatCode>
                <c:ptCount val="9"/>
                <c:pt idx="0">
                  <c:v>438.84670403609744</c:v>
                </c:pt>
                <c:pt idx="1">
                  <c:v>533.61102992305496</c:v>
                </c:pt>
                <c:pt idx="2">
                  <c:v>666.14385390043958</c:v>
                </c:pt>
                <c:pt idx="3">
                  <c:v>729.98212631906631</c:v>
                </c:pt>
                <c:pt idx="4">
                  <c:v>739.03860402841246</c:v>
                </c:pt>
                <c:pt idx="5">
                  <c:v>743.14893643248342</c:v>
                </c:pt>
                <c:pt idx="6">
                  <c:v>783.45884238764665</c:v>
                </c:pt>
                <c:pt idx="7">
                  <c:v>948.44890903232817</c:v>
                </c:pt>
                <c:pt idx="8">
                  <c:v>958.29540438175286</c:v>
                </c:pt>
              </c:numCache>
            </c:numRef>
          </c:val>
          <c:extLst>
            <c:ext xmlns:c16="http://schemas.microsoft.com/office/drawing/2014/chart" uri="{C3380CC4-5D6E-409C-BE32-E72D297353CC}">
              <c16:uniqueId val="{00000012-EE38-4FD5-BCE1-71F1716ED479}"/>
            </c:ext>
          </c:extLst>
        </c:ser>
        <c:dLbls>
          <c:showLegendKey val="0"/>
          <c:showVal val="0"/>
          <c:showCatName val="0"/>
          <c:showSerName val="0"/>
          <c:showPercent val="0"/>
          <c:showBubbleSize val="0"/>
        </c:dLbls>
        <c:gapWidth val="219"/>
        <c:axId val="617448991"/>
        <c:axId val="617448031"/>
      </c:barChart>
      <c:lineChart>
        <c:grouping val="standard"/>
        <c:varyColors val="0"/>
        <c:ser>
          <c:idx val="1"/>
          <c:order val="1"/>
          <c:tx>
            <c:strRef>
              <c:f>Data_for_Graphs!$D$139</c:f>
              <c:strCache>
                <c:ptCount val="1"/>
                <c:pt idx="0">
                  <c:v>Net Refinancing Proceeds as % of Total Invested Equity</c:v>
                </c:pt>
              </c:strCache>
            </c:strRef>
          </c:tx>
          <c:spPr>
            <a:ln w="28575" cap="rnd">
              <a:noFill/>
              <a:round/>
            </a:ln>
            <a:effectLst/>
          </c:spPr>
          <c:marker>
            <c:symbol val="square"/>
            <c:size val="5"/>
            <c:spPr>
              <a:solidFill>
                <a:schemeClr val="tx1"/>
              </a:solidFill>
              <a:ln w="9525">
                <a:solidFill>
                  <a:schemeClr val="tx1"/>
                </a:solidFill>
              </a:ln>
              <a:effectLst/>
            </c:spPr>
          </c:marker>
          <c:cat>
            <c:strRef>
              <c:f>Data_for_Graphs!$B$140:$B$148</c:f>
              <c:strCache>
                <c:ptCount val="9"/>
                <c:pt idx="0">
                  <c:v>Construction Capex
(3063 £/kW)</c:v>
                </c:pt>
                <c:pt idx="1">
                  <c:v>Electricity Escalation
Factor (1.5%)</c:v>
                </c:pt>
                <c:pt idx="2">
                  <c:v>Infrastructure Capex
(678 £/kW)</c:v>
                </c:pt>
                <c:pt idx="3">
                  <c:v>Construction Debt
Interest (6.4%)</c:v>
                </c:pt>
                <c:pt idx="4">
                  <c:v>Base P50</c:v>
                </c:pt>
                <c:pt idx="5">
                  <c:v>Construction Debt
Interest (5.6%)</c:v>
                </c:pt>
                <c:pt idx="6">
                  <c:v>Infrastructure Capex
(472 £/kW)</c:v>
                </c:pt>
                <c:pt idx="7">
                  <c:v>Construction Capex
(2148 £/kW)</c:v>
                </c:pt>
                <c:pt idx="8">
                  <c:v>Electricity Escalation
Factor (2.5%)</c:v>
                </c:pt>
              </c:strCache>
            </c:strRef>
          </c:cat>
          <c:val>
            <c:numRef>
              <c:f>Data_for_Graphs!$D$140:$D$148</c:f>
              <c:numCache>
                <c:formatCode>0.0%</c:formatCode>
                <c:ptCount val="9"/>
                <c:pt idx="0">
                  <c:v>0.32306659760287282</c:v>
                </c:pt>
                <c:pt idx="1">
                  <c:v>0.44586855906754902</c:v>
                </c:pt>
                <c:pt idx="2">
                  <c:v>0.53895671162645342</c:v>
                </c:pt>
                <c:pt idx="3">
                  <c:v>0.60750174240491539</c:v>
                </c:pt>
                <c:pt idx="4">
                  <c:v>0.61754488708515554</c:v>
                </c:pt>
                <c:pt idx="5">
                  <c:v>0.62213007751987259</c:v>
                </c:pt>
                <c:pt idx="6">
                  <c:v>0.66801396057897577</c:v>
                </c:pt>
                <c:pt idx="7">
                  <c:v>0.87497122111587544</c:v>
                </c:pt>
                <c:pt idx="8">
                  <c:v>0.80079161964615686</c:v>
                </c:pt>
              </c:numCache>
            </c:numRef>
          </c:val>
          <c:smooth val="0"/>
          <c:extLst>
            <c:ext xmlns:c16="http://schemas.microsoft.com/office/drawing/2014/chart" uri="{C3380CC4-5D6E-409C-BE32-E72D297353CC}">
              <c16:uniqueId val="{00000013-EE38-4FD5-BCE1-71F1716ED479}"/>
            </c:ext>
          </c:extLst>
        </c:ser>
        <c:dLbls>
          <c:showLegendKey val="0"/>
          <c:showVal val="0"/>
          <c:showCatName val="0"/>
          <c:showSerName val="0"/>
          <c:showPercent val="0"/>
          <c:showBubbleSize val="0"/>
        </c:dLbls>
        <c:marker val="1"/>
        <c:smooth val="0"/>
        <c:axId val="528476799"/>
        <c:axId val="610187295"/>
      </c:lineChart>
      <c:catAx>
        <c:axId val="61744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17448031"/>
        <c:crosses val="autoZero"/>
        <c:auto val="1"/>
        <c:lblAlgn val="ctr"/>
        <c:lblOffset val="100"/>
        <c:noMultiLvlLbl val="0"/>
      </c:catAx>
      <c:valAx>
        <c:axId val="6174480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r>
                  <a:rPr lang="en-GB" sz="900"/>
                  <a:t>Net Refinancing Proceeds</a:t>
                </a:r>
                <a:r>
                  <a:rPr lang="en-GB" sz="900" baseline="0"/>
                  <a:t> (£M)</a:t>
                </a:r>
              </a:p>
            </c:rich>
          </c:tx>
          <c:layout>
            <c:manualLayout>
              <c:xMode val="edge"/>
              <c:yMode val="edge"/>
              <c:x val="8.9683398950131232E-3"/>
              <c:y val="0.1701495742836579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17448991"/>
        <c:crosses val="autoZero"/>
        <c:crossBetween val="between"/>
        <c:minorUnit val="100"/>
      </c:valAx>
      <c:valAx>
        <c:axId val="610187295"/>
        <c:scaling>
          <c:orientation val="minMax"/>
          <c:max val="1.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528476799"/>
        <c:crosses val="max"/>
        <c:crossBetween val="between"/>
        <c:majorUnit val="0.2"/>
      </c:valAx>
      <c:catAx>
        <c:axId val="528476799"/>
        <c:scaling>
          <c:orientation val="minMax"/>
        </c:scaling>
        <c:delete val="1"/>
        <c:axPos val="b"/>
        <c:numFmt formatCode="General" sourceLinked="1"/>
        <c:majorTickMark val="out"/>
        <c:minorTickMark val="none"/>
        <c:tickLblPos val="nextTo"/>
        <c:crossAx val="610187295"/>
        <c:crosses val="autoZero"/>
        <c:auto val="1"/>
        <c:lblAlgn val="ctr"/>
        <c:lblOffset val="100"/>
        <c:noMultiLvlLbl val="0"/>
      </c:catAx>
      <c:spPr>
        <a:noFill/>
        <a:ln>
          <a:noFill/>
        </a:ln>
        <a:effectLst/>
      </c:spPr>
    </c:plotArea>
    <c:legend>
      <c:legendPos val="t"/>
      <c:legendEntry>
        <c:idx val="0"/>
        <c:delete val="1"/>
      </c:legendEntry>
      <c:layout>
        <c:manualLayout>
          <c:xMode val="edge"/>
          <c:yMode val="edge"/>
          <c:x val="0.23351578854506932"/>
          <c:y val="8.4323338375067988E-2"/>
          <c:w val="0.52445028511653835"/>
          <c:h val="5.69804917709379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r>
              <a:rPr lang="en-GB" sz="1100" b="1"/>
              <a:t>Gearing</a:t>
            </a:r>
            <a:r>
              <a:rPr lang="en-GB" sz="1100" b="1" baseline="0"/>
              <a:t> ratio from the m</a:t>
            </a:r>
            <a:r>
              <a:rPr lang="en-GB" sz="1100" b="1" i="0" u="none" strike="noStrike" kern="1200" spc="0" baseline="0">
                <a:solidFill>
                  <a:sysClr val="windowText" lastClr="000000">
                    <a:lumMod val="65000"/>
                    <a:lumOff val="35000"/>
                  </a:sysClr>
                </a:solidFill>
                <a:latin typeface="Aptos Display" panose="020B0004020202020204" pitchFamily="34" charset="0"/>
              </a:rPr>
              <a:t>ost conservative scenarios </a:t>
            </a:r>
            <a:r>
              <a:rPr lang="en-GB" sz="1100" b="1"/>
              <a:t> </a:t>
            </a:r>
          </a:p>
        </c:rich>
      </c:tx>
      <c:overlay val="0"/>
      <c:spPr>
        <a:noFill/>
        <a:ln>
          <a:noFill/>
        </a:ln>
        <a:effectLst/>
      </c:spPr>
    </c:title>
    <c:autoTitleDeleted val="0"/>
    <c:plotArea>
      <c:layout/>
      <c:barChart>
        <c:barDir val="bar"/>
        <c:grouping val="clustered"/>
        <c:varyColors val="0"/>
        <c:ser>
          <c:idx val="1"/>
          <c:order val="0"/>
          <c:tx>
            <c:v>P50</c:v>
          </c:tx>
          <c:invertIfNegative val="0"/>
          <c:dPt>
            <c:idx val="0"/>
            <c:invertIfNegative val="0"/>
            <c:bubble3D val="0"/>
            <c:spPr>
              <a:solidFill>
                <a:srgbClr val="2166AC"/>
              </a:solidFill>
              <a:ln>
                <a:noFill/>
              </a:ln>
              <a:effectLst/>
            </c:spPr>
            <c:extLst>
              <c:ext xmlns:c16="http://schemas.microsoft.com/office/drawing/2014/chart" uri="{C3380CC4-5D6E-409C-BE32-E72D297353CC}">
                <c16:uniqueId val="{00000001-A6AF-44DC-83C8-60254FE9657F}"/>
              </c:ext>
            </c:extLst>
          </c:dPt>
          <c:dPt>
            <c:idx val="1"/>
            <c:invertIfNegative val="0"/>
            <c:bubble3D val="0"/>
            <c:spPr>
              <a:solidFill>
                <a:srgbClr val="67A9CF"/>
              </a:solidFill>
              <a:ln>
                <a:noFill/>
              </a:ln>
              <a:effectLst/>
            </c:spPr>
            <c:extLst>
              <c:ext xmlns:c16="http://schemas.microsoft.com/office/drawing/2014/chart" uri="{C3380CC4-5D6E-409C-BE32-E72D297353CC}">
                <c16:uniqueId val="{00000003-A6AF-44DC-83C8-60254FE9657F}"/>
              </c:ext>
            </c:extLst>
          </c:dPt>
          <c:dPt>
            <c:idx val="2"/>
            <c:invertIfNegative val="0"/>
            <c:bubble3D val="0"/>
            <c:spPr>
              <a:solidFill>
                <a:srgbClr val="67A9CF"/>
              </a:solidFill>
              <a:ln>
                <a:noFill/>
              </a:ln>
              <a:effectLst/>
            </c:spPr>
            <c:extLst>
              <c:ext xmlns:c16="http://schemas.microsoft.com/office/drawing/2014/chart" uri="{C3380CC4-5D6E-409C-BE32-E72D297353CC}">
                <c16:uniqueId val="{00000005-A6AF-44DC-83C8-60254FE9657F}"/>
              </c:ext>
            </c:extLst>
          </c:dPt>
          <c:dPt>
            <c:idx val="3"/>
            <c:invertIfNegative val="0"/>
            <c:bubble3D val="0"/>
            <c:spPr>
              <a:solidFill>
                <a:srgbClr val="67A9CF"/>
              </a:solidFill>
              <a:ln>
                <a:noFill/>
              </a:ln>
              <a:effectLst/>
            </c:spPr>
            <c:extLst>
              <c:ext xmlns:c16="http://schemas.microsoft.com/office/drawing/2014/chart" uri="{C3380CC4-5D6E-409C-BE32-E72D297353CC}">
                <c16:uniqueId val="{00000007-A6AF-44DC-83C8-60254FE9657F}"/>
              </c:ext>
            </c:extLst>
          </c:dPt>
          <c:dPt>
            <c:idx val="4"/>
            <c:invertIfNegative val="0"/>
            <c:bubble3D val="0"/>
            <c:spPr>
              <a:solidFill>
                <a:srgbClr val="67A9CF"/>
              </a:solidFill>
              <a:ln>
                <a:noFill/>
              </a:ln>
              <a:effectLst/>
            </c:spPr>
            <c:extLst>
              <c:ext xmlns:c16="http://schemas.microsoft.com/office/drawing/2014/chart" uri="{C3380CC4-5D6E-409C-BE32-E72D297353CC}">
                <c16:uniqueId val="{00000009-A6AF-44DC-83C8-60254FE9657F}"/>
              </c:ext>
            </c:extLst>
          </c:dPt>
          <c:dPt>
            <c:idx val="5"/>
            <c:invertIfNegative val="0"/>
            <c:bubble3D val="0"/>
            <c:spPr>
              <a:solidFill>
                <a:srgbClr val="EF8A62"/>
              </a:solidFill>
              <a:ln>
                <a:noFill/>
              </a:ln>
              <a:effectLst/>
            </c:spPr>
            <c:extLst>
              <c:ext xmlns:c16="http://schemas.microsoft.com/office/drawing/2014/chart" uri="{C3380CC4-5D6E-409C-BE32-E72D297353CC}">
                <c16:uniqueId val="{0000000B-A6AF-44DC-83C8-60254FE9657F}"/>
              </c:ext>
            </c:extLst>
          </c:dPt>
          <c:dPt>
            <c:idx val="6"/>
            <c:invertIfNegative val="0"/>
            <c:bubble3D val="0"/>
            <c:spPr>
              <a:solidFill>
                <a:srgbClr val="EF8A62"/>
              </a:solidFill>
              <a:ln>
                <a:noFill/>
              </a:ln>
              <a:effectLst/>
            </c:spPr>
            <c:extLst>
              <c:ext xmlns:c16="http://schemas.microsoft.com/office/drawing/2014/chart" uri="{C3380CC4-5D6E-409C-BE32-E72D297353CC}">
                <c16:uniqueId val="{0000000D-A6AF-44DC-83C8-60254FE9657F}"/>
              </c:ext>
            </c:extLst>
          </c:dPt>
          <c:dPt>
            <c:idx val="7"/>
            <c:invertIfNegative val="0"/>
            <c:bubble3D val="0"/>
            <c:spPr>
              <a:solidFill>
                <a:srgbClr val="EF8A62"/>
              </a:solidFill>
              <a:ln>
                <a:noFill/>
              </a:ln>
              <a:effectLst/>
            </c:spPr>
            <c:extLst>
              <c:ext xmlns:c16="http://schemas.microsoft.com/office/drawing/2014/chart" uri="{C3380CC4-5D6E-409C-BE32-E72D297353CC}">
                <c16:uniqueId val="{0000000F-A6AF-44DC-83C8-60254FE9657F}"/>
              </c:ext>
            </c:extLst>
          </c:dPt>
          <c:dPt>
            <c:idx val="8"/>
            <c:invertIfNegative val="0"/>
            <c:bubble3D val="0"/>
            <c:spPr>
              <a:solidFill>
                <a:srgbClr val="EF8A62"/>
              </a:solidFill>
              <a:ln>
                <a:noFill/>
              </a:ln>
              <a:effectLst/>
            </c:spPr>
            <c:extLst>
              <c:ext xmlns:c16="http://schemas.microsoft.com/office/drawing/2014/chart" uri="{C3380CC4-5D6E-409C-BE32-E72D297353CC}">
                <c16:uniqueId val="{00000011-A6AF-44DC-83C8-60254FE9657F}"/>
              </c:ext>
            </c:extLst>
          </c:dPt>
          <c:dPt>
            <c:idx val="9"/>
            <c:invertIfNegative val="0"/>
            <c:bubble3D val="0"/>
            <c:spPr>
              <a:solidFill>
                <a:srgbClr val="EF8A62"/>
              </a:solidFill>
              <a:ln>
                <a:noFill/>
              </a:ln>
              <a:effectLst/>
            </c:spPr>
            <c:extLst>
              <c:ext xmlns:c16="http://schemas.microsoft.com/office/drawing/2014/chart" uri="{C3380CC4-5D6E-409C-BE32-E72D297353CC}">
                <c16:uniqueId val="{00000013-A6AF-44DC-83C8-60254FE9657F}"/>
              </c:ext>
            </c:extLst>
          </c:dPt>
          <c:dPt>
            <c:idx val="10"/>
            <c:invertIfNegative val="0"/>
            <c:bubble3D val="0"/>
            <c:spPr>
              <a:solidFill>
                <a:srgbClr val="B2182B"/>
              </a:solidFill>
              <a:ln>
                <a:noFill/>
              </a:ln>
              <a:effectLst/>
            </c:spPr>
            <c:extLst>
              <c:ext xmlns:c16="http://schemas.microsoft.com/office/drawing/2014/chart" uri="{C3380CC4-5D6E-409C-BE32-E72D297353CC}">
                <c16:uniqueId val="{00000015-A6AF-44DC-83C8-60254FE9657F}"/>
              </c:ext>
            </c:extLst>
          </c:dPt>
          <c:cat>
            <c:strRef>
              <c:f>Data_for_Graphs!$B$177:$B$187</c:f>
              <c:strCache>
                <c:ptCount val="11"/>
                <c:pt idx="0">
                  <c:v>Base</c:v>
                </c:pt>
                <c:pt idx="1">
                  <c:v>Construction Debt Interest (6.4%)</c:v>
                </c:pt>
                <c:pt idx="2">
                  <c:v>First Lien Interest (6.2%)</c:v>
                </c:pt>
                <c:pt idx="3">
                  <c:v>Second Lien Interest (6.9%)</c:v>
                </c:pt>
                <c:pt idx="4">
                  <c:v>Capex Contigency (5%)</c:v>
                </c:pt>
                <c:pt idx="5">
                  <c:v>Infrastructure Capex (678 £/kW)</c:v>
                </c:pt>
                <c:pt idx="6">
                  <c:v>Annual Degradation Factor (0.5%)</c:v>
                </c:pt>
                <c:pt idx="7">
                  <c:v>O&amp;M (54.5 k£/MW/a)</c:v>
                </c:pt>
                <c:pt idx="8">
                  <c:v>Connection &amp; UoS (86.4 k£/MW/a)</c:v>
                </c:pt>
                <c:pt idx="9">
                  <c:v>Electricity Escalation Factor (1.5%)</c:v>
                </c:pt>
                <c:pt idx="10">
                  <c:v>Construction Capex (3063 £/kW)</c:v>
                </c:pt>
              </c:strCache>
            </c:strRef>
          </c:cat>
          <c:val>
            <c:numRef>
              <c:f>Data_for_Graphs!$C$177:$C$187</c:f>
              <c:numCache>
                <c:formatCode>0.0%</c:formatCode>
                <c:ptCount val="11"/>
                <c:pt idx="0">
                  <c:v>0.69237364319760575</c:v>
                </c:pt>
                <c:pt idx="1">
                  <c:v>0.691248222108231</c:v>
                </c:pt>
                <c:pt idx="2">
                  <c:v>0.68952703297571305</c:v>
                </c:pt>
                <c:pt idx="3">
                  <c:v>0.69047501034447811</c:v>
                </c:pt>
                <c:pt idx="4">
                  <c:v>0.68719425355579056</c:v>
                </c:pt>
                <c:pt idx="5">
                  <c:v>0.68341784567979469</c:v>
                </c:pt>
                <c:pt idx="6">
                  <c:v>0.68263283747947501</c:v>
                </c:pt>
                <c:pt idx="7">
                  <c:v>0.67896331509430252</c:v>
                </c:pt>
                <c:pt idx="8">
                  <c:v>0.67735556480044434</c:v>
                </c:pt>
                <c:pt idx="9">
                  <c:v>0.67050421218270539</c:v>
                </c:pt>
                <c:pt idx="10">
                  <c:v>0.65692214671772697</c:v>
                </c:pt>
              </c:numCache>
            </c:numRef>
          </c:val>
          <c:extLst>
            <c:ext xmlns:c16="http://schemas.microsoft.com/office/drawing/2014/chart" uri="{C3380CC4-5D6E-409C-BE32-E72D297353CC}">
              <c16:uniqueId val="{00000016-A6AF-44DC-83C8-60254FE9657F}"/>
            </c:ext>
          </c:extLst>
        </c:ser>
        <c:ser>
          <c:idx val="0"/>
          <c:order val="1"/>
          <c:tx>
            <c:v>P90</c:v>
          </c:tx>
          <c:spPr>
            <a:pattFill prst="narVert">
              <a:fgClr>
                <a:schemeClr val="accent1"/>
              </a:fgClr>
              <a:bgClr>
                <a:schemeClr val="bg1"/>
              </a:bgClr>
            </a:pattFill>
            <a:ln>
              <a:noFill/>
            </a:ln>
            <a:effectLst/>
          </c:spPr>
          <c:invertIfNegative val="0"/>
          <c:dPt>
            <c:idx val="1"/>
            <c:invertIfNegative val="0"/>
            <c:bubble3D val="0"/>
            <c:spPr>
              <a:pattFill prst="narVert">
                <a:fgClr>
                  <a:srgbClr val="67A9CF"/>
                </a:fgClr>
                <a:bgClr>
                  <a:schemeClr val="bg1"/>
                </a:bgClr>
              </a:pattFill>
              <a:ln>
                <a:noFill/>
              </a:ln>
              <a:effectLst/>
            </c:spPr>
            <c:extLst>
              <c:ext xmlns:c16="http://schemas.microsoft.com/office/drawing/2014/chart" uri="{C3380CC4-5D6E-409C-BE32-E72D297353CC}">
                <c16:uniqueId val="{00000018-A6AF-44DC-83C8-60254FE9657F}"/>
              </c:ext>
            </c:extLst>
          </c:dPt>
          <c:dPt>
            <c:idx val="2"/>
            <c:invertIfNegative val="0"/>
            <c:bubble3D val="0"/>
            <c:spPr>
              <a:pattFill prst="narVert">
                <a:fgClr>
                  <a:srgbClr val="67A9CF"/>
                </a:fgClr>
                <a:bgClr>
                  <a:schemeClr val="bg1"/>
                </a:bgClr>
              </a:pattFill>
              <a:ln>
                <a:noFill/>
              </a:ln>
              <a:effectLst/>
            </c:spPr>
            <c:extLst>
              <c:ext xmlns:c16="http://schemas.microsoft.com/office/drawing/2014/chart" uri="{C3380CC4-5D6E-409C-BE32-E72D297353CC}">
                <c16:uniqueId val="{0000001A-A6AF-44DC-83C8-60254FE9657F}"/>
              </c:ext>
            </c:extLst>
          </c:dPt>
          <c:dPt>
            <c:idx val="3"/>
            <c:invertIfNegative val="0"/>
            <c:bubble3D val="0"/>
            <c:spPr>
              <a:pattFill prst="narVert">
                <a:fgClr>
                  <a:srgbClr val="67A9CF"/>
                </a:fgClr>
                <a:bgClr>
                  <a:schemeClr val="bg1"/>
                </a:bgClr>
              </a:pattFill>
              <a:ln>
                <a:noFill/>
              </a:ln>
              <a:effectLst/>
            </c:spPr>
            <c:extLst>
              <c:ext xmlns:c16="http://schemas.microsoft.com/office/drawing/2014/chart" uri="{C3380CC4-5D6E-409C-BE32-E72D297353CC}">
                <c16:uniqueId val="{0000001C-A6AF-44DC-83C8-60254FE9657F}"/>
              </c:ext>
            </c:extLst>
          </c:dPt>
          <c:dPt>
            <c:idx val="4"/>
            <c:invertIfNegative val="0"/>
            <c:bubble3D val="0"/>
            <c:spPr>
              <a:pattFill prst="narVert">
                <a:fgClr>
                  <a:srgbClr val="67A9CF"/>
                </a:fgClr>
                <a:bgClr>
                  <a:schemeClr val="bg1"/>
                </a:bgClr>
              </a:pattFill>
              <a:ln>
                <a:noFill/>
              </a:ln>
              <a:effectLst/>
            </c:spPr>
            <c:extLst>
              <c:ext xmlns:c16="http://schemas.microsoft.com/office/drawing/2014/chart" uri="{C3380CC4-5D6E-409C-BE32-E72D297353CC}">
                <c16:uniqueId val="{0000001E-A6AF-44DC-83C8-60254FE9657F}"/>
              </c:ext>
            </c:extLst>
          </c:dPt>
          <c:dPt>
            <c:idx val="5"/>
            <c:invertIfNegative val="0"/>
            <c:bubble3D val="0"/>
            <c:spPr>
              <a:pattFill prst="narVert">
                <a:fgClr>
                  <a:srgbClr val="EF8A62"/>
                </a:fgClr>
                <a:bgClr>
                  <a:schemeClr val="bg1"/>
                </a:bgClr>
              </a:pattFill>
              <a:ln>
                <a:noFill/>
              </a:ln>
              <a:effectLst/>
            </c:spPr>
            <c:extLst>
              <c:ext xmlns:c16="http://schemas.microsoft.com/office/drawing/2014/chart" uri="{C3380CC4-5D6E-409C-BE32-E72D297353CC}">
                <c16:uniqueId val="{00000020-A6AF-44DC-83C8-60254FE9657F}"/>
              </c:ext>
            </c:extLst>
          </c:dPt>
          <c:dPt>
            <c:idx val="6"/>
            <c:invertIfNegative val="0"/>
            <c:bubble3D val="0"/>
            <c:spPr>
              <a:pattFill prst="narVert">
                <a:fgClr>
                  <a:srgbClr val="EF8A62"/>
                </a:fgClr>
                <a:bgClr>
                  <a:schemeClr val="bg1"/>
                </a:bgClr>
              </a:pattFill>
              <a:ln>
                <a:noFill/>
              </a:ln>
              <a:effectLst/>
            </c:spPr>
            <c:extLst>
              <c:ext xmlns:c16="http://schemas.microsoft.com/office/drawing/2014/chart" uri="{C3380CC4-5D6E-409C-BE32-E72D297353CC}">
                <c16:uniqueId val="{00000022-A6AF-44DC-83C8-60254FE9657F}"/>
              </c:ext>
            </c:extLst>
          </c:dPt>
          <c:dPt>
            <c:idx val="7"/>
            <c:invertIfNegative val="0"/>
            <c:bubble3D val="0"/>
            <c:spPr>
              <a:pattFill prst="narVert">
                <a:fgClr>
                  <a:srgbClr val="EF8A62"/>
                </a:fgClr>
                <a:bgClr>
                  <a:schemeClr val="bg1"/>
                </a:bgClr>
              </a:pattFill>
              <a:ln>
                <a:noFill/>
              </a:ln>
              <a:effectLst/>
            </c:spPr>
            <c:extLst>
              <c:ext xmlns:c16="http://schemas.microsoft.com/office/drawing/2014/chart" uri="{C3380CC4-5D6E-409C-BE32-E72D297353CC}">
                <c16:uniqueId val="{00000024-A6AF-44DC-83C8-60254FE9657F}"/>
              </c:ext>
            </c:extLst>
          </c:dPt>
          <c:dPt>
            <c:idx val="8"/>
            <c:invertIfNegative val="0"/>
            <c:bubble3D val="0"/>
            <c:spPr>
              <a:pattFill prst="narVert">
                <a:fgClr>
                  <a:srgbClr val="B2182B"/>
                </a:fgClr>
                <a:bgClr>
                  <a:schemeClr val="bg1"/>
                </a:bgClr>
              </a:pattFill>
              <a:ln>
                <a:noFill/>
              </a:ln>
              <a:effectLst/>
            </c:spPr>
            <c:extLst>
              <c:ext xmlns:c16="http://schemas.microsoft.com/office/drawing/2014/chart" uri="{C3380CC4-5D6E-409C-BE32-E72D297353CC}">
                <c16:uniqueId val="{00000026-A6AF-44DC-83C8-60254FE9657F}"/>
              </c:ext>
            </c:extLst>
          </c:dPt>
          <c:dPt>
            <c:idx val="9"/>
            <c:invertIfNegative val="0"/>
            <c:bubble3D val="0"/>
            <c:spPr>
              <a:pattFill prst="narVert">
                <a:fgClr>
                  <a:srgbClr val="B2182B"/>
                </a:fgClr>
                <a:bgClr>
                  <a:schemeClr val="bg1"/>
                </a:bgClr>
              </a:pattFill>
              <a:ln>
                <a:noFill/>
              </a:ln>
              <a:effectLst/>
            </c:spPr>
            <c:extLst>
              <c:ext xmlns:c16="http://schemas.microsoft.com/office/drawing/2014/chart" uri="{C3380CC4-5D6E-409C-BE32-E72D297353CC}">
                <c16:uniqueId val="{00000028-A6AF-44DC-83C8-60254FE9657F}"/>
              </c:ext>
            </c:extLst>
          </c:dPt>
          <c:dPt>
            <c:idx val="10"/>
            <c:invertIfNegative val="0"/>
            <c:bubble3D val="0"/>
            <c:spPr>
              <a:pattFill prst="narVert">
                <a:fgClr>
                  <a:srgbClr val="B2182B"/>
                </a:fgClr>
                <a:bgClr>
                  <a:schemeClr val="bg1"/>
                </a:bgClr>
              </a:pattFill>
              <a:ln>
                <a:noFill/>
              </a:ln>
              <a:effectLst/>
            </c:spPr>
            <c:extLst>
              <c:ext xmlns:c16="http://schemas.microsoft.com/office/drawing/2014/chart" uri="{C3380CC4-5D6E-409C-BE32-E72D297353CC}">
                <c16:uniqueId val="{0000002A-A6AF-44DC-83C8-60254FE9657F}"/>
              </c:ext>
            </c:extLst>
          </c:dPt>
          <c:cat>
            <c:strRef>
              <c:f>Data_for_Graphs!$B$177:$B$187</c:f>
              <c:strCache>
                <c:ptCount val="11"/>
                <c:pt idx="0">
                  <c:v>Base</c:v>
                </c:pt>
                <c:pt idx="1">
                  <c:v>Construction Debt Interest (6.4%)</c:v>
                </c:pt>
                <c:pt idx="2">
                  <c:v>First Lien Interest (6.2%)</c:v>
                </c:pt>
                <c:pt idx="3">
                  <c:v>Second Lien Interest (6.9%)</c:v>
                </c:pt>
                <c:pt idx="4">
                  <c:v>Capex Contigency (5%)</c:v>
                </c:pt>
                <c:pt idx="5">
                  <c:v>Infrastructure Capex (678 £/kW)</c:v>
                </c:pt>
                <c:pt idx="6">
                  <c:v>Annual Degradation Factor (0.5%)</c:v>
                </c:pt>
                <c:pt idx="7">
                  <c:v>O&amp;M (54.5 k£/MW/a)</c:v>
                </c:pt>
                <c:pt idx="8">
                  <c:v>Connection &amp; UoS (86.4 k£/MW/a)</c:v>
                </c:pt>
                <c:pt idx="9">
                  <c:v>Electricity Escalation Factor (1.5%)</c:v>
                </c:pt>
                <c:pt idx="10">
                  <c:v>Construction Capex (3063 £/kW)</c:v>
                </c:pt>
              </c:strCache>
            </c:strRef>
          </c:cat>
          <c:val>
            <c:numRef>
              <c:f>Data_for_Graphs!$D$177:$D$187</c:f>
              <c:numCache>
                <c:formatCode>0.0%</c:formatCode>
                <c:ptCount val="11"/>
                <c:pt idx="0">
                  <c:v>0.65880578456233307</c:v>
                </c:pt>
                <c:pt idx="1">
                  <c:v>0.65649378456189877</c:v>
                </c:pt>
                <c:pt idx="2">
                  <c:v>0.65470615492389261</c:v>
                </c:pt>
                <c:pt idx="3">
                  <c:v>0.65570334209786962</c:v>
                </c:pt>
                <c:pt idx="4">
                  <c:v>0.65223500787828692</c:v>
                </c:pt>
                <c:pt idx="5">
                  <c:v>0.64825504987882543</c:v>
                </c:pt>
                <c:pt idx="6">
                  <c:v>0.64675708821988698</c:v>
                </c:pt>
                <c:pt idx="7">
                  <c:v>0.64103792902357559</c:v>
                </c:pt>
                <c:pt idx="8">
                  <c:v>0.63902877777110634</c:v>
                </c:pt>
                <c:pt idx="9">
                  <c:v>0.6331244142725011</c:v>
                </c:pt>
                <c:pt idx="10">
                  <c:v>0.62046717735858359</c:v>
                </c:pt>
              </c:numCache>
            </c:numRef>
          </c:val>
          <c:extLst>
            <c:ext xmlns:c16="http://schemas.microsoft.com/office/drawing/2014/chart" uri="{C3380CC4-5D6E-409C-BE32-E72D297353CC}">
              <c16:uniqueId val="{0000002B-A6AF-44DC-83C8-60254FE9657F}"/>
            </c:ext>
          </c:extLst>
        </c:ser>
        <c:dLbls>
          <c:showLegendKey val="0"/>
          <c:showVal val="0"/>
          <c:showCatName val="0"/>
          <c:showSerName val="0"/>
          <c:showPercent val="0"/>
          <c:showBubbleSize val="0"/>
        </c:dLbls>
        <c:gapWidth val="182"/>
        <c:axId val="730456527"/>
        <c:axId val="1398279919"/>
      </c:barChart>
      <c:catAx>
        <c:axId val="7304565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398279919"/>
        <c:crosses val="autoZero"/>
        <c:auto val="1"/>
        <c:lblAlgn val="ctr"/>
        <c:lblOffset val="100"/>
        <c:noMultiLvlLbl val="0"/>
      </c:catAx>
      <c:valAx>
        <c:axId val="1398279919"/>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730456527"/>
        <c:crosses val="autoZero"/>
        <c:crossBetween val="between"/>
      </c:valAx>
    </c:plotArea>
    <c:legend>
      <c:legendPos val="b"/>
      <c:overlay val="0"/>
    </c:legend>
    <c:plotVisOnly val="1"/>
    <c:dispBlanksAs val="gap"/>
    <c:showDLblsOverMax val="0"/>
  </c:chart>
  <c:txPr>
    <a:bodyPr/>
    <a:lstStyle/>
    <a:p>
      <a:pPr>
        <a:defRPr>
          <a:latin typeface="Aptos Display" panose="020B00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GB" sz="1100" b="1">
                <a:latin typeface="Aptos" panose="020B0004020202020204" pitchFamily="34" charset="0"/>
              </a:rPr>
              <a:t>Quarterly</a:t>
            </a:r>
            <a:r>
              <a:rPr lang="en-GB" sz="1100" b="1" baseline="0">
                <a:latin typeface="Aptos" panose="020B0004020202020204" pitchFamily="34" charset="0"/>
              </a:rPr>
              <a:t> DSCR profile for first 7 years of debt tenor</a:t>
            </a:r>
            <a:endParaRPr lang="en-GB" sz="1100" b="1">
              <a:latin typeface="Aptos" panose="020B0004020202020204" pitchFamily="34" charset="0"/>
            </a:endParaRPr>
          </a:p>
        </c:rich>
      </c:tx>
      <c:overlay val="0"/>
      <c:spPr>
        <a:noFill/>
        <a:ln>
          <a:noFill/>
        </a:ln>
        <a:effectLst/>
      </c:spPr>
    </c:title>
    <c:autoTitleDeleted val="0"/>
    <c:plotArea>
      <c:layout>
        <c:manualLayout>
          <c:layoutTarget val="inner"/>
          <c:xMode val="edge"/>
          <c:yMode val="edge"/>
          <c:x val="0.150985578729178"/>
          <c:y val="0.13258355871888125"/>
          <c:w val="0.81814326690621086"/>
          <c:h val="0.56441410594063668"/>
        </c:manualLayout>
      </c:layout>
      <c:lineChart>
        <c:grouping val="standard"/>
        <c:varyColors val="0"/>
        <c:ser>
          <c:idx val="8"/>
          <c:order val="0"/>
          <c:tx>
            <c:strRef>
              <c:f>Data_for_Graphs!$B$190</c:f>
              <c:strCache>
                <c:ptCount val="1"/>
                <c:pt idx="0">
                  <c:v>Base - P50 DSCR</c:v>
                </c:pt>
              </c:strCache>
            </c:strRef>
          </c:tx>
          <c:spPr>
            <a:ln w="12700">
              <a:solidFill>
                <a:srgbClr val="2166AC"/>
              </a:solidFill>
              <a:prstDash val="dash"/>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Data_for_Graphs!$C$190:$Z$190</c:f>
              <c:numCache>
                <c:formatCode>0.00</c:formatCode>
                <c:ptCount val="24"/>
                <c:pt idx="0">
                  <c:v>1.2998263841687581</c:v>
                </c:pt>
                <c:pt idx="1">
                  <c:v>1.1862791749511421</c:v>
                </c:pt>
                <c:pt idx="2">
                  <c:v>1.2998263841687583</c:v>
                </c:pt>
                <c:pt idx="3">
                  <c:v>1.2998263841687583</c:v>
                </c:pt>
                <c:pt idx="4">
                  <c:v>1.2998263841687581</c:v>
                </c:pt>
                <c:pt idx="5">
                  <c:v>1.2295766349786788</c:v>
                </c:pt>
                <c:pt idx="6">
                  <c:v>1.2998263841687583</c:v>
                </c:pt>
                <c:pt idx="7">
                  <c:v>1.2998263841687583</c:v>
                </c:pt>
                <c:pt idx="8">
                  <c:v>1.2998263841687583</c:v>
                </c:pt>
                <c:pt idx="9">
                  <c:v>1.271511169322028</c:v>
                </c:pt>
                <c:pt idx="10">
                  <c:v>1.2998263841687583</c:v>
                </c:pt>
                <c:pt idx="11">
                  <c:v>1.2998263841687583</c:v>
                </c:pt>
                <c:pt idx="12">
                  <c:v>1.2998263841687585</c:v>
                </c:pt>
                <c:pt idx="13">
                  <c:v>1.2832480432304452</c:v>
                </c:pt>
                <c:pt idx="14">
                  <c:v>1.2998263841687583</c:v>
                </c:pt>
                <c:pt idx="15">
                  <c:v>1.2998263841687583</c:v>
                </c:pt>
                <c:pt idx="16">
                  <c:v>1.2998263841687583</c:v>
                </c:pt>
                <c:pt idx="17">
                  <c:v>1.2998263841687583</c:v>
                </c:pt>
                <c:pt idx="18">
                  <c:v>1.2998263841687583</c:v>
                </c:pt>
                <c:pt idx="19">
                  <c:v>1.2998263841687583</c:v>
                </c:pt>
                <c:pt idx="20">
                  <c:v>1.2998263841687583</c:v>
                </c:pt>
                <c:pt idx="21">
                  <c:v>1.2998263841687583</c:v>
                </c:pt>
                <c:pt idx="22">
                  <c:v>1.2998263841687583</c:v>
                </c:pt>
                <c:pt idx="23">
                  <c:v>1.2998263841687583</c:v>
                </c:pt>
              </c:numCache>
            </c:numRef>
          </c:val>
          <c:smooth val="0"/>
          <c:extLst>
            <c:ext xmlns:c16="http://schemas.microsoft.com/office/drawing/2014/chart" uri="{C3380CC4-5D6E-409C-BE32-E72D297353CC}">
              <c16:uniqueId val="{00000000-8BC7-4430-A930-E9D98B4FF66F}"/>
            </c:ext>
          </c:extLst>
        </c:ser>
        <c:ser>
          <c:idx val="9"/>
          <c:order val="1"/>
          <c:tx>
            <c:strRef>
              <c:f>Data_for_Graphs!$B$191</c:f>
              <c:strCache>
                <c:ptCount val="1"/>
                <c:pt idx="0">
                  <c:v>Base - P75 DSCR</c:v>
                </c:pt>
              </c:strCache>
            </c:strRef>
          </c:tx>
          <c:spPr>
            <a:ln w="12700">
              <a:solidFill>
                <a:srgbClr val="67A9CF"/>
              </a:solidFill>
              <a:prstDash val="sysDot"/>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Data_for_Graphs!$C$191:$Z$191</c:f>
              <c:numCache>
                <c:formatCode>0.00</c:formatCode>
                <c:ptCount val="24"/>
                <c:pt idx="0">
                  <c:v>1.2998276736944265</c:v>
                </c:pt>
                <c:pt idx="1">
                  <c:v>1.1756392766328025</c:v>
                </c:pt>
                <c:pt idx="2">
                  <c:v>1.2998276736944265</c:v>
                </c:pt>
                <c:pt idx="3">
                  <c:v>1.2998276736944263</c:v>
                </c:pt>
                <c:pt idx="4">
                  <c:v>1.2998276736944265</c:v>
                </c:pt>
                <c:pt idx="5">
                  <c:v>1.21836750491917</c:v>
                </c:pt>
                <c:pt idx="6">
                  <c:v>1.2998276736944263</c:v>
                </c:pt>
                <c:pt idx="7">
                  <c:v>1.2998276736944263</c:v>
                </c:pt>
                <c:pt idx="8">
                  <c:v>1.2998276736944263</c:v>
                </c:pt>
                <c:pt idx="9">
                  <c:v>1.2661441055655442</c:v>
                </c:pt>
                <c:pt idx="10">
                  <c:v>1.2998276736944265</c:v>
                </c:pt>
                <c:pt idx="11">
                  <c:v>1.2998276736944263</c:v>
                </c:pt>
                <c:pt idx="12">
                  <c:v>1.2998276736944263</c:v>
                </c:pt>
                <c:pt idx="13">
                  <c:v>1.2777368166030785</c:v>
                </c:pt>
                <c:pt idx="14">
                  <c:v>1.2998276736944265</c:v>
                </c:pt>
                <c:pt idx="15">
                  <c:v>1.2998276736944263</c:v>
                </c:pt>
                <c:pt idx="16">
                  <c:v>1.2998276736944263</c:v>
                </c:pt>
                <c:pt idx="17">
                  <c:v>1.2998276736944265</c:v>
                </c:pt>
                <c:pt idx="18">
                  <c:v>1.2998276736944263</c:v>
                </c:pt>
                <c:pt idx="19">
                  <c:v>1.2998276736944265</c:v>
                </c:pt>
                <c:pt idx="20">
                  <c:v>1.2998276736944265</c:v>
                </c:pt>
                <c:pt idx="21">
                  <c:v>1.2998276736944265</c:v>
                </c:pt>
                <c:pt idx="22">
                  <c:v>1.2998276736944263</c:v>
                </c:pt>
                <c:pt idx="23">
                  <c:v>1.2998276736944265</c:v>
                </c:pt>
              </c:numCache>
            </c:numRef>
          </c:val>
          <c:smooth val="0"/>
          <c:extLst>
            <c:ext xmlns:c16="http://schemas.microsoft.com/office/drawing/2014/chart" uri="{C3380CC4-5D6E-409C-BE32-E72D297353CC}">
              <c16:uniqueId val="{00000001-8BC7-4430-A930-E9D98B4FF66F}"/>
            </c:ext>
          </c:extLst>
        </c:ser>
        <c:ser>
          <c:idx val="10"/>
          <c:order val="2"/>
          <c:tx>
            <c:strRef>
              <c:f>Data_for_Graphs!$B$192</c:f>
              <c:strCache>
                <c:ptCount val="1"/>
                <c:pt idx="0">
                  <c:v>Base - P90 DSCR</c:v>
                </c:pt>
              </c:strCache>
            </c:strRef>
          </c:tx>
          <c:spPr>
            <a:ln w="12700">
              <a:solidFill>
                <a:srgbClr val="FFD85D"/>
              </a:solidFill>
              <a:prstDash val="sysDash"/>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Data_for_Graphs!$C$192:$Z$192</c:f>
              <c:numCache>
                <c:formatCode>0.00</c:formatCode>
                <c:ptCount val="24"/>
                <c:pt idx="0">
                  <c:v>1.2998290255193601</c:v>
                </c:pt>
                <c:pt idx="1">
                  <c:v>1.1644297121862033</c:v>
                </c:pt>
                <c:pt idx="2">
                  <c:v>1.2998290255193601</c:v>
                </c:pt>
                <c:pt idx="3">
                  <c:v>1.2998290255193603</c:v>
                </c:pt>
                <c:pt idx="4">
                  <c:v>1.2998290255193601</c:v>
                </c:pt>
                <c:pt idx="5">
                  <c:v>1.2065463453976282</c:v>
                </c:pt>
                <c:pt idx="6">
                  <c:v>1.2998290255193603</c:v>
                </c:pt>
                <c:pt idx="7">
                  <c:v>1.2998290255193601</c:v>
                </c:pt>
                <c:pt idx="8">
                  <c:v>1.2998290255193603</c:v>
                </c:pt>
                <c:pt idx="9">
                  <c:v>1.2536712828252259</c:v>
                </c:pt>
                <c:pt idx="10">
                  <c:v>1.2998290255193603</c:v>
                </c:pt>
                <c:pt idx="11">
                  <c:v>1.2998290255193603</c:v>
                </c:pt>
                <c:pt idx="12">
                  <c:v>1.2998290255193601</c:v>
                </c:pt>
                <c:pt idx="13">
                  <c:v>1.2718413237779205</c:v>
                </c:pt>
                <c:pt idx="14">
                  <c:v>1.2998290255193601</c:v>
                </c:pt>
                <c:pt idx="15">
                  <c:v>1.2998290255193603</c:v>
                </c:pt>
                <c:pt idx="16">
                  <c:v>1.2998290255193601</c:v>
                </c:pt>
                <c:pt idx="17">
                  <c:v>1.2948433023239343</c:v>
                </c:pt>
                <c:pt idx="18">
                  <c:v>1.2998290255193601</c:v>
                </c:pt>
                <c:pt idx="19">
                  <c:v>1.2998290255193601</c:v>
                </c:pt>
                <c:pt idx="20">
                  <c:v>1.2998290255193601</c:v>
                </c:pt>
                <c:pt idx="21">
                  <c:v>1.2998290255193601</c:v>
                </c:pt>
                <c:pt idx="22">
                  <c:v>1.2998290255193601</c:v>
                </c:pt>
                <c:pt idx="23">
                  <c:v>1.2998290255193601</c:v>
                </c:pt>
              </c:numCache>
            </c:numRef>
          </c:val>
          <c:smooth val="0"/>
          <c:extLst>
            <c:ext xmlns:c16="http://schemas.microsoft.com/office/drawing/2014/chart" uri="{C3380CC4-5D6E-409C-BE32-E72D297353CC}">
              <c16:uniqueId val="{00000002-8BC7-4430-A930-E9D98B4FF66F}"/>
            </c:ext>
          </c:extLst>
        </c:ser>
        <c:ser>
          <c:idx val="11"/>
          <c:order val="3"/>
          <c:tx>
            <c:strRef>
              <c:f>Data_for_Graphs!$B$193</c:f>
              <c:strCache>
                <c:ptCount val="1"/>
                <c:pt idx="0">
                  <c:v>Base - P99 DSCR</c:v>
                </c:pt>
              </c:strCache>
            </c:strRef>
          </c:tx>
          <c:spPr>
            <a:ln w="12700">
              <a:solidFill>
                <a:srgbClr val="EF8A62"/>
              </a:solidFill>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Data_for_Graphs!$C$193:$Z$193</c:f>
              <c:numCache>
                <c:formatCode>0.00</c:formatCode>
                <c:ptCount val="24"/>
                <c:pt idx="0">
                  <c:v>1.2998319225756583</c:v>
                </c:pt>
                <c:pt idx="1">
                  <c:v>1.1402109257165924</c:v>
                </c:pt>
                <c:pt idx="2">
                  <c:v>1.2998319225756583</c:v>
                </c:pt>
                <c:pt idx="3">
                  <c:v>1.2998319225756583</c:v>
                </c:pt>
                <c:pt idx="4">
                  <c:v>1.2998319225756583</c:v>
                </c:pt>
                <c:pt idx="5">
                  <c:v>1.1809644503712473</c:v>
                </c:pt>
                <c:pt idx="6">
                  <c:v>1.2998319225756583</c:v>
                </c:pt>
                <c:pt idx="7">
                  <c:v>1.2998319225756583</c:v>
                </c:pt>
                <c:pt idx="8">
                  <c:v>1.2998319225756583</c:v>
                </c:pt>
                <c:pt idx="9">
                  <c:v>1.2266318453451877</c:v>
                </c:pt>
                <c:pt idx="10">
                  <c:v>1.2998319225756583</c:v>
                </c:pt>
                <c:pt idx="11">
                  <c:v>1.2998319225756583</c:v>
                </c:pt>
                <c:pt idx="12">
                  <c:v>1.2998319225756583</c:v>
                </c:pt>
                <c:pt idx="13">
                  <c:v>1.2493808884630146</c:v>
                </c:pt>
                <c:pt idx="14">
                  <c:v>1.2998319225756583</c:v>
                </c:pt>
                <c:pt idx="15">
                  <c:v>1.2998319225756583</c:v>
                </c:pt>
                <c:pt idx="16">
                  <c:v>1.2998319225756583</c:v>
                </c:pt>
                <c:pt idx="17">
                  <c:v>1.2816632983313869</c:v>
                </c:pt>
                <c:pt idx="18">
                  <c:v>1.2998319225756583</c:v>
                </c:pt>
                <c:pt idx="19">
                  <c:v>1.2998319225756583</c:v>
                </c:pt>
                <c:pt idx="20">
                  <c:v>1.2998319225756583</c:v>
                </c:pt>
                <c:pt idx="21">
                  <c:v>1.2985097369895884</c:v>
                </c:pt>
                <c:pt idx="22">
                  <c:v>1.2998319225756583</c:v>
                </c:pt>
                <c:pt idx="23">
                  <c:v>1.2998319225756583</c:v>
                </c:pt>
              </c:numCache>
            </c:numRef>
          </c:val>
          <c:smooth val="0"/>
          <c:extLst>
            <c:ext xmlns:c16="http://schemas.microsoft.com/office/drawing/2014/chart" uri="{C3380CC4-5D6E-409C-BE32-E72D297353CC}">
              <c16:uniqueId val="{00000003-8BC7-4430-A930-E9D98B4FF66F}"/>
            </c:ext>
          </c:extLst>
        </c:ser>
        <c:ser>
          <c:idx val="15"/>
          <c:order val="4"/>
          <c:tx>
            <c:strRef>
              <c:f>Data_for_Graphs!$B$197</c:f>
              <c:strCache>
                <c:ptCount val="1"/>
                <c:pt idx="0">
                  <c:v>Default DSCR</c:v>
                </c:pt>
              </c:strCache>
            </c:strRef>
          </c:tx>
          <c:spPr>
            <a:ln w="12700">
              <a:solidFill>
                <a:srgbClr val="C00000"/>
              </a:solidFill>
              <a:prstDash val="sysDash"/>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Data_for_Graphs!$C$197:$Z$197</c:f>
              <c:numCache>
                <c:formatCode>0.00</c:formatCode>
                <c:ptCount val="24"/>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pt idx="15">
                  <c:v>1.1000000000000001</c:v>
                </c:pt>
                <c:pt idx="16">
                  <c:v>1.1000000000000001</c:v>
                </c:pt>
                <c:pt idx="17">
                  <c:v>1.1000000000000001</c:v>
                </c:pt>
                <c:pt idx="18">
                  <c:v>1.1000000000000001</c:v>
                </c:pt>
                <c:pt idx="19">
                  <c:v>1.1000000000000001</c:v>
                </c:pt>
                <c:pt idx="20">
                  <c:v>1.1000000000000001</c:v>
                </c:pt>
                <c:pt idx="21">
                  <c:v>1.1000000000000001</c:v>
                </c:pt>
                <c:pt idx="22">
                  <c:v>1.1000000000000001</c:v>
                </c:pt>
                <c:pt idx="23">
                  <c:v>1.1000000000000001</c:v>
                </c:pt>
              </c:numCache>
            </c:numRef>
          </c:val>
          <c:smooth val="0"/>
          <c:extLst>
            <c:ext xmlns:c16="http://schemas.microsoft.com/office/drawing/2014/chart" uri="{C3380CC4-5D6E-409C-BE32-E72D297353CC}">
              <c16:uniqueId val="{00000004-8BC7-4430-A930-E9D98B4FF66F}"/>
            </c:ext>
          </c:extLst>
        </c:ser>
        <c:dLbls>
          <c:showLegendKey val="0"/>
          <c:showVal val="0"/>
          <c:showCatName val="0"/>
          <c:showSerName val="0"/>
          <c:showPercent val="0"/>
          <c:showBubbleSize val="0"/>
        </c:dLbls>
        <c:smooth val="0"/>
        <c:axId val="63040255"/>
        <c:axId val="63045535"/>
      </c:lineChart>
      <c:catAx>
        <c:axId val="630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3045535"/>
        <c:crosses val="autoZero"/>
        <c:auto val="1"/>
        <c:lblAlgn val="ctr"/>
        <c:lblOffset val="100"/>
        <c:noMultiLvlLbl val="0"/>
      </c:catAx>
      <c:valAx>
        <c:axId val="63045535"/>
        <c:scaling>
          <c:orientation val="minMax"/>
          <c:max val="1.35"/>
          <c:min val="1.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a:lstStyle/>
              <a:p>
                <a:pPr>
                  <a:defRPr/>
                </a:pPr>
                <a:r>
                  <a:rPr lang="en-GB" sz="900" b="0">
                    <a:latin typeface="Aptos" panose="020B0004020202020204" pitchFamily="34" charset="0"/>
                  </a:rPr>
                  <a:t>Quarterly DSCR</a:t>
                </a:r>
              </a:p>
            </c:rich>
          </c:tx>
          <c:layout>
            <c:manualLayout>
              <c:xMode val="edge"/>
              <c:yMode val="edge"/>
              <c:x val="1.9069843500704932E-2"/>
              <c:y val="0.22226012658744468"/>
            </c:manualLayout>
          </c:layout>
          <c:overlay val="0"/>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3040255"/>
        <c:crosses val="autoZero"/>
        <c:crossBetween val="between"/>
        <c:majorUnit val="5.000000000000001E-2"/>
        <c:minorUnit val="1.0000000000000002E-2"/>
      </c:valAx>
    </c:plotArea>
    <c:legend>
      <c:legendPos val="b"/>
      <c:layout>
        <c:manualLayout>
          <c:xMode val="edge"/>
          <c:yMode val="edge"/>
          <c:x val="1.324840906079907E-2"/>
          <c:y val="0.78044134678751687"/>
          <c:w val="0.95738432228472448"/>
          <c:h val="0.17003484864043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panose="020B0004020202020204" pitchFamily="34" charset="0"/>
                <a:ea typeface="+mn-ea"/>
                <a:cs typeface="+mn-cs"/>
              </a:defRPr>
            </a:pPr>
            <a:r>
              <a:rPr lang="en-GB" sz="1100" b="1">
                <a:latin typeface="Aptos" panose="020B0004020202020204" pitchFamily="34" charset="0"/>
              </a:rPr>
              <a:t>Quarterly</a:t>
            </a:r>
            <a:r>
              <a:rPr lang="en-GB" sz="1100" b="1" baseline="0">
                <a:latin typeface="Aptos" panose="020B0004020202020204" pitchFamily="34" charset="0"/>
              </a:rPr>
              <a:t> DSCR profile for first 7 years of debt tenor 2/2</a:t>
            </a:r>
            <a:endParaRPr lang="en-GB" sz="1100" b="1">
              <a:latin typeface="Aptos" panose="020B0004020202020204" pitchFamily="34" charset="0"/>
            </a:endParaRPr>
          </a:p>
        </c:rich>
      </c:tx>
      <c:overlay val="0"/>
      <c:spPr>
        <a:noFill/>
        <a:ln>
          <a:noFill/>
        </a:ln>
        <a:effectLst/>
      </c:spPr>
    </c:title>
    <c:autoTitleDeleted val="0"/>
    <c:plotArea>
      <c:layout>
        <c:manualLayout>
          <c:layoutTarget val="inner"/>
          <c:xMode val="edge"/>
          <c:yMode val="edge"/>
          <c:x val="0.150985578729178"/>
          <c:y val="0.13258355871888125"/>
          <c:w val="0.81814326690621086"/>
          <c:h val="0.56441410594063668"/>
        </c:manualLayout>
      </c:layout>
      <c:lineChart>
        <c:grouping val="standard"/>
        <c:varyColors val="0"/>
        <c:ser>
          <c:idx val="8"/>
          <c:order val="0"/>
          <c:tx>
            <c:strRef>
              <c:f>Data_for_Graphs!$B$196</c:f>
              <c:strCache>
                <c:ptCount val="1"/>
                <c:pt idx="0">
                  <c:v>Electricity Escalation Factor (2.5%) - P90 DSCR</c:v>
                </c:pt>
              </c:strCache>
            </c:strRef>
          </c:tx>
          <c:spPr>
            <a:ln w="12700">
              <a:solidFill>
                <a:srgbClr val="2166AC"/>
              </a:solidFill>
              <a:prstDash val="dash"/>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Data_for_Graphs!$C$196:$Z$196</c:f>
              <c:numCache>
                <c:formatCode>0.00</c:formatCode>
                <c:ptCount val="24"/>
                <c:pt idx="0">
                  <c:v>1.2998062630203508</c:v>
                </c:pt>
                <c:pt idx="1">
                  <c:v>1.0960023716167897</c:v>
                </c:pt>
                <c:pt idx="2">
                  <c:v>1.2998062630203506</c:v>
                </c:pt>
                <c:pt idx="3">
                  <c:v>1.2998062630203508</c:v>
                </c:pt>
                <c:pt idx="4">
                  <c:v>1.2998062630203508</c:v>
                </c:pt>
                <c:pt idx="5">
                  <c:v>1.1413652988644094</c:v>
                </c:pt>
                <c:pt idx="6">
                  <c:v>1.2998062630203508</c:v>
                </c:pt>
                <c:pt idx="7">
                  <c:v>1.2998062630203508</c:v>
                </c:pt>
                <c:pt idx="8">
                  <c:v>1.2998062630203508</c:v>
                </c:pt>
                <c:pt idx="9">
                  <c:v>1.1920829992873179</c:v>
                </c:pt>
                <c:pt idx="10">
                  <c:v>1.2998062630203508</c:v>
                </c:pt>
                <c:pt idx="11">
                  <c:v>1.2998062630203508</c:v>
                </c:pt>
                <c:pt idx="12">
                  <c:v>1.2998062630203508</c:v>
                </c:pt>
                <c:pt idx="13">
                  <c:v>1.2243337017215024</c:v>
                </c:pt>
                <c:pt idx="14">
                  <c:v>1.2998062630203508</c:v>
                </c:pt>
                <c:pt idx="15">
                  <c:v>1.2998062630203506</c:v>
                </c:pt>
                <c:pt idx="16">
                  <c:v>1.2998062630203511</c:v>
                </c:pt>
                <c:pt idx="17">
                  <c:v>1.274367768847978</c:v>
                </c:pt>
                <c:pt idx="18">
                  <c:v>1.2998062630203508</c:v>
                </c:pt>
                <c:pt idx="19">
                  <c:v>1.2998062630203508</c:v>
                </c:pt>
                <c:pt idx="20">
                  <c:v>1.2998062630203511</c:v>
                </c:pt>
                <c:pt idx="21">
                  <c:v>1.2956081075600698</c:v>
                </c:pt>
                <c:pt idx="22">
                  <c:v>1.2998062630203508</c:v>
                </c:pt>
                <c:pt idx="23">
                  <c:v>1.2998062630203508</c:v>
                </c:pt>
              </c:numCache>
            </c:numRef>
          </c:val>
          <c:smooth val="0"/>
          <c:extLst>
            <c:ext xmlns:c16="http://schemas.microsoft.com/office/drawing/2014/chart" uri="{C3380CC4-5D6E-409C-BE32-E72D297353CC}">
              <c16:uniqueId val="{00000000-FB73-48A5-8C4F-E4A044E01FA9}"/>
            </c:ext>
          </c:extLst>
        </c:ser>
        <c:ser>
          <c:idx val="9"/>
          <c:order val="1"/>
          <c:tx>
            <c:strRef>
              <c:f>Data_for_Graphs!$B$195</c:f>
              <c:strCache>
                <c:ptCount val="1"/>
                <c:pt idx="0">
                  <c:v>Connection &amp; UoS (86.4 k£/MW/a) - P90 DSCR </c:v>
                </c:pt>
              </c:strCache>
            </c:strRef>
          </c:tx>
          <c:spPr>
            <a:ln w="12700">
              <a:solidFill>
                <a:srgbClr val="67A9CF"/>
              </a:solidFill>
              <a:prstDash val="sysDot"/>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Data_for_Graphs!$C$195:$Z$195</c:f>
              <c:numCache>
                <c:formatCode>0.00</c:formatCode>
                <c:ptCount val="24"/>
                <c:pt idx="0">
                  <c:v>1.2998330703774812</c:v>
                </c:pt>
                <c:pt idx="1">
                  <c:v>1.1343179893604105</c:v>
                </c:pt>
                <c:pt idx="2">
                  <c:v>1.299833070377481</c:v>
                </c:pt>
                <c:pt idx="3">
                  <c:v>1.2998330703774812</c:v>
                </c:pt>
                <c:pt idx="4">
                  <c:v>1.2998330703774812</c:v>
                </c:pt>
                <c:pt idx="5">
                  <c:v>1.1746020574418015</c:v>
                </c:pt>
                <c:pt idx="6">
                  <c:v>1.299833070377481</c:v>
                </c:pt>
                <c:pt idx="7">
                  <c:v>1.2998330703774812</c:v>
                </c:pt>
                <c:pt idx="8">
                  <c:v>1.2998330703774812</c:v>
                </c:pt>
                <c:pt idx="9">
                  <c:v>1.2197615527412631</c:v>
                </c:pt>
                <c:pt idx="10">
                  <c:v>1.2998330703774812</c:v>
                </c:pt>
                <c:pt idx="11">
                  <c:v>1.299833070377481</c:v>
                </c:pt>
                <c:pt idx="12">
                  <c:v>1.299833070377481</c:v>
                </c:pt>
                <c:pt idx="13">
                  <c:v>1.2413974766843063</c:v>
                </c:pt>
                <c:pt idx="14">
                  <c:v>1.299833070377481</c:v>
                </c:pt>
                <c:pt idx="15">
                  <c:v>1.299833070377481</c:v>
                </c:pt>
                <c:pt idx="16">
                  <c:v>1.299833070377481</c:v>
                </c:pt>
                <c:pt idx="17">
                  <c:v>1.278065619972353</c:v>
                </c:pt>
                <c:pt idx="18">
                  <c:v>1.299833070377481</c:v>
                </c:pt>
                <c:pt idx="19">
                  <c:v>1.299833070377481</c:v>
                </c:pt>
                <c:pt idx="20">
                  <c:v>1.299833070377481</c:v>
                </c:pt>
                <c:pt idx="21">
                  <c:v>1.2945892994351156</c:v>
                </c:pt>
                <c:pt idx="22">
                  <c:v>1.299833070377481</c:v>
                </c:pt>
                <c:pt idx="23">
                  <c:v>1.2998330703774812</c:v>
                </c:pt>
              </c:numCache>
            </c:numRef>
          </c:val>
          <c:smooth val="0"/>
          <c:extLst>
            <c:ext xmlns:c16="http://schemas.microsoft.com/office/drawing/2014/chart" uri="{C3380CC4-5D6E-409C-BE32-E72D297353CC}">
              <c16:uniqueId val="{00000001-FB73-48A5-8C4F-E4A044E01FA9}"/>
            </c:ext>
          </c:extLst>
        </c:ser>
        <c:ser>
          <c:idx val="10"/>
          <c:order val="2"/>
          <c:tx>
            <c:strRef>
              <c:f>Data_for_Graphs!$B$194</c:f>
              <c:strCache>
                <c:ptCount val="1"/>
                <c:pt idx="0">
                  <c:v>O&amp;M (54.5 k£/MW/a) - P90 DSCR</c:v>
                </c:pt>
              </c:strCache>
            </c:strRef>
          </c:tx>
          <c:spPr>
            <a:ln w="12700">
              <a:solidFill>
                <a:srgbClr val="EF8A62"/>
              </a:solidFill>
              <a:prstDash val="sysDash"/>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Data_for_Graphs!$C$194:$Z$194</c:f>
              <c:numCache>
                <c:formatCode>0.00</c:formatCode>
                <c:ptCount val="24"/>
                <c:pt idx="0">
                  <c:v>1.299831991453376</c:v>
                </c:pt>
                <c:pt idx="1">
                  <c:v>1.1343789498401291</c:v>
                </c:pt>
                <c:pt idx="2">
                  <c:v>1.299831991453376</c:v>
                </c:pt>
                <c:pt idx="3">
                  <c:v>1.299831991453376</c:v>
                </c:pt>
                <c:pt idx="4">
                  <c:v>1.2998319914533758</c:v>
                </c:pt>
                <c:pt idx="5">
                  <c:v>1.1749751802138824</c:v>
                </c:pt>
                <c:pt idx="6">
                  <c:v>1.2998319914533762</c:v>
                </c:pt>
                <c:pt idx="7">
                  <c:v>1.299831991453376</c:v>
                </c:pt>
                <c:pt idx="8">
                  <c:v>1.2998319914533762</c:v>
                </c:pt>
                <c:pt idx="9">
                  <c:v>1.2204799584067227</c:v>
                </c:pt>
                <c:pt idx="10">
                  <c:v>1.299831991453376</c:v>
                </c:pt>
                <c:pt idx="11">
                  <c:v>1.299831991453376</c:v>
                </c:pt>
                <c:pt idx="12">
                  <c:v>1.2998319914533762</c:v>
                </c:pt>
                <c:pt idx="13">
                  <c:v>1.2427782028035514</c:v>
                </c:pt>
                <c:pt idx="14">
                  <c:v>1.299831991453376</c:v>
                </c:pt>
                <c:pt idx="15">
                  <c:v>1.299831991453376</c:v>
                </c:pt>
                <c:pt idx="16">
                  <c:v>1.299831991453376</c:v>
                </c:pt>
                <c:pt idx="17">
                  <c:v>1.2788492458146377</c:v>
                </c:pt>
                <c:pt idx="18">
                  <c:v>1.299831991453376</c:v>
                </c:pt>
                <c:pt idx="19">
                  <c:v>1.299831991453376</c:v>
                </c:pt>
                <c:pt idx="20">
                  <c:v>1.299831991453376</c:v>
                </c:pt>
                <c:pt idx="21">
                  <c:v>1.2956372649939327</c:v>
                </c:pt>
                <c:pt idx="22">
                  <c:v>1.299831991453376</c:v>
                </c:pt>
                <c:pt idx="23">
                  <c:v>1.2998319914533762</c:v>
                </c:pt>
              </c:numCache>
            </c:numRef>
          </c:val>
          <c:smooth val="0"/>
          <c:extLst>
            <c:ext xmlns:c16="http://schemas.microsoft.com/office/drawing/2014/chart" uri="{C3380CC4-5D6E-409C-BE32-E72D297353CC}">
              <c16:uniqueId val="{00000002-FB73-48A5-8C4F-E4A044E01FA9}"/>
            </c:ext>
          </c:extLst>
        </c:ser>
        <c:ser>
          <c:idx val="15"/>
          <c:order val="3"/>
          <c:tx>
            <c:strRef>
              <c:f>Data_for_Graphs!$B$197</c:f>
              <c:strCache>
                <c:ptCount val="1"/>
                <c:pt idx="0">
                  <c:v>Default DSCR</c:v>
                </c:pt>
              </c:strCache>
            </c:strRef>
          </c:tx>
          <c:spPr>
            <a:ln w="12700">
              <a:solidFill>
                <a:srgbClr val="C00000"/>
              </a:solidFill>
              <a:prstDash val="sysDash"/>
            </a:ln>
          </c:spPr>
          <c:marker>
            <c:symbol val="none"/>
          </c:marker>
          <c:cat>
            <c:strRef>
              <c:f>Data_for_Graphs!$C$189:$Z$189</c:f>
              <c:strCache>
                <c:ptCount val="24"/>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strCache>
            </c:strRef>
          </c:cat>
          <c:val>
            <c:numRef>
              <c:f>Data_for_Graphs!$C$197:$Z$197</c:f>
              <c:numCache>
                <c:formatCode>0.00</c:formatCode>
                <c:ptCount val="24"/>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pt idx="15">
                  <c:v>1.1000000000000001</c:v>
                </c:pt>
                <c:pt idx="16">
                  <c:v>1.1000000000000001</c:v>
                </c:pt>
                <c:pt idx="17">
                  <c:v>1.1000000000000001</c:v>
                </c:pt>
                <c:pt idx="18">
                  <c:v>1.1000000000000001</c:v>
                </c:pt>
                <c:pt idx="19">
                  <c:v>1.1000000000000001</c:v>
                </c:pt>
                <c:pt idx="20">
                  <c:v>1.1000000000000001</c:v>
                </c:pt>
                <c:pt idx="21">
                  <c:v>1.1000000000000001</c:v>
                </c:pt>
                <c:pt idx="22">
                  <c:v>1.1000000000000001</c:v>
                </c:pt>
                <c:pt idx="23">
                  <c:v>1.1000000000000001</c:v>
                </c:pt>
              </c:numCache>
            </c:numRef>
          </c:val>
          <c:smooth val="0"/>
          <c:extLst>
            <c:ext xmlns:c16="http://schemas.microsoft.com/office/drawing/2014/chart" uri="{C3380CC4-5D6E-409C-BE32-E72D297353CC}">
              <c16:uniqueId val="{00000003-FB73-48A5-8C4F-E4A044E01FA9}"/>
            </c:ext>
          </c:extLst>
        </c:ser>
        <c:dLbls>
          <c:showLegendKey val="0"/>
          <c:showVal val="0"/>
          <c:showCatName val="0"/>
          <c:showSerName val="0"/>
          <c:showPercent val="0"/>
          <c:showBubbleSize val="0"/>
        </c:dLbls>
        <c:smooth val="0"/>
        <c:axId val="63040255"/>
        <c:axId val="63045535"/>
      </c:lineChart>
      <c:catAx>
        <c:axId val="630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3045535"/>
        <c:crosses val="autoZero"/>
        <c:auto val="1"/>
        <c:lblAlgn val="ctr"/>
        <c:lblOffset val="100"/>
        <c:noMultiLvlLbl val="0"/>
      </c:catAx>
      <c:valAx>
        <c:axId val="63045535"/>
        <c:scaling>
          <c:orientation val="minMax"/>
          <c:max val="1.35"/>
          <c:min val="1.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a:lstStyle/>
              <a:p>
                <a:pPr>
                  <a:defRPr/>
                </a:pPr>
                <a:r>
                  <a:rPr lang="en-GB" sz="900" b="0">
                    <a:latin typeface="Aptos" panose="020B0004020202020204" pitchFamily="34" charset="0"/>
                  </a:rPr>
                  <a:t>Quarterly DSCR</a:t>
                </a:r>
              </a:p>
            </c:rich>
          </c:tx>
          <c:layout>
            <c:manualLayout>
              <c:xMode val="edge"/>
              <c:yMode val="edge"/>
              <c:x val="1.9069843500704932E-2"/>
              <c:y val="0.22226012658744468"/>
            </c:manualLayout>
          </c:layout>
          <c:overlay val="0"/>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3040255"/>
        <c:crosses val="autoZero"/>
        <c:crossBetween val="between"/>
        <c:minorUnit val="1.0000000000000002E-2"/>
      </c:valAx>
    </c:plotArea>
    <c:legend>
      <c:legendPos val="b"/>
      <c:layout>
        <c:manualLayout>
          <c:xMode val="edge"/>
          <c:yMode val="edge"/>
          <c:x val="1.324840906079907E-2"/>
          <c:y val="0.78044134678751687"/>
          <c:w val="0.95738432228472448"/>
          <c:h val="0.170034848640435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50" b="1"/>
              <a:t>Operations</a:t>
            </a:r>
            <a:r>
              <a:rPr lang="en-GB" sz="1050" b="1" baseline="0"/>
              <a:t> period debt repayment profile for base case </a:t>
            </a:r>
            <a:endParaRPr lang="en-GB"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3432990903460457"/>
          <c:y val="0.10925470620555097"/>
          <c:w val="0.83511450551644473"/>
          <c:h val="0.70292172898317562"/>
        </c:manualLayout>
      </c:layout>
      <c:lineChart>
        <c:grouping val="standard"/>
        <c:varyColors val="0"/>
        <c:ser>
          <c:idx val="0"/>
          <c:order val="0"/>
          <c:tx>
            <c:strRef>
              <c:f>Data_for_Graphs!$B$201</c:f>
              <c:strCache>
                <c:ptCount val="1"/>
                <c:pt idx="0">
                  <c:v>P50 DSCR</c:v>
                </c:pt>
              </c:strCache>
            </c:strRef>
          </c:tx>
          <c:spPr>
            <a:ln w="12700" cap="rnd">
              <a:solidFill>
                <a:schemeClr val="accent1"/>
              </a:solidFill>
              <a:round/>
            </a:ln>
            <a:effectLst/>
          </c:spPr>
          <c:marker>
            <c:symbol val="circle"/>
            <c:size val="4"/>
            <c:spPr>
              <a:solidFill>
                <a:schemeClr val="accent1"/>
              </a:solidFill>
              <a:ln w="12700">
                <a:solidFill>
                  <a:schemeClr val="accent1"/>
                </a:solidFill>
              </a:ln>
              <a:effectLst/>
            </c:spPr>
          </c:marker>
          <c:cat>
            <c:strRef>
              <c:f>Data_for_Graphs!$C$200:$V$200</c:f>
              <c:strCache>
                <c:ptCount val="20"/>
                <c:pt idx="0">
                  <c:v>Y0</c:v>
                </c:pt>
                <c:pt idx="1">
                  <c:v>Y1</c:v>
                </c:pt>
                <c:pt idx="2">
                  <c:v>Y2</c:v>
                </c:pt>
                <c:pt idx="3">
                  <c:v>Y3</c:v>
                </c:pt>
                <c:pt idx="4">
                  <c:v>Y4</c:v>
                </c:pt>
                <c:pt idx="5">
                  <c:v>Y5</c:v>
                </c:pt>
                <c:pt idx="6">
                  <c:v>Y6</c:v>
                </c:pt>
                <c:pt idx="7">
                  <c:v>Y7</c:v>
                </c:pt>
                <c:pt idx="8">
                  <c:v>Y8</c:v>
                </c:pt>
                <c:pt idx="9">
                  <c:v>Y9</c:v>
                </c:pt>
                <c:pt idx="10">
                  <c:v>Y10</c:v>
                </c:pt>
                <c:pt idx="11">
                  <c:v>Y11</c:v>
                </c:pt>
                <c:pt idx="12">
                  <c:v>Y12</c:v>
                </c:pt>
                <c:pt idx="13">
                  <c:v>Y13</c:v>
                </c:pt>
                <c:pt idx="14">
                  <c:v>Y14</c:v>
                </c:pt>
                <c:pt idx="15">
                  <c:v>Y15</c:v>
                </c:pt>
                <c:pt idx="16">
                  <c:v>Y16</c:v>
                </c:pt>
                <c:pt idx="17">
                  <c:v>Y17</c:v>
                </c:pt>
                <c:pt idx="18">
                  <c:v>Y18</c:v>
                </c:pt>
                <c:pt idx="19">
                  <c:v>Y19</c:v>
                </c:pt>
              </c:strCache>
            </c:strRef>
          </c:cat>
          <c:val>
            <c:numRef>
              <c:f>Data_for_Graphs!$C$201:$V$201</c:f>
              <c:numCache>
                <c:formatCode>0</c:formatCode>
                <c:ptCount val="20"/>
                <c:pt idx="0">
                  <c:v>2073.8317323109595</c:v>
                </c:pt>
                <c:pt idx="1">
                  <c:v>2023.8199289256791</c:v>
                </c:pt>
                <c:pt idx="2">
                  <c:v>1969.5219939817953</c:v>
                </c:pt>
                <c:pt idx="3">
                  <c:v>1911.1876236604435</c:v>
                </c:pt>
                <c:pt idx="4">
                  <c:v>1849.4088960032393</c:v>
                </c:pt>
                <c:pt idx="5">
                  <c:v>1782.2866411087048</c:v>
                </c:pt>
                <c:pt idx="6">
                  <c:v>1710.1354656346161</c:v>
                </c:pt>
                <c:pt idx="7">
                  <c:v>1631.2091238630021</c:v>
                </c:pt>
                <c:pt idx="8">
                  <c:v>1546.0827503875639</c:v>
                </c:pt>
                <c:pt idx="9">
                  <c:v>1456.97053660607</c:v>
                </c:pt>
                <c:pt idx="10">
                  <c:v>1360.0698346753832</c:v>
                </c:pt>
                <c:pt idx="11">
                  <c:v>1254.8854437650934</c:v>
                </c:pt>
                <c:pt idx="12">
                  <c:v>1140.891944950291</c:v>
                </c:pt>
                <c:pt idx="13">
                  <c:v>1017.5318490850186</c:v>
                </c:pt>
                <c:pt idx="14">
                  <c:v>884.21363001758982</c:v>
                </c:pt>
                <c:pt idx="15">
                  <c:v>741.81254753578219</c:v>
                </c:pt>
                <c:pt idx="16">
                  <c:v>593.64534589977609</c:v>
                </c:pt>
                <c:pt idx="17">
                  <c:v>434.07524657796591</c:v>
                </c:pt>
                <c:pt idx="18">
                  <c:v>262.38901368001797</c:v>
                </c:pt>
                <c:pt idx="19">
                  <c:v>77.829873456785378</c:v>
                </c:pt>
              </c:numCache>
            </c:numRef>
          </c:val>
          <c:smooth val="0"/>
          <c:extLst>
            <c:ext xmlns:c16="http://schemas.microsoft.com/office/drawing/2014/chart" uri="{C3380CC4-5D6E-409C-BE32-E72D297353CC}">
              <c16:uniqueId val="{00000000-7FFC-4A42-8544-4508969DA311}"/>
            </c:ext>
          </c:extLst>
        </c:ser>
        <c:ser>
          <c:idx val="1"/>
          <c:order val="1"/>
          <c:tx>
            <c:strRef>
              <c:f>Data_for_Graphs!$B$202</c:f>
              <c:strCache>
                <c:ptCount val="1"/>
                <c:pt idx="0">
                  <c:v>P75 DSCR</c:v>
                </c:pt>
              </c:strCache>
            </c:strRef>
          </c:tx>
          <c:spPr>
            <a:ln w="12700" cap="rnd">
              <a:solidFill>
                <a:schemeClr val="accent2"/>
              </a:solidFill>
              <a:round/>
            </a:ln>
            <a:effectLst/>
          </c:spPr>
          <c:marker>
            <c:symbol val="diamond"/>
            <c:size val="4"/>
            <c:spPr>
              <a:solidFill>
                <a:schemeClr val="accent2"/>
              </a:solidFill>
              <a:ln w="12700">
                <a:solidFill>
                  <a:schemeClr val="accent2"/>
                </a:solidFill>
              </a:ln>
              <a:effectLst/>
            </c:spPr>
          </c:marker>
          <c:cat>
            <c:strRef>
              <c:f>Data_for_Graphs!$C$200:$V$200</c:f>
              <c:strCache>
                <c:ptCount val="20"/>
                <c:pt idx="0">
                  <c:v>Y0</c:v>
                </c:pt>
                <c:pt idx="1">
                  <c:v>Y1</c:v>
                </c:pt>
                <c:pt idx="2">
                  <c:v>Y2</c:v>
                </c:pt>
                <c:pt idx="3">
                  <c:v>Y3</c:v>
                </c:pt>
                <c:pt idx="4">
                  <c:v>Y4</c:v>
                </c:pt>
                <c:pt idx="5">
                  <c:v>Y5</c:v>
                </c:pt>
                <c:pt idx="6">
                  <c:v>Y6</c:v>
                </c:pt>
                <c:pt idx="7">
                  <c:v>Y7</c:v>
                </c:pt>
                <c:pt idx="8">
                  <c:v>Y8</c:v>
                </c:pt>
                <c:pt idx="9">
                  <c:v>Y9</c:v>
                </c:pt>
                <c:pt idx="10">
                  <c:v>Y10</c:v>
                </c:pt>
                <c:pt idx="11">
                  <c:v>Y11</c:v>
                </c:pt>
                <c:pt idx="12">
                  <c:v>Y12</c:v>
                </c:pt>
                <c:pt idx="13">
                  <c:v>Y13</c:v>
                </c:pt>
                <c:pt idx="14">
                  <c:v>Y14</c:v>
                </c:pt>
                <c:pt idx="15">
                  <c:v>Y15</c:v>
                </c:pt>
                <c:pt idx="16">
                  <c:v>Y16</c:v>
                </c:pt>
                <c:pt idx="17">
                  <c:v>Y17</c:v>
                </c:pt>
                <c:pt idx="18">
                  <c:v>Y18</c:v>
                </c:pt>
                <c:pt idx="19">
                  <c:v>Y19</c:v>
                </c:pt>
              </c:strCache>
            </c:strRef>
          </c:cat>
          <c:val>
            <c:numRef>
              <c:f>Data_for_Graphs!$C$202:$V$202</c:f>
              <c:numCache>
                <c:formatCode>0</c:formatCode>
                <c:ptCount val="20"/>
                <c:pt idx="0">
                  <c:v>1914.7487571262104</c:v>
                </c:pt>
                <c:pt idx="1">
                  <c:v>1867.6585853657366</c:v>
                </c:pt>
                <c:pt idx="2">
                  <c:v>1816.5991163523311</c:v>
                </c:pt>
                <c:pt idx="3">
                  <c:v>1761.962499710831</c:v>
                </c:pt>
                <c:pt idx="4">
                  <c:v>1704.213563040144</c:v>
                </c:pt>
                <c:pt idx="5">
                  <c:v>1641.6729279877577</c:v>
                </c:pt>
                <c:pt idx="6">
                  <c:v>1574.5577237656178</c:v>
                </c:pt>
                <c:pt idx="7">
                  <c:v>1501.2230098083401</c:v>
                </c:pt>
                <c:pt idx="8">
                  <c:v>1422.2336088876846</c:v>
                </c:pt>
                <c:pt idx="9">
                  <c:v>1339.7149917821421</c:v>
                </c:pt>
                <c:pt idx="10">
                  <c:v>1250.0692609205867</c:v>
                </c:pt>
                <c:pt idx="11">
                  <c:v>1152.846691972321</c:v>
                </c:pt>
                <c:pt idx="12">
                  <c:v>1047.5702463017528</c:v>
                </c:pt>
                <c:pt idx="13">
                  <c:v>933.73390107617365</c:v>
                </c:pt>
                <c:pt idx="14">
                  <c:v>810.80087612250907</c:v>
                </c:pt>
                <c:pt idx="15">
                  <c:v>679.63167493051674</c:v>
                </c:pt>
                <c:pt idx="16">
                  <c:v>543.41155806112511</c:v>
                </c:pt>
                <c:pt idx="17">
                  <c:v>396.80904391466152</c:v>
                </c:pt>
                <c:pt idx="18">
                  <c:v>239.17917129388215</c:v>
                </c:pt>
                <c:pt idx="19">
                  <c:v>69.837774114021556</c:v>
                </c:pt>
              </c:numCache>
            </c:numRef>
          </c:val>
          <c:smooth val="0"/>
          <c:extLst>
            <c:ext xmlns:c16="http://schemas.microsoft.com/office/drawing/2014/chart" uri="{C3380CC4-5D6E-409C-BE32-E72D297353CC}">
              <c16:uniqueId val="{00000001-7FFC-4A42-8544-4508969DA311}"/>
            </c:ext>
          </c:extLst>
        </c:ser>
        <c:ser>
          <c:idx val="2"/>
          <c:order val="2"/>
          <c:tx>
            <c:strRef>
              <c:f>Data_for_Graphs!$B$203</c:f>
              <c:strCache>
                <c:ptCount val="1"/>
                <c:pt idx="0">
                  <c:v>P90 DSCR</c:v>
                </c:pt>
              </c:strCache>
            </c:strRef>
          </c:tx>
          <c:spPr>
            <a:ln w="12700" cap="rnd">
              <a:solidFill>
                <a:srgbClr val="FFD85D"/>
              </a:solidFill>
              <a:round/>
            </a:ln>
            <a:effectLst/>
          </c:spPr>
          <c:marker>
            <c:symbol val="triangle"/>
            <c:size val="4"/>
            <c:spPr>
              <a:solidFill>
                <a:srgbClr val="FFD85D"/>
              </a:solidFill>
              <a:ln w="12700">
                <a:solidFill>
                  <a:srgbClr val="FFD85D"/>
                </a:solidFill>
              </a:ln>
              <a:effectLst/>
            </c:spPr>
          </c:marker>
          <c:cat>
            <c:strRef>
              <c:f>Data_for_Graphs!$C$200:$V$200</c:f>
              <c:strCache>
                <c:ptCount val="20"/>
                <c:pt idx="0">
                  <c:v>Y0</c:v>
                </c:pt>
                <c:pt idx="1">
                  <c:v>Y1</c:v>
                </c:pt>
                <c:pt idx="2">
                  <c:v>Y2</c:v>
                </c:pt>
                <c:pt idx="3">
                  <c:v>Y3</c:v>
                </c:pt>
                <c:pt idx="4">
                  <c:v>Y4</c:v>
                </c:pt>
                <c:pt idx="5">
                  <c:v>Y5</c:v>
                </c:pt>
                <c:pt idx="6">
                  <c:v>Y6</c:v>
                </c:pt>
                <c:pt idx="7">
                  <c:v>Y7</c:v>
                </c:pt>
                <c:pt idx="8">
                  <c:v>Y8</c:v>
                </c:pt>
                <c:pt idx="9">
                  <c:v>Y9</c:v>
                </c:pt>
                <c:pt idx="10">
                  <c:v>Y10</c:v>
                </c:pt>
                <c:pt idx="11">
                  <c:v>Y11</c:v>
                </c:pt>
                <c:pt idx="12">
                  <c:v>Y12</c:v>
                </c:pt>
                <c:pt idx="13">
                  <c:v>Y13</c:v>
                </c:pt>
                <c:pt idx="14">
                  <c:v>Y14</c:v>
                </c:pt>
                <c:pt idx="15">
                  <c:v>Y15</c:v>
                </c:pt>
                <c:pt idx="16">
                  <c:v>Y16</c:v>
                </c:pt>
                <c:pt idx="17">
                  <c:v>Y17</c:v>
                </c:pt>
                <c:pt idx="18">
                  <c:v>Y18</c:v>
                </c:pt>
                <c:pt idx="19">
                  <c:v>Y19</c:v>
                </c:pt>
              </c:strCache>
            </c:strRef>
          </c:cat>
          <c:val>
            <c:numRef>
              <c:f>Data_for_Graphs!$C$203:$V$203</c:f>
              <c:numCache>
                <c:formatCode>0</c:formatCode>
                <c:ptCount val="20"/>
                <c:pt idx="0">
                  <c:v>1771.5691169928778</c:v>
                </c:pt>
                <c:pt idx="1">
                  <c:v>1727.1085060138093</c:v>
                </c:pt>
                <c:pt idx="2">
                  <c:v>1678.9637587517016</c:v>
                </c:pt>
                <c:pt idx="3">
                  <c:v>1627.515959188986</c:v>
                </c:pt>
                <c:pt idx="4">
                  <c:v>1573.3857576334617</c:v>
                </c:pt>
                <c:pt idx="5">
                  <c:v>1514.8632746679364</c:v>
                </c:pt>
                <c:pt idx="6">
                  <c:v>1452.2650029101453</c:v>
                </c:pt>
                <c:pt idx="7">
                  <c:v>1383.9463646605977</c:v>
                </c:pt>
                <c:pt idx="8">
                  <c:v>1310.4628417751946</c:v>
                </c:pt>
                <c:pt idx="9">
                  <c:v>1233.8599899132205</c:v>
                </c:pt>
                <c:pt idx="10">
                  <c:v>1150.7241256838515</c:v>
                </c:pt>
                <c:pt idx="11">
                  <c:v>1060.6463832070331</c:v>
                </c:pt>
                <c:pt idx="12">
                  <c:v>963.19319132307282</c:v>
                </c:pt>
                <c:pt idx="13">
                  <c:v>857.9047674371277</c:v>
                </c:pt>
                <c:pt idx="14">
                  <c:v>744.29351836185958</c:v>
                </c:pt>
                <c:pt idx="15">
                  <c:v>623.20657490951248</c:v>
                </c:pt>
                <c:pt idx="16">
                  <c:v>497.71076079392265</c:v>
                </c:pt>
                <c:pt idx="17">
                  <c:v>362.74926815594489</c:v>
                </c:pt>
                <c:pt idx="18">
                  <c:v>217.73847545896552</c:v>
                </c:pt>
                <c:pt idx="19">
                  <c:v>62.059449242168213</c:v>
                </c:pt>
              </c:numCache>
            </c:numRef>
          </c:val>
          <c:smooth val="0"/>
          <c:extLst>
            <c:ext xmlns:c16="http://schemas.microsoft.com/office/drawing/2014/chart" uri="{C3380CC4-5D6E-409C-BE32-E72D297353CC}">
              <c16:uniqueId val="{00000002-7FFC-4A42-8544-4508969DA311}"/>
            </c:ext>
          </c:extLst>
        </c:ser>
        <c:ser>
          <c:idx val="3"/>
          <c:order val="3"/>
          <c:tx>
            <c:strRef>
              <c:f>Data_for_Graphs!$B$204</c:f>
              <c:strCache>
                <c:ptCount val="1"/>
                <c:pt idx="0">
                  <c:v>P99 DSCR</c:v>
                </c:pt>
              </c:strCache>
            </c:strRef>
          </c:tx>
          <c:spPr>
            <a:ln w="12700" cap="rnd">
              <a:solidFill>
                <a:srgbClr val="B2182B"/>
              </a:solidFill>
              <a:round/>
            </a:ln>
            <a:effectLst/>
          </c:spPr>
          <c:marker>
            <c:symbol val="x"/>
            <c:size val="4"/>
            <c:spPr>
              <a:solidFill>
                <a:srgbClr val="C00000"/>
              </a:solidFill>
              <a:ln w="12700">
                <a:solidFill>
                  <a:srgbClr val="B2182B"/>
                </a:solidFill>
              </a:ln>
              <a:effectLst/>
            </c:spPr>
          </c:marker>
          <c:cat>
            <c:strRef>
              <c:f>Data_for_Graphs!$C$200:$V$200</c:f>
              <c:strCache>
                <c:ptCount val="20"/>
                <c:pt idx="0">
                  <c:v>Y0</c:v>
                </c:pt>
                <c:pt idx="1">
                  <c:v>Y1</c:v>
                </c:pt>
                <c:pt idx="2">
                  <c:v>Y2</c:v>
                </c:pt>
                <c:pt idx="3">
                  <c:v>Y3</c:v>
                </c:pt>
                <c:pt idx="4">
                  <c:v>Y4</c:v>
                </c:pt>
                <c:pt idx="5">
                  <c:v>Y5</c:v>
                </c:pt>
                <c:pt idx="6">
                  <c:v>Y6</c:v>
                </c:pt>
                <c:pt idx="7">
                  <c:v>Y7</c:v>
                </c:pt>
                <c:pt idx="8">
                  <c:v>Y8</c:v>
                </c:pt>
                <c:pt idx="9">
                  <c:v>Y9</c:v>
                </c:pt>
                <c:pt idx="10">
                  <c:v>Y10</c:v>
                </c:pt>
                <c:pt idx="11">
                  <c:v>Y11</c:v>
                </c:pt>
                <c:pt idx="12">
                  <c:v>Y12</c:v>
                </c:pt>
                <c:pt idx="13">
                  <c:v>Y13</c:v>
                </c:pt>
                <c:pt idx="14">
                  <c:v>Y14</c:v>
                </c:pt>
                <c:pt idx="15">
                  <c:v>Y15</c:v>
                </c:pt>
                <c:pt idx="16">
                  <c:v>Y16</c:v>
                </c:pt>
                <c:pt idx="17">
                  <c:v>Y17</c:v>
                </c:pt>
                <c:pt idx="18">
                  <c:v>Y18</c:v>
                </c:pt>
                <c:pt idx="19">
                  <c:v>Y19</c:v>
                </c:pt>
              </c:strCache>
            </c:strRef>
          </c:cat>
          <c:val>
            <c:numRef>
              <c:f>Data_for_Graphs!$C$204:$V$204</c:f>
              <c:numCache>
                <c:formatCode>0</c:formatCode>
                <c:ptCount val="20"/>
                <c:pt idx="0">
                  <c:v>1525.1468323409524</c:v>
                </c:pt>
                <c:pt idx="1">
                  <c:v>1485.2118849032959</c:v>
                </c:pt>
                <c:pt idx="2">
                  <c:v>1442.0835840118721</c:v>
                </c:pt>
                <c:pt idx="3">
                  <c:v>1396.1239688289265</c:v>
                </c:pt>
                <c:pt idx="4">
                  <c:v>1348.0604037823596</c:v>
                </c:pt>
                <c:pt idx="5">
                  <c:v>1296.409387813831</c:v>
                </c:pt>
                <c:pt idx="6">
                  <c:v>1241.5514811549592</c:v>
                </c:pt>
                <c:pt idx="7">
                  <c:v>1181.8513538389475</c:v>
                </c:pt>
                <c:pt idx="8">
                  <c:v>1117.8284432984649</c:v>
                </c:pt>
                <c:pt idx="9">
                  <c:v>1051.3907112230818</c:v>
                </c:pt>
                <c:pt idx="10">
                  <c:v>979.44146306323444</c:v>
                </c:pt>
                <c:pt idx="11">
                  <c:v>901.64209246564155</c:v>
                </c:pt>
                <c:pt idx="12">
                  <c:v>817.63377438835948</c:v>
                </c:pt>
                <c:pt idx="13">
                  <c:v>727.03624051845384</c:v>
                </c:pt>
                <c:pt idx="14">
                  <c:v>629.44647931328495</c:v>
                </c:pt>
                <c:pt idx="15">
                  <c:v>525.68852893959252</c:v>
                </c:pt>
                <c:pt idx="16">
                  <c:v>418.6252923852785</c:v>
                </c:pt>
                <c:pt idx="17">
                  <c:v>303.67260852191646</c:v>
                </c:pt>
                <c:pt idx="18">
                  <c:v>180.35233349190568</c:v>
                </c:pt>
                <c:pt idx="19">
                  <c:v>48.157705914654656</c:v>
                </c:pt>
              </c:numCache>
            </c:numRef>
          </c:val>
          <c:smooth val="0"/>
          <c:extLst>
            <c:ext xmlns:c16="http://schemas.microsoft.com/office/drawing/2014/chart" uri="{C3380CC4-5D6E-409C-BE32-E72D297353CC}">
              <c16:uniqueId val="{00000003-7FFC-4A42-8544-4508969DA311}"/>
            </c:ext>
          </c:extLst>
        </c:ser>
        <c:dLbls>
          <c:showLegendKey val="0"/>
          <c:showVal val="0"/>
          <c:showCatName val="0"/>
          <c:showSerName val="0"/>
          <c:showPercent val="0"/>
          <c:showBubbleSize val="0"/>
        </c:dLbls>
        <c:marker val="1"/>
        <c:smooth val="0"/>
        <c:axId val="658230207"/>
        <c:axId val="658234527"/>
      </c:lineChart>
      <c:catAx>
        <c:axId val="65823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58234527"/>
        <c:crosses val="autoZero"/>
        <c:auto val="1"/>
        <c:lblAlgn val="ctr"/>
        <c:lblOffset val="100"/>
        <c:noMultiLvlLbl val="0"/>
      </c:catAx>
      <c:valAx>
        <c:axId val="658234527"/>
        <c:scaling>
          <c:orientation val="minMax"/>
          <c:max val="22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Outstanding Balance (First &amp;</a:t>
                </a:r>
                <a:r>
                  <a:rPr lang="en-GB" baseline="0"/>
                  <a:t> Second Lien Debt) (£m)</a:t>
                </a:r>
                <a:endParaRPr lang="en-GB"/>
              </a:p>
            </c:rich>
          </c:tx>
          <c:layout>
            <c:manualLayout>
              <c:xMode val="edge"/>
              <c:yMode val="edge"/>
              <c:x val="6.3898059976376384E-3"/>
              <c:y val="8.78380206086734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658230207"/>
        <c:crosses val="autoZero"/>
        <c:crossBetween val="between"/>
        <c:majorUnit val="200"/>
        <c:minorUnit val="100"/>
      </c:valAx>
      <c:spPr>
        <a:noFill/>
        <a:ln>
          <a:noFill/>
        </a:ln>
        <a:effectLst/>
      </c:spPr>
    </c:plotArea>
    <c:legend>
      <c:legendPos val="b"/>
      <c:layout>
        <c:manualLayout>
          <c:xMode val="edge"/>
          <c:yMode val="edge"/>
          <c:x val="1.6915354330708648E-2"/>
          <c:y val="0.88353862795576699"/>
          <c:w val="0.96616929133858287"/>
          <c:h val="8.86835538690781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19050</xdr:colOff>
      <xdr:row>1</xdr:row>
      <xdr:rowOff>19050</xdr:rowOff>
    </xdr:from>
    <xdr:to>
      <xdr:col>23</xdr:col>
      <xdr:colOff>47625</xdr:colOff>
      <xdr:row>8</xdr:row>
      <xdr:rowOff>190500</xdr:rowOff>
    </xdr:to>
    <xdr:sp macro="" textlink="">
      <xdr:nvSpPr>
        <xdr:cNvPr id="2" name="Rectangle 1">
          <a:extLst>
            <a:ext uri="{FF2B5EF4-FFF2-40B4-BE49-F238E27FC236}">
              <a16:creationId xmlns:a16="http://schemas.microsoft.com/office/drawing/2014/main" id="{C677740A-6BDE-EB10-9AA3-D40C8140FF48}"/>
            </a:ext>
          </a:extLst>
        </xdr:cNvPr>
        <xdr:cNvSpPr/>
      </xdr:nvSpPr>
      <xdr:spPr>
        <a:xfrm>
          <a:off x="7562850" y="219075"/>
          <a:ext cx="8258175" cy="1571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Aptos Display" panose="020B0004020202020204" pitchFamily="34" charset="0"/>
          </a:endParaRPr>
        </a:p>
      </xdr:txBody>
    </xdr:sp>
    <xdr:clientData/>
  </xdr:twoCellAnchor>
  <xdr:twoCellAnchor>
    <xdr:from>
      <xdr:col>1</xdr:col>
      <xdr:colOff>38100</xdr:colOff>
      <xdr:row>20</xdr:row>
      <xdr:rowOff>28575</xdr:rowOff>
    </xdr:from>
    <xdr:to>
      <xdr:col>9</xdr:col>
      <xdr:colOff>590550</xdr:colOff>
      <xdr:row>38</xdr:row>
      <xdr:rowOff>142875</xdr:rowOff>
    </xdr:to>
    <xdr:graphicFrame macro="">
      <xdr:nvGraphicFramePr>
        <xdr:cNvPr id="5" name="Chart 4">
          <a:extLst>
            <a:ext uri="{FF2B5EF4-FFF2-40B4-BE49-F238E27FC236}">
              <a16:creationId xmlns:a16="http://schemas.microsoft.com/office/drawing/2014/main" id="{A69CB4AE-278C-4579-9C36-D2ADD6D14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672134</xdr:colOff>
      <xdr:row>18</xdr:row>
      <xdr:rowOff>115405</xdr:rowOff>
    </xdr:from>
    <xdr:to>
      <xdr:col>21</xdr:col>
      <xdr:colOff>672134</xdr:colOff>
      <xdr:row>44</xdr:row>
      <xdr:rowOff>143565</xdr:rowOff>
    </xdr:to>
    <xdr:sp macro="" textlink="">
      <xdr:nvSpPr>
        <xdr:cNvPr id="6" name="Rectangle 5">
          <a:extLst>
            <a:ext uri="{FF2B5EF4-FFF2-40B4-BE49-F238E27FC236}">
              <a16:creationId xmlns:a16="http://schemas.microsoft.com/office/drawing/2014/main" id="{2982AB3A-55A8-E33F-ADA5-517C3AD0798A}"/>
            </a:ext>
          </a:extLst>
        </xdr:cNvPr>
        <xdr:cNvSpPr/>
      </xdr:nvSpPr>
      <xdr:spPr>
        <a:xfrm>
          <a:off x="7408656" y="3693492"/>
          <a:ext cx="7410174" cy="5196508"/>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Constructionn capex is the dominant value driver</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It drives the widest IRR range, from 16.4% down to 3.0%, representing a 13.4% swing across the capx raange (£2148–£3,063/kW). No other variable has comparable impact.</a:t>
          </a:r>
        </a:p>
        <a:p>
          <a:pPr algn="l"/>
          <a:r>
            <a:rPr lang="en-GB" sz="1100">
              <a:solidFill>
                <a:sysClr val="windowText" lastClr="000000"/>
              </a:solidFill>
              <a:latin typeface="Aptos Display" panose="020B0004020202020204" pitchFamily="34" charset="0"/>
            </a:rPr>
            <a:t>- Controlling construction cost risk is critical to protecting</a:t>
          </a:r>
          <a:r>
            <a:rPr lang="en-GB" sz="1100" baseline="0">
              <a:solidFill>
                <a:sysClr val="windowText" lastClr="000000"/>
              </a:solidFill>
              <a:latin typeface="Aptos Display" panose="020B0004020202020204" pitchFamily="34" charset="0"/>
            </a:rPr>
            <a:t> infrastructure</a:t>
          </a:r>
          <a:r>
            <a:rPr lang="en-GB" sz="1100">
              <a:solidFill>
                <a:sysClr val="windowText" lastClr="000000"/>
              </a:solidFill>
              <a:latin typeface="Aptos Display" panose="020B0004020202020204" pitchFamily="34" charset="0"/>
            </a:rPr>
            <a:t> return. This should be actively mitigated through: 1) Fixed-price EPC contracts for major packages (e.g. turbines, foundations),</a:t>
          </a:r>
          <a:r>
            <a:rPr lang="en-GB" sz="1100" baseline="0">
              <a:solidFill>
                <a:sysClr val="windowText" lastClr="000000"/>
              </a:solidFill>
              <a:latin typeface="Aptos Display" panose="020B0004020202020204" pitchFamily="34" charset="0"/>
            </a:rPr>
            <a:t> 2) Robust liquidated damages provisions and 3) Tight contractor risk allocation. These measures are fundamental to protecting the downside on equity returns.  </a:t>
          </a:r>
          <a:br>
            <a:rPr lang="en-GB" sz="1100" baseline="0">
              <a:solidFill>
                <a:sysClr val="windowText" lastClr="000000"/>
              </a:solidFill>
              <a:latin typeface="Aptos Display" panose="020B0004020202020204" pitchFamily="34" charset="0"/>
            </a:rPr>
          </a:br>
          <a:endParaRPr lang="en-GB" sz="1100" baseline="0">
            <a:solidFill>
              <a:sysClr val="windowText" lastClr="000000"/>
            </a:solidFill>
            <a:latin typeface="Aptos Display" panose="020B0004020202020204" pitchFamily="34" charset="0"/>
          </a:endParaRPr>
        </a:p>
        <a:p>
          <a:pPr algn="l"/>
          <a:r>
            <a:rPr lang="en-GB" sz="1100" b="1" baseline="0">
              <a:solidFill>
                <a:sysClr val="windowText" lastClr="000000"/>
              </a:solidFill>
              <a:latin typeface="Aptos Display" panose="020B0004020202020204" pitchFamily="34" charset="0"/>
            </a:rPr>
            <a:t>Opex is a secondary but still material downside risk (~6% IRR impact)</a:t>
          </a:r>
          <a:br>
            <a:rPr lang="en-GB" sz="1100" b="1" baseline="0">
              <a:solidFill>
                <a:sysClr val="windowText" lastClr="000000"/>
              </a:solidFill>
              <a:latin typeface="Aptos Display" panose="020B0004020202020204" pitchFamily="34" charset="0"/>
            </a:rPr>
          </a:br>
          <a:r>
            <a:rPr lang="en-GB" sz="1100" b="0" baseline="0">
              <a:solidFill>
                <a:sysClr val="windowText" lastClr="000000"/>
              </a:solidFill>
              <a:latin typeface="Aptos Display" panose="020B0004020202020204" pitchFamily="34" charset="0"/>
            </a:rPr>
            <a:t>- In a high-cost scenario, combined O&amp;M plus Connection &amp; UoS costs reduce IRR to ~4%, materially eroding value. O&amp;M costs  also compound over the operational lifecycle of the wind farm (from increases from CPI/RPI) and small annual cost increases can become material</a:t>
          </a:r>
        </a:p>
        <a:p>
          <a:pPr algn="l"/>
          <a:r>
            <a:rPr lang="en-GB" sz="1100" b="0" baseline="0">
              <a:solidFill>
                <a:sysClr val="windowText" lastClr="000000"/>
              </a:solidFill>
              <a:latin typeface="Aptos Display" panose="020B0004020202020204" pitchFamily="34" charset="0"/>
            </a:rPr>
            <a:t>- Costs should be carefully managed particuarly O&amp;M costs should be contractually locked and indexed appropriately to limit exposure where as  Connection &amp; UoS costs remain uncertain (OFTO-driven uncertainity), representing a residual risk that needs to be factored into model</a:t>
          </a:r>
          <a:endParaRPr lang="en-GB" sz="1100" b="1" baseline="0">
            <a:solidFill>
              <a:sysClr val="windowText" lastClr="000000"/>
            </a:solidFill>
            <a:latin typeface="Aptos Display" panose="020B0004020202020204" pitchFamily="34" charset="0"/>
          </a:endParaRPr>
        </a:p>
        <a:p>
          <a:pPr algn="l"/>
          <a:endParaRPr lang="en-GB" sz="1100" baseline="0">
            <a:solidFill>
              <a:sysClr val="windowText" lastClr="000000"/>
            </a:solidFill>
            <a:latin typeface="Aptos Display" panose="020B0004020202020204" pitchFamily="34" charset="0"/>
          </a:endParaRPr>
        </a:p>
        <a:p>
          <a:pPr algn="l"/>
          <a:r>
            <a:rPr lang="en-GB" sz="1100" b="1" baseline="0">
              <a:solidFill>
                <a:sysClr val="windowText" lastClr="000000"/>
              </a:solidFill>
              <a:latin typeface="Aptos Display" panose="020B0004020202020204" pitchFamily="34" charset="0"/>
            </a:rPr>
            <a:t>Electricity rate  escalation is the second most important upside/downside lever</a:t>
          </a:r>
        </a:p>
        <a:p>
          <a:pPr algn="l"/>
          <a:r>
            <a:rPr lang="en-GB" sz="1100" baseline="0">
              <a:solidFill>
                <a:sysClr val="windowText" lastClr="000000"/>
              </a:solidFill>
              <a:latin typeface="Aptos Display" panose="020B0004020202020204" pitchFamily="34" charset="0"/>
            </a:rPr>
            <a:t>- A 0.5% increase in escalation (2.0% to 2.5%) drives a 3.4% IRR uplift (to ~13.8% P50), while a -0.5% decrease reduces IRR by ~3.1% (to ~7.3%). This means revenue assumptions are highly sensitive to long-term price growth.</a:t>
          </a:r>
        </a:p>
        <a:p>
          <a:pPr algn="l"/>
          <a:r>
            <a:rPr lang="en-GB" sz="1100" baseline="0">
              <a:solidFill>
                <a:sysClr val="windowText" lastClr="000000"/>
              </a:solidFill>
              <a:latin typeface="Aptos Display" panose="020B0004020202020204" pitchFamily="34" charset="0"/>
            </a:rPr>
            <a:t>- There are some protections that can be put in place to limit the impact: 1) CfD structure provides partial downside protection as the awarded strike price is CPI-indexed over the 20-year term, providing a built-in inflation hedge (historically ~2% p.a. compounding) and 2) Additional downside mitigation could be achieved via PPAs that incorporate fixed annual price escalators (e.g. ~2%) and/or explicit inflation indexation. Therefore structuring the offtake strategy is a key lever to stabilise long-term returns. </a:t>
          </a:r>
        </a:p>
        <a:p>
          <a:pPr algn="l"/>
          <a:endParaRPr lang="en-GB" sz="1100" baseline="0">
            <a:solidFill>
              <a:sysClr val="windowText" lastClr="000000"/>
            </a:solidFill>
            <a:latin typeface="Aptos Display" panose="020B0004020202020204" pitchFamily="34" charset="0"/>
          </a:endParaRPr>
        </a:p>
        <a:p>
          <a:pPr algn="l"/>
          <a:r>
            <a:rPr lang="en-GB" sz="1100" b="1" baseline="0">
              <a:solidFill>
                <a:sysClr val="windowText" lastClr="000000"/>
              </a:solidFill>
              <a:latin typeface="Aptos Display" panose="020B0004020202020204" pitchFamily="34" charset="0"/>
            </a:rPr>
            <a:t>Interest rate sensitivity is low within the tested range</a:t>
          </a:r>
        </a:p>
        <a:p>
          <a:pPr algn="l"/>
          <a:r>
            <a:rPr lang="en-GB" sz="1100" baseline="0">
              <a:solidFill>
                <a:sysClr val="windowText" lastClr="000000"/>
              </a:solidFill>
              <a:latin typeface="Aptos Display" panose="020B0004020202020204" pitchFamily="34" charset="0"/>
            </a:rPr>
            <a:t>- A ±25 to 35bps movement in construction debt, first lien, or second lien pricing results in only a ±0.2% impact on IRR. This means returns are relatively insensitive to marginal changes in financing costs and immaterial to equity returns.</a:t>
          </a:r>
        </a:p>
        <a:p>
          <a:pPr algn="l"/>
          <a:r>
            <a:rPr lang="en-GB" sz="1100" baseline="0">
              <a:solidFill>
                <a:sysClr val="windowText" lastClr="000000"/>
              </a:solidFill>
              <a:latin typeface="Aptos Display" panose="020B0004020202020204" pitchFamily="34" charset="0"/>
            </a:rPr>
            <a:t>- Therefore optimisation effort is better fcoused on material cost drivers that have meaningful IRR impact such as securing competitive EPC pricing  or locking in Opex certainty and guarantees. </a:t>
          </a:r>
        </a:p>
        <a:p>
          <a:pPr algn="l"/>
          <a:br>
            <a:rPr lang="en-GB" sz="1100" baseline="0">
              <a:solidFill>
                <a:sysClr val="windowText" lastClr="000000"/>
              </a:solidFill>
              <a:latin typeface="Aptos Display" panose="020B0004020202020204" pitchFamily="34" charset="0"/>
            </a:rPr>
          </a:br>
          <a:endParaRPr lang="en-GB" sz="1100" baseline="0">
            <a:solidFill>
              <a:sysClr val="windowText" lastClr="000000"/>
            </a:solidFill>
            <a:latin typeface="Aptos Display" panose="020B0004020202020204" pitchFamily="34" charset="0"/>
          </a:endParaRPr>
        </a:p>
        <a:p>
          <a:pPr algn="l"/>
          <a:endParaRPr lang="en-GB" sz="1100" baseline="0">
            <a:solidFill>
              <a:sysClr val="windowText" lastClr="000000"/>
            </a:solidFill>
            <a:latin typeface="Aptos Display" panose="020B0004020202020204" pitchFamily="34" charset="0"/>
          </a:endParaRPr>
        </a:p>
      </xdr:txBody>
    </xdr:sp>
    <xdr:clientData/>
  </xdr:twoCellAnchor>
  <xdr:twoCellAnchor>
    <xdr:from>
      <xdr:col>1</xdr:col>
      <xdr:colOff>38100</xdr:colOff>
      <xdr:row>1</xdr:row>
      <xdr:rowOff>38100</xdr:rowOff>
    </xdr:from>
    <xdr:to>
      <xdr:col>9</xdr:col>
      <xdr:colOff>533400</xdr:colOff>
      <xdr:row>18</xdr:row>
      <xdr:rowOff>152400</xdr:rowOff>
    </xdr:to>
    <xdr:graphicFrame macro="">
      <xdr:nvGraphicFramePr>
        <xdr:cNvPr id="8" name="Chart 7">
          <a:extLst>
            <a:ext uri="{FF2B5EF4-FFF2-40B4-BE49-F238E27FC236}">
              <a16:creationId xmlns:a16="http://schemas.microsoft.com/office/drawing/2014/main" id="{7DDB45A9-C383-4D1D-B5B3-D711AA44C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24434</xdr:colOff>
      <xdr:row>0</xdr:row>
      <xdr:rowOff>195468</xdr:rowOff>
    </xdr:from>
    <xdr:to>
      <xdr:col>22</xdr:col>
      <xdr:colOff>24434</xdr:colOff>
      <xdr:row>7</xdr:row>
      <xdr:rowOff>124239</xdr:rowOff>
    </xdr:to>
    <xdr:sp macro="" textlink="">
      <xdr:nvSpPr>
        <xdr:cNvPr id="9" name="Rectangle 8">
          <a:extLst>
            <a:ext uri="{FF2B5EF4-FFF2-40B4-BE49-F238E27FC236}">
              <a16:creationId xmlns:a16="http://schemas.microsoft.com/office/drawing/2014/main" id="{71E0077F-339C-42AB-B89E-6C9215411481}"/>
            </a:ext>
          </a:extLst>
        </xdr:cNvPr>
        <xdr:cNvSpPr/>
      </xdr:nvSpPr>
      <xdr:spPr>
        <a:xfrm>
          <a:off x="7586456" y="195468"/>
          <a:ext cx="7562021" cy="1320249"/>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Base Case Delivers Attractive, Resilient Infrastructure Returns</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The P50 base case generates a 10.4% unlevered IRR and a 1.57x cash-on-cash multiple, positioning the project firmly within the target return range for private equity infrastructure. Returns remain robust under downside scenarios</a:t>
          </a:r>
          <a:r>
            <a:rPr lang="en-GB" sz="1100" baseline="0">
              <a:solidFill>
                <a:sysClr val="windowText" lastClr="000000"/>
              </a:solidFill>
              <a:latin typeface="Aptos Display" panose="020B0004020202020204" pitchFamily="34" charset="0"/>
            </a:rPr>
            <a:t> as</a:t>
          </a:r>
          <a:r>
            <a:rPr lang="en-GB" sz="1100">
              <a:solidFill>
                <a:sysClr val="windowText" lastClr="000000"/>
              </a:solidFill>
              <a:latin typeface="Aptos Display" panose="020B0004020202020204" pitchFamily="34" charset="0"/>
            </a:rPr>
            <a:t> at P75, the IRR is 6.4%, still above typical institutional hurdle rates for contracted assets. Material downside is limited to extreme wind scenarios where the return only turn negative at P99, representing a 1-in-100-year  outcome rather than a realistic operational case.</a:t>
          </a:r>
        </a:p>
        <a:p>
          <a:pPr algn="l"/>
          <a:r>
            <a:rPr lang="en-GB" sz="1100" baseline="0">
              <a:solidFill>
                <a:sysClr val="windowText" lastClr="000000"/>
              </a:solidFill>
              <a:latin typeface="Aptos Display" panose="020B0004020202020204" pitchFamily="34" charset="0"/>
            </a:rPr>
            <a:t>- The project offers strong base-case returns with defensible downside protection, supported by contracted revenues and limited exposure to all but extreme resource risk.</a:t>
          </a:r>
        </a:p>
      </xdr:txBody>
    </xdr:sp>
    <xdr:clientData/>
  </xdr:twoCellAnchor>
  <xdr:twoCellAnchor>
    <xdr:from>
      <xdr:col>1</xdr:col>
      <xdr:colOff>62948</xdr:colOff>
      <xdr:row>46</xdr:row>
      <xdr:rowOff>28576</xdr:rowOff>
    </xdr:from>
    <xdr:to>
      <xdr:col>9</xdr:col>
      <xdr:colOff>630276</xdr:colOff>
      <xdr:row>60</xdr:row>
      <xdr:rowOff>129210</xdr:rowOff>
    </xdr:to>
    <xdr:graphicFrame macro="">
      <xdr:nvGraphicFramePr>
        <xdr:cNvPr id="10" name="Chart 9">
          <a:extLst>
            <a:ext uri="{FF2B5EF4-FFF2-40B4-BE49-F238E27FC236}">
              <a16:creationId xmlns:a16="http://schemas.microsoft.com/office/drawing/2014/main" id="{81580B12-0771-44EF-80FF-E436EEF92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45</xdr:row>
      <xdr:rowOff>171448</xdr:rowOff>
    </xdr:from>
    <xdr:to>
      <xdr:col>22</xdr:col>
      <xdr:colOff>0</xdr:colOff>
      <xdr:row>55</xdr:row>
      <xdr:rowOff>176695</xdr:rowOff>
    </xdr:to>
    <xdr:sp macro="" textlink="">
      <xdr:nvSpPr>
        <xdr:cNvPr id="11" name="Rectangle 10">
          <a:extLst>
            <a:ext uri="{FF2B5EF4-FFF2-40B4-BE49-F238E27FC236}">
              <a16:creationId xmlns:a16="http://schemas.microsoft.com/office/drawing/2014/main" id="{034F5083-13AB-4818-AFE3-889AB305E943}"/>
            </a:ext>
          </a:extLst>
        </xdr:cNvPr>
        <xdr:cNvSpPr/>
      </xdr:nvSpPr>
      <xdr:spPr>
        <a:xfrm>
          <a:off x="7410174" y="9116665"/>
          <a:ext cx="7410174" cy="199307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Contingency sizing is a core investment lever</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Increasing contingency from 2.5% to 10% (a reasonable Pre-FID range considered</a:t>
          </a:r>
          <a:r>
            <a:rPr lang="en-GB" sz="1100" baseline="0">
              <a:solidFill>
                <a:sysClr val="windowText" lastClr="000000"/>
              </a:solidFill>
              <a:latin typeface="Aptos Display" panose="020B0004020202020204" pitchFamily="34" charset="0"/>
            </a:rPr>
            <a:t> through an additional test</a:t>
          </a:r>
          <a:r>
            <a:rPr lang="en-GB" sz="1100">
              <a:solidFill>
                <a:sysClr val="windowText" lastClr="000000"/>
              </a:solidFill>
              <a:latin typeface="Aptos Display" panose="020B0004020202020204" pitchFamily="34" charset="0"/>
            </a:rPr>
            <a:t>) reduces P50 IRR by 3.3% to 7.1% and drives P90 IRR into negative territory. This highlights that contingency is not a neutral assumption</a:t>
          </a:r>
          <a:r>
            <a:rPr lang="en-GB" sz="1100" baseline="0">
              <a:solidFill>
                <a:sysClr val="windowText" lastClr="000000"/>
              </a:solidFill>
              <a:latin typeface="Aptos Display" panose="020B0004020202020204" pitchFamily="34" charset="0"/>
            </a:rPr>
            <a:t> as</a:t>
          </a:r>
          <a:r>
            <a:rPr lang="en-GB" sz="1100">
              <a:solidFill>
                <a:sysClr val="windowText" lastClr="000000"/>
              </a:solidFill>
              <a:latin typeface="Aptos Display" panose="020B0004020202020204" pitchFamily="34" charset="0"/>
            </a:rPr>
            <a:t> it has a direct and material impact on equity returns.</a:t>
          </a:r>
        </a:p>
        <a:p>
          <a:pPr algn="l"/>
          <a:r>
            <a:rPr lang="en-GB" sz="1100">
              <a:solidFill>
                <a:sysClr val="windowText" lastClr="000000"/>
              </a:solidFill>
              <a:latin typeface="Aptos Display" panose="020B0004020202020204" pitchFamily="34" charset="0"/>
            </a:rPr>
            <a:t>- Contingency sizing must be treated as a core investment decision, not a mechanical buffer</a:t>
          </a:r>
          <a:r>
            <a:rPr lang="en-GB" sz="1100" baseline="0">
              <a:solidFill>
                <a:sysClr val="windowText" lastClr="000000"/>
              </a:solidFill>
              <a:latin typeface="Aptos Display" panose="020B0004020202020204" pitchFamily="34" charset="0"/>
            </a:rPr>
            <a:t> because over-provisioning materially erodes returns and under-provisioning increases execution and cost overrun risk. Furthermore active management of construction capex is critical, and could include: 1) Tight project cost control (including change flags) and procurement discipline, 2) Mitigating price escalation risk through contracting strategy (e.g. fixed pricing wherever possible, pass through of costs to suppliers, liquidated damages provisions) and 3) Ensuring contingency reflects a risk-adjusted, evidence-based view rather than generic benchmarks</a:t>
          </a:r>
        </a:p>
      </xdr:txBody>
    </xdr:sp>
    <xdr:clientData/>
  </xdr:twoCellAnchor>
  <xdr:twoCellAnchor>
    <xdr:from>
      <xdr:col>11</xdr:col>
      <xdr:colOff>0</xdr:colOff>
      <xdr:row>62</xdr:row>
      <xdr:rowOff>9525</xdr:rowOff>
    </xdr:from>
    <xdr:to>
      <xdr:col>22</xdr:col>
      <xdr:colOff>0</xdr:colOff>
      <xdr:row>68</xdr:row>
      <xdr:rowOff>95251</xdr:rowOff>
    </xdr:to>
    <xdr:sp macro="" textlink="">
      <xdr:nvSpPr>
        <xdr:cNvPr id="13" name="Rectangle 12">
          <a:extLst>
            <a:ext uri="{FF2B5EF4-FFF2-40B4-BE49-F238E27FC236}">
              <a16:creationId xmlns:a16="http://schemas.microsoft.com/office/drawing/2014/main" id="{69F60B6B-8D75-BF54-B70B-DC2C4ABB4356}"/>
            </a:ext>
          </a:extLst>
        </xdr:cNvPr>
        <xdr:cNvSpPr/>
      </xdr:nvSpPr>
      <xdr:spPr>
        <a:xfrm>
          <a:off x="7543800" y="12411075"/>
          <a:ext cx="7543800" cy="1285876"/>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Terminal</a:t>
          </a:r>
          <a:r>
            <a:rPr lang="en-GB" sz="1100" b="1" baseline="0">
              <a:solidFill>
                <a:sysClr val="windowText" lastClr="000000"/>
              </a:solidFill>
              <a:latin typeface="Aptos Display" panose="020B0004020202020204" pitchFamily="34" charset="0"/>
            </a:rPr>
            <a:t> value is relatively stable across scenarios</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Terminal value ranges from £2,594m (low electricity escalation) to £2,976m (high electricity escalation), representing a spread</a:t>
          </a:r>
          <a:r>
            <a:rPr lang="en-GB" sz="1100" baseline="0">
              <a:solidFill>
                <a:sysClr val="windowText" lastClr="000000"/>
              </a:solidFill>
              <a:latin typeface="Aptos Display" panose="020B0004020202020204" pitchFamily="34" charset="0"/>
            </a:rPr>
            <a:t> of ~7% around the </a:t>
          </a:r>
          <a:r>
            <a:rPr lang="en-GB" sz="1100">
              <a:solidFill>
                <a:sysClr val="windowText" lastClr="000000"/>
              </a:solidFill>
              <a:latin typeface="Aptos Display" panose="020B0004020202020204" pitchFamily="34" charset="0"/>
            </a:rPr>
            <a:t>£2,781m base case. </a:t>
          </a:r>
        </a:p>
        <a:p>
          <a:pPr algn="l"/>
          <a:r>
            <a:rPr lang="en-GB" sz="1100">
              <a:solidFill>
                <a:sysClr val="windowText" lastClr="000000"/>
              </a:solidFill>
              <a:latin typeface="Aptos Display" panose="020B0004020202020204" pitchFamily="34" charset="0"/>
            </a:rPr>
            <a:t>- Terminal value is not a primary source of volatility. The limited spread indicates that underlying EBITDA remains relatively stable across scenarios when valued on a consistent exit multiple basis. This stability reflects strong, contracted early-year cash flows, with exit occurring within the first five years of operations. Additionally, both revenues and</a:t>
          </a:r>
          <a:r>
            <a:rPr lang="en-GB" sz="1100" baseline="0">
              <a:solidFill>
                <a:sysClr val="windowText" lastClr="000000"/>
              </a:solidFill>
              <a:latin typeface="Aptos Display" panose="020B0004020202020204" pitchFamily="34" charset="0"/>
            </a:rPr>
            <a:t> operational </a:t>
          </a:r>
          <a:r>
            <a:rPr lang="en-GB" sz="1100">
              <a:solidFill>
                <a:sysClr val="windowText" lastClr="000000"/>
              </a:solidFill>
              <a:latin typeface="Aptos Display" panose="020B0004020202020204" pitchFamily="34" charset="0"/>
            </a:rPr>
            <a:t>costs are linked to CPI/RPI, supporting cash flow visibility beyond the initial exit horizon for the next equity investor.</a:t>
          </a:r>
          <a:endParaRPr lang="en-GB" sz="1100" baseline="0">
            <a:solidFill>
              <a:sysClr val="windowText" lastClr="000000"/>
            </a:solidFill>
            <a:latin typeface="Aptos Display" panose="020B0004020202020204" pitchFamily="34" charset="0"/>
          </a:endParaRPr>
        </a:p>
      </xdr:txBody>
    </xdr:sp>
    <xdr:clientData/>
  </xdr:twoCellAnchor>
  <xdr:twoCellAnchor>
    <xdr:from>
      <xdr:col>1</xdr:col>
      <xdr:colOff>22412</xdr:colOff>
      <xdr:row>61</xdr:row>
      <xdr:rowOff>123264</xdr:rowOff>
    </xdr:from>
    <xdr:to>
      <xdr:col>9</xdr:col>
      <xdr:colOff>629771</xdr:colOff>
      <xdr:row>80</xdr:row>
      <xdr:rowOff>75640</xdr:rowOff>
    </xdr:to>
    <xdr:graphicFrame macro="">
      <xdr:nvGraphicFramePr>
        <xdr:cNvPr id="14" name="Chart 13">
          <a:extLst>
            <a:ext uri="{FF2B5EF4-FFF2-40B4-BE49-F238E27FC236}">
              <a16:creationId xmlns:a16="http://schemas.microsoft.com/office/drawing/2014/main" id="{668140FE-AEB1-4BE9-BDED-57B37D39D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629771</xdr:colOff>
      <xdr:row>82</xdr:row>
      <xdr:rowOff>6163</xdr:rowOff>
    </xdr:from>
    <xdr:to>
      <xdr:col>21</xdr:col>
      <xdr:colOff>629771</xdr:colOff>
      <xdr:row>88</xdr:row>
      <xdr:rowOff>91888</xdr:rowOff>
    </xdr:to>
    <xdr:sp macro="" textlink="">
      <xdr:nvSpPr>
        <xdr:cNvPr id="16" name="Rectangle 15">
          <a:extLst>
            <a:ext uri="{FF2B5EF4-FFF2-40B4-BE49-F238E27FC236}">
              <a16:creationId xmlns:a16="http://schemas.microsoft.com/office/drawing/2014/main" id="{004177D5-1D5B-43D7-8DE3-EEAD7125716E}"/>
            </a:ext>
          </a:extLst>
        </xdr:cNvPr>
        <xdr:cNvSpPr/>
      </xdr:nvSpPr>
      <xdr:spPr>
        <a:xfrm>
          <a:off x="7465359" y="16546045"/>
          <a:ext cx="7519147" cy="1295961"/>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Refinancing Proceeds are a key source of value but highly sensitive</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Net refinancing proceeds vary significantly, ranging from +30% to -40% relative to the £739m base case, driven primarily by construction capex and power price escalation assumptions</a:t>
          </a:r>
        </a:p>
        <a:p>
          <a:pPr algn="l"/>
          <a:r>
            <a:rPr lang="en-GB" sz="1100" baseline="0">
              <a:solidFill>
                <a:sysClr val="windowText" lastClr="000000"/>
              </a:solidFill>
              <a:latin typeface="Aptos Display" panose="020B0004020202020204" pitchFamily="34" charset="0"/>
            </a:rPr>
            <a:t>- Refinancing is a major driver of equity value, given its earlier timing and therefore higher contribution to IRR versus terminal value or operating cash flows. It also represents a substantial portion of cash returned to investors, making it a critical component of the investment case. The high sensitivity means that value can erode quickly under adverse scenarios and therefore Capex discipline is critical and overruns materially impact overall returns.</a:t>
          </a:r>
        </a:p>
      </xdr:txBody>
    </xdr:sp>
    <xdr:clientData/>
  </xdr:twoCellAnchor>
  <xdr:twoCellAnchor>
    <xdr:from>
      <xdr:col>1</xdr:col>
      <xdr:colOff>56029</xdr:colOff>
      <xdr:row>82</xdr:row>
      <xdr:rowOff>56030</xdr:rowOff>
    </xdr:from>
    <xdr:to>
      <xdr:col>9</xdr:col>
      <xdr:colOff>667529</xdr:colOff>
      <xdr:row>100</xdr:row>
      <xdr:rowOff>186506</xdr:rowOff>
    </xdr:to>
    <xdr:graphicFrame macro="">
      <xdr:nvGraphicFramePr>
        <xdr:cNvPr id="17" name="Chart 16">
          <a:extLst>
            <a:ext uri="{FF2B5EF4-FFF2-40B4-BE49-F238E27FC236}">
              <a16:creationId xmlns:a16="http://schemas.microsoft.com/office/drawing/2014/main" id="{C9DC6BF1-E0F0-47AC-B50E-3BA85F755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535650</xdr:colOff>
      <xdr:row>22</xdr:row>
      <xdr:rowOff>7039</xdr:rowOff>
    </xdr:from>
    <xdr:to>
      <xdr:col>17</xdr:col>
      <xdr:colOff>535649</xdr:colOff>
      <xdr:row>40</xdr:row>
      <xdr:rowOff>115957</xdr:rowOff>
    </xdr:to>
    <xdr:sp macro="" textlink="">
      <xdr:nvSpPr>
        <xdr:cNvPr id="2" name="Rectangle 1">
          <a:extLst>
            <a:ext uri="{FF2B5EF4-FFF2-40B4-BE49-F238E27FC236}">
              <a16:creationId xmlns:a16="http://schemas.microsoft.com/office/drawing/2014/main" id="{7A461457-492D-4DBB-B07F-129812F706DD}"/>
            </a:ext>
          </a:extLst>
        </xdr:cNvPr>
        <xdr:cNvSpPr/>
      </xdr:nvSpPr>
      <xdr:spPr>
        <a:xfrm>
          <a:off x="6093280" y="4380256"/>
          <a:ext cx="7470912" cy="368700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DSCR remains robust across scenarios (P50</a:t>
          </a:r>
          <a:r>
            <a:rPr lang="en-GB" sz="1100" b="1" baseline="0">
              <a:solidFill>
                <a:sysClr val="windowText" lastClr="000000"/>
              </a:solidFill>
              <a:latin typeface="Aptos Display" panose="020B0004020202020204" pitchFamily="34" charset="0"/>
            </a:rPr>
            <a:t> to P90)</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DSCR is above the 1.10x minimum in all scenarios except one extreme case (P99). This demonstrates strong lender protection across the downside range. Capex does not impact DSCR, as it affects equity returns rather than operational cash flow coverage, whereas the key drivers of</a:t>
          </a:r>
          <a:r>
            <a:rPr lang="en-GB" sz="1100" baseline="0">
              <a:solidFill>
                <a:sysClr val="windowText" lastClr="000000"/>
              </a:solidFill>
              <a:latin typeface="Aptos Display" panose="020B0004020202020204" pitchFamily="34" charset="0"/>
            </a:rPr>
            <a:t> DSCR are Opex, interest rates and generation profile (degradation, and price escalation).</a:t>
          </a:r>
        </a:p>
        <a:p>
          <a:pPr algn="l"/>
          <a:r>
            <a:rPr lang="en-GB" sz="1100" baseline="0">
              <a:solidFill>
                <a:sysClr val="windowText" lastClr="000000"/>
              </a:solidFill>
              <a:latin typeface="Aptos Display" panose="020B0004020202020204" pitchFamily="34" charset="0"/>
            </a:rPr>
            <a:t>- From a lender perspective, operational performance and financing costs matter more than capex, with capex risk effectively borne by equity. Lenders should seek to maximise certainty over controllable variables, including: 1) Fixing or tightly managing Opex through contractual arrangements and 2) Locking in financing terms (rather than linking this with the benchmark market interest rates which can move up and down during the CfD period of the offshore wind farm). </a:t>
          </a:r>
        </a:p>
        <a:p>
          <a:pPr algn="l"/>
          <a:endParaRPr lang="en-GB" sz="1100" baseline="0">
            <a:solidFill>
              <a:sysClr val="windowText" lastClr="000000"/>
            </a:solidFill>
            <a:latin typeface="Aptos Display" panose="020B0004020202020204" pitchFamily="34" charset="0"/>
          </a:endParaRPr>
        </a:p>
        <a:p>
          <a:pPr algn="l"/>
          <a:r>
            <a:rPr lang="en-GB" sz="1100" b="1" baseline="0">
              <a:solidFill>
                <a:sysClr val="windowText" lastClr="000000"/>
              </a:solidFill>
              <a:latin typeface="Aptos Display" panose="020B0004020202020204" pitchFamily="34" charset="0"/>
            </a:rPr>
            <a:t>Isolated DSCR covenant breach driven by structuring dynamics (not fundamental weakness)</a:t>
          </a:r>
        </a:p>
        <a:p>
          <a:pPr algn="l"/>
          <a:r>
            <a:rPr lang="en-GB" sz="1100" baseline="0">
              <a:solidFill>
                <a:sysClr val="windowText" lastClr="000000"/>
              </a:solidFill>
              <a:latin typeface="Aptos Display" panose="020B0004020202020204" pitchFamily="34" charset="0"/>
            </a:rPr>
            <a:t>- The only DSCR breach (~1.07x) occurs in a P99 scenario with higher electricity escalation (2.5%), and is temporary and structural in nature. </a:t>
          </a:r>
        </a:p>
        <a:p>
          <a:pPr algn="l"/>
          <a:r>
            <a:rPr lang="en-GB" sz="1100" baseline="0">
              <a:solidFill>
                <a:sysClr val="windowText" lastClr="000000"/>
              </a:solidFill>
              <a:latin typeface="Aptos Display" panose="020B0004020202020204" pitchFamily="34" charset="0"/>
            </a:rPr>
            <a:t>- This is driven due to because debt is sized on lifetime cash flows (LLCR), which are higher under stronger price escalation assumptions. This allows for a larger overall debt quantum, increasing interest payments (particularly during the early years where little to no debt is amortised). However, cash flow (CFADS) uplift from escalation is back-ended, while interest costs are front-loaded. </a:t>
          </a:r>
        </a:p>
        <a:p>
          <a:pPr algn="l"/>
          <a:r>
            <a:rPr lang="en-GB" sz="1100" baseline="0">
              <a:solidFill>
                <a:sysClr val="windowText" lastClr="000000"/>
              </a:solidFill>
              <a:latin typeface="Aptos Display" panose="020B0004020202020204" pitchFamily="34" charset="0"/>
            </a:rPr>
            <a:t>- A similar dynamic is observed with lower annual degradation assumption, where stronger lifetime generation supports higher debt sizing, again increasing early-period interest burden. </a:t>
          </a:r>
        </a:p>
        <a:p>
          <a:pPr algn="l"/>
          <a:r>
            <a:rPr lang="en-GB" sz="1100" baseline="0">
              <a:solidFill>
                <a:sysClr val="windowText" lastClr="000000"/>
              </a:solidFill>
              <a:latin typeface="Aptos Display" panose="020B0004020202020204" pitchFamily="34" charset="0"/>
            </a:rPr>
            <a:t>- The DSCR profile is structurally sound, with only a temporary and explainable breach in an extreme downside case. The issue is driven by debt sizing methodology and timing effects, not underlying asset performance. Overall, the project provides robust credit metrics with limited lender downside risk.</a:t>
          </a:r>
        </a:p>
      </xdr:txBody>
    </xdr:sp>
    <xdr:clientData/>
  </xdr:twoCellAnchor>
  <xdr:twoCellAnchor>
    <xdr:from>
      <xdr:col>0</xdr:col>
      <xdr:colOff>590390</xdr:colOff>
      <xdr:row>45</xdr:row>
      <xdr:rowOff>37421</xdr:rowOff>
    </xdr:from>
    <xdr:to>
      <xdr:col>5</xdr:col>
      <xdr:colOff>164940</xdr:colOff>
      <xdr:row>58</xdr:row>
      <xdr:rowOff>178348</xdr:rowOff>
    </xdr:to>
    <xdr:graphicFrame macro="">
      <xdr:nvGraphicFramePr>
        <xdr:cNvPr id="4" name="Chart 3">
          <a:extLst>
            <a:ext uri="{FF2B5EF4-FFF2-40B4-BE49-F238E27FC236}">
              <a16:creationId xmlns:a16="http://schemas.microsoft.com/office/drawing/2014/main" id="{11EA20C2-3E89-44AF-A0DF-01DE7B679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467687</xdr:colOff>
      <xdr:row>45</xdr:row>
      <xdr:rowOff>16977</xdr:rowOff>
    </xdr:from>
    <xdr:to>
      <xdr:col>16</xdr:col>
      <xdr:colOff>433834</xdr:colOff>
      <xdr:row>55</xdr:row>
      <xdr:rowOff>189151</xdr:rowOff>
    </xdr:to>
    <xdr:sp macro="" textlink="">
      <xdr:nvSpPr>
        <xdr:cNvPr id="6" name="Rectangle 5">
          <a:extLst>
            <a:ext uri="{FF2B5EF4-FFF2-40B4-BE49-F238E27FC236}">
              <a16:creationId xmlns:a16="http://schemas.microsoft.com/office/drawing/2014/main" id="{EB487A29-3770-4D18-ADAD-463FCE8EA4DE}"/>
            </a:ext>
          </a:extLst>
        </xdr:cNvPr>
        <xdr:cNvSpPr/>
      </xdr:nvSpPr>
      <xdr:spPr>
        <a:xfrm>
          <a:off x="5346144" y="8962194"/>
          <a:ext cx="7437060" cy="216000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Debt Is Appropriately Structured for the Risk Profile</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Operational gearing ranges from ~62% to 69% across P50 and</a:t>
          </a:r>
          <a:r>
            <a:rPr lang="en-GB" sz="1100" baseline="0">
              <a:solidFill>
                <a:sysClr val="windowText" lastClr="000000"/>
              </a:solidFill>
              <a:latin typeface="Aptos Display" panose="020B0004020202020204" pitchFamily="34" charset="0"/>
            </a:rPr>
            <a:t> </a:t>
          </a:r>
          <a:r>
            <a:rPr lang="en-GB" sz="1100">
              <a:solidFill>
                <a:sysClr val="windowText" lastClr="000000"/>
              </a:solidFill>
              <a:latin typeface="Aptos Display" panose="020B0004020202020204" pitchFamily="34" charset="0"/>
            </a:rPr>
            <a:t>P90 scenarios, with construction gearing fixed at 65%. This reflects a balanced and conservative capital structure for a contracted offshore wind asset.  Median DSCR remains stable at ~1.3x, with variability driven primarily by the minimum DSCR in specific periods, rather than a deterioration in overall credit quality.</a:t>
          </a:r>
        </a:p>
        <a:p>
          <a:pPr algn="l"/>
          <a:r>
            <a:rPr lang="en-GB" sz="1100">
              <a:solidFill>
                <a:sysClr val="windowText" lastClr="000000"/>
              </a:solidFill>
              <a:latin typeface="Aptos Display" panose="020B0004020202020204" pitchFamily="34" charset="0"/>
            </a:rPr>
            <a:t>- This shows debt service pressure is not material to the</a:t>
          </a:r>
          <a:r>
            <a:rPr lang="en-GB" sz="1100" baseline="0">
              <a:solidFill>
                <a:sysClr val="windowText" lastClr="000000"/>
              </a:solidFill>
              <a:latin typeface="Aptos Display" panose="020B0004020202020204" pitchFamily="34" charset="0"/>
            </a:rPr>
            <a:t> project</a:t>
          </a:r>
          <a:r>
            <a:rPr lang="en-GB" sz="1100">
              <a:solidFill>
                <a:sysClr val="windowText" lastClr="000000"/>
              </a:solidFill>
              <a:latin typeface="Aptos Display" panose="020B0004020202020204" pitchFamily="34" charset="0"/>
            </a:rPr>
            <a:t>, but timing-driven</a:t>
          </a:r>
          <a:r>
            <a:rPr lang="en-GB" sz="1100" baseline="0">
              <a:solidFill>
                <a:sysClr val="windowText" lastClr="000000"/>
              </a:solidFill>
              <a:latin typeface="Aptos Display" panose="020B0004020202020204" pitchFamily="34" charset="0"/>
            </a:rPr>
            <a:t> as debt stress is concentrated in early operational periods, when wind resource is seasonally lower (e.g. summer quarters), Debt balances and therefore interest costs are at their peak and amortisation has not yet materially reduced leverage. Outside of these periods (first 5 years of operation of the offshore wind farm), cash flow coverage is strong and stable, indicating that the financing structure is well aligned with the asset’s cash flow profile. </a:t>
          </a:r>
        </a:p>
        <a:p>
          <a:pPr algn="l"/>
          <a:r>
            <a:rPr lang="en-GB" sz="1100" baseline="0">
              <a:solidFill>
                <a:sysClr val="windowText" lastClr="000000"/>
              </a:solidFill>
              <a:latin typeface="Aptos Display" panose="020B0004020202020204" pitchFamily="34" charset="0"/>
            </a:rPr>
            <a:t>- The financing is robust and appropriately calibrated, with temporary, timing-related pressure points rather than structural weaknesses in the debt package.</a:t>
          </a:r>
        </a:p>
      </xdr:txBody>
    </xdr:sp>
    <xdr:clientData/>
  </xdr:twoCellAnchor>
  <xdr:twoCellAnchor>
    <xdr:from>
      <xdr:col>0</xdr:col>
      <xdr:colOff>524375</xdr:colOff>
      <xdr:row>60</xdr:row>
      <xdr:rowOff>3141</xdr:rowOff>
    </xdr:from>
    <xdr:to>
      <xdr:col>5</xdr:col>
      <xdr:colOff>181702</xdr:colOff>
      <xdr:row>77</xdr:row>
      <xdr:rowOff>175514</xdr:rowOff>
    </xdr:to>
    <xdr:graphicFrame macro="">
      <xdr:nvGraphicFramePr>
        <xdr:cNvPr id="9" name="Chart 8">
          <a:extLst>
            <a:ext uri="{FF2B5EF4-FFF2-40B4-BE49-F238E27FC236}">
              <a16:creationId xmlns:a16="http://schemas.microsoft.com/office/drawing/2014/main" id="{FBFB42FB-1E32-4533-9497-87FC3C726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467012</xdr:colOff>
      <xdr:row>78</xdr:row>
      <xdr:rowOff>107676</xdr:rowOff>
    </xdr:from>
    <xdr:to>
      <xdr:col>5</xdr:col>
      <xdr:colOff>121711</xdr:colOff>
      <xdr:row>96</xdr:row>
      <xdr:rowOff>28055</xdr:rowOff>
    </xdr:to>
    <xdr:graphicFrame macro="">
      <xdr:nvGraphicFramePr>
        <xdr:cNvPr id="11" name="Chart 10">
          <a:extLst>
            <a:ext uri="{FF2B5EF4-FFF2-40B4-BE49-F238E27FC236}">
              <a16:creationId xmlns:a16="http://schemas.microsoft.com/office/drawing/2014/main" id="{A811B980-ADC6-4D6F-AEC9-47CCB2EAA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98799</xdr:colOff>
      <xdr:row>2</xdr:row>
      <xdr:rowOff>59162</xdr:rowOff>
    </xdr:from>
    <xdr:to>
      <xdr:col>6</xdr:col>
      <xdr:colOff>630571</xdr:colOff>
      <xdr:row>19</xdr:row>
      <xdr:rowOff>134171</xdr:rowOff>
    </xdr:to>
    <xdr:graphicFrame macro="">
      <xdr:nvGraphicFramePr>
        <xdr:cNvPr id="12" name="Chart 11">
          <a:extLst>
            <a:ext uri="{FF2B5EF4-FFF2-40B4-BE49-F238E27FC236}">
              <a16:creationId xmlns:a16="http://schemas.microsoft.com/office/drawing/2014/main" id="{96CB5C48-A77B-40B0-A7CC-4AC51542A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666750</xdr:colOff>
      <xdr:row>2</xdr:row>
      <xdr:rowOff>38100</xdr:rowOff>
    </xdr:from>
    <xdr:to>
      <xdr:col>18</xdr:col>
      <xdr:colOff>632897</xdr:colOff>
      <xdr:row>13</xdr:row>
      <xdr:rowOff>121478</xdr:rowOff>
    </xdr:to>
    <xdr:sp macro="" textlink="">
      <xdr:nvSpPr>
        <xdr:cNvPr id="14" name="Rectangle 13">
          <a:extLst>
            <a:ext uri="{FF2B5EF4-FFF2-40B4-BE49-F238E27FC236}">
              <a16:creationId xmlns:a16="http://schemas.microsoft.com/office/drawing/2014/main" id="{8607B79A-5FB0-4E64-BA80-F8B9EA081BC5}"/>
            </a:ext>
          </a:extLst>
        </xdr:cNvPr>
        <xdr:cNvSpPr/>
      </xdr:nvSpPr>
      <xdr:spPr>
        <a:xfrm>
          <a:off x="6873185" y="435665"/>
          <a:ext cx="7376321" cy="2269987"/>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Debt Is appropriately sculpted to asset cash flows</a:t>
          </a:r>
        </a:p>
        <a:p>
          <a:pPr algn="l"/>
          <a:r>
            <a:rPr lang="en-GB" sz="1100">
              <a:solidFill>
                <a:sysClr val="windowText" lastClr="000000"/>
              </a:solidFill>
              <a:latin typeface="Aptos Display" panose="020B0004020202020204" pitchFamily="34" charset="0"/>
            </a:rPr>
            <a:t>- The debt sculpting methodology is based on the present value of forecasted CFADS using the weighted average interest rate of the first</a:t>
          </a:r>
          <a:r>
            <a:rPr lang="en-GB" sz="1100" baseline="0">
              <a:solidFill>
                <a:sysClr val="windowText" lastClr="000000"/>
              </a:solidFill>
              <a:latin typeface="Aptos Display" panose="020B0004020202020204" pitchFamily="34" charset="0"/>
            </a:rPr>
            <a:t> </a:t>
          </a:r>
          <a:r>
            <a:rPr lang="en-GB" sz="1100">
              <a:solidFill>
                <a:sysClr val="windowText" lastClr="000000"/>
              </a:solidFill>
              <a:latin typeface="Aptos Display" panose="020B0004020202020204" pitchFamily="34" charset="0"/>
            </a:rPr>
            <a:t>and second</a:t>
          </a:r>
          <a:r>
            <a:rPr lang="en-GB" sz="1100" baseline="0">
              <a:solidFill>
                <a:sysClr val="windowText" lastClr="000000"/>
              </a:solidFill>
              <a:latin typeface="Aptos Display" panose="020B0004020202020204" pitchFamily="34" charset="0"/>
            </a:rPr>
            <a:t> </a:t>
          </a:r>
          <a:r>
            <a:rPr lang="en-GB" sz="1100">
              <a:solidFill>
                <a:sysClr val="windowText" lastClr="000000"/>
              </a:solidFill>
              <a:latin typeface="Aptos Display" panose="020B0004020202020204" pitchFamily="34" charset="0"/>
            </a:rPr>
            <a:t>lien debt, with total debt allocated across the tranche structure accordingly.</a:t>
          </a:r>
        </a:p>
        <a:p>
          <a:pPr algn="l"/>
          <a:r>
            <a:rPr lang="en-GB" sz="1100">
              <a:solidFill>
                <a:sysClr val="windowText" lastClr="000000"/>
              </a:solidFill>
              <a:latin typeface="Aptos Display" panose="020B0004020202020204" pitchFamily="34" charset="0"/>
            </a:rPr>
            <a:t>- Across all scenarios (P50 to P99), the residual debt balance at CfD expiry falls below £100m, indicating that the financing structure is capable of materially amortising debt over the contracted revenue period despite quarterly variability in offshore wind generation. </a:t>
          </a:r>
        </a:p>
        <a:p>
          <a:pPr algn="l"/>
          <a:r>
            <a:rPr lang="en-GB" sz="1100">
              <a:solidFill>
                <a:sysClr val="windowText" lastClr="000000"/>
              </a:solidFill>
              <a:latin typeface="Aptos Display" panose="020B0004020202020204" pitchFamily="34" charset="0"/>
            </a:rPr>
            <a:t>- The combination of</a:t>
          </a:r>
          <a:r>
            <a:rPr lang="en-GB" sz="1100" baseline="0">
              <a:solidFill>
                <a:sysClr val="windowText" lastClr="000000"/>
              </a:solidFill>
              <a:latin typeface="Aptos Display" panose="020B0004020202020204" pitchFamily="34" charset="0"/>
            </a:rPr>
            <a:t> contracted and inflation-linked revenues, inflation linked Opex, disciplined debt sculpting, and the debt service reserve account (forward looking of 6 months) provides a highly predictable debt repayment profile across the operating period. While offshore wind revenues are inherently seasonal, the structure effectively smooths cash flow volatility and supports stable debt servicing capacity</a:t>
          </a:r>
        </a:p>
        <a:p>
          <a:pPr algn="l"/>
          <a:r>
            <a:rPr lang="en-GB" sz="1100" baseline="0">
              <a:solidFill>
                <a:sysClr val="windowText" lastClr="000000"/>
              </a:solidFill>
              <a:latin typeface="Aptos Display" panose="020B0004020202020204" pitchFamily="34" charset="0"/>
            </a:rPr>
            <a:t>- Given a modest residual balance remains at the end of the CfD term, lenders should consider either a cash sweep and/or a cash trap mechanism in the final 2–3 years of the debt tenor to ensure full debt payment by the CfD expiry date. </a:t>
          </a:r>
        </a:p>
      </xdr:txBody>
    </xdr:sp>
    <xdr:clientData/>
  </xdr:twoCellAnchor>
  <xdr:twoCellAnchor>
    <xdr:from>
      <xdr:col>6</xdr:col>
      <xdr:colOff>16565</xdr:colOff>
      <xdr:row>60</xdr:row>
      <xdr:rowOff>33130</xdr:rowOff>
    </xdr:from>
    <xdr:to>
      <xdr:col>16</xdr:col>
      <xdr:colOff>661885</xdr:colOff>
      <xdr:row>68</xdr:row>
      <xdr:rowOff>74544</xdr:rowOff>
    </xdr:to>
    <xdr:sp macro="" textlink="">
      <xdr:nvSpPr>
        <xdr:cNvPr id="3" name="Rectangle 2">
          <a:extLst>
            <a:ext uri="{FF2B5EF4-FFF2-40B4-BE49-F238E27FC236}">
              <a16:creationId xmlns:a16="http://schemas.microsoft.com/office/drawing/2014/main" id="{1A6CAAE6-74B0-458B-AD77-9BF9499AC8FB}"/>
            </a:ext>
          </a:extLst>
        </xdr:cNvPr>
        <xdr:cNvSpPr/>
      </xdr:nvSpPr>
      <xdr:spPr>
        <a:xfrm>
          <a:off x="5574195" y="11960087"/>
          <a:ext cx="7437060" cy="163167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GB" sz="1100" b="1">
              <a:solidFill>
                <a:sysClr val="windowText" lastClr="000000"/>
              </a:solidFill>
              <a:latin typeface="Aptos Display" panose="020B0004020202020204" pitchFamily="34" charset="0"/>
            </a:rPr>
            <a:t>Minimum DSCR is met for</a:t>
          </a:r>
          <a:r>
            <a:rPr lang="en-GB" sz="1100" b="1" baseline="0">
              <a:solidFill>
                <a:sysClr val="windowText" lastClr="000000"/>
              </a:solidFill>
              <a:latin typeface="Aptos Display" panose="020B0004020202020204" pitchFamily="34" charset="0"/>
            </a:rPr>
            <a:t> all 4 quarters after 6 years of operation</a:t>
          </a:r>
          <a:br>
            <a:rPr lang="en-GB" sz="1100" b="1">
              <a:solidFill>
                <a:sysClr val="windowText" lastClr="000000"/>
              </a:solidFill>
              <a:latin typeface="Aptos Display" panose="020B0004020202020204" pitchFamily="34" charset="0"/>
            </a:rPr>
          </a:br>
          <a:r>
            <a:rPr lang="en-GB" sz="1100">
              <a:solidFill>
                <a:sysClr val="windowText" lastClr="000000"/>
              </a:solidFill>
              <a:latin typeface="Aptos Display" panose="020B0004020202020204" pitchFamily="34" charset="0"/>
            </a:rPr>
            <a:t>- Quarterly DSCR pressure is concentrated in Q2, driven by seasonally lower wind generation in line with the project’s production seasonality profile, where Q2 represents the weakest generation period of the year.</a:t>
          </a:r>
          <a:r>
            <a:rPr lang="en-GB" sz="1100" baseline="0">
              <a:solidFill>
                <a:sysClr val="windowText" lastClr="000000"/>
              </a:solidFill>
              <a:latin typeface="Aptos Display" panose="020B0004020202020204" pitchFamily="34" charset="0"/>
            </a:rPr>
            <a:t> This results in the lowest CFADS and in early years, interest payments exceed the ideal sculpted profile in this period, temporarily compressing DSCR. </a:t>
          </a:r>
        </a:p>
        <a:p>
          <a:pPr algn="l"/>
          <a:r>
            <a:rPr lang="en-GB" sz="1100" baseline="0">
              <a:solidFill>
                <a:sysClr val="windowText" lastClr="000000"/>
              </a:solidFill>
              <a:latin typeface="Aptos Display" panose="020B0004020202020204" pitchFamily="34" charset="0"/>
            </a:rPr>
            <a:t>- However, as  debt is amortises during high wind generation periods (Q4 and Q1) and revenues compound, the  outstanding debt balance and associated interest burden reduce over time resulting in the DSCR recovering quickly to ~1.3x within the first six years post the refinancing period. </a:t>
          </a:r>
        </a:p>
        <a:p>
          <a:pPr algn="l"/>
          <a:r>
            <a:rPr lang="en-GB" sz="1100" baseline="0">
              <a:solidFill>
                <a:sysClr val="windowText" lastClr="000000"/>
              </a:solidFill>
              <a:latin typeface="Aptos Display" panose="020B0004020202020204" pitchFamily="34" charset="0"/>
            </a:rPr>
            <a:t>- The temporary DSCR weakness is driven by seasonality and front-loaded debt balances, rather than any structural weakness in the project’s cash flow profile or financing structure.</a:t>
          </a:r>
        </a:p>
      </xdr:txBody>
    </xdr:sp>
    <xdr:clientData/>
  </xdr:twoCellAnchor>
</xdr:wsDr>
</file>

<file path=xl/persons/person.xml><?xml version="1.0" encoding="utf-8"?>
<personList xmlns="http://schemas.microsoft.com/office/spreadsheetml/2018/threadedcomments" xmlns:x="http://schemas.openxmlformats.org/spreadsheetml/2006/main">
  <person displayName="Tushar Biyani" id="{2DB25676-7278-4B9B-9E38-6FA556E4D1A3}" userId="S::tbiyani@guidehouse.com::942ded78-2b1e-4663-a27c-fcb1a7067820" providerId="AD"/>
</personList>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0868AC"/>
      </a:accent1>
      <a:accent2>
        <a:srgbClr val="43A2CA"/>
      </a:accent2>
      <a:accent3>
        <a:srgbClr val="7BCCC4"/>
      </a:accent3>
      <a:accent4>
        <a:srgbClr val="A8DDB5"/>
      </a:accent4>
      <a:accent5>
        <a:srgbClr val="CCEBC5"/>
      </a:accent5>
      <a:accent6>
        <a:srgbClr val="F0F9E8"/>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6-03-17T06:48:03.05" personId="{2DB25676-7278-4B9B-9E38-6FA556E4D1A3}" id="{4CEA5E32-6704-411B-93A7-87554390E1F0}">
    <text>Assume infrastructure capex costs is more front loaded where foundation installation, array cable laying, offshore substation construction, and onshore grid connection works is completed. 
Assume these start immediately after FID and end 3 quarters before COD (so that when turbines are installed they can immediately or 1 quarter afterwards start to generate power )</text>
  </threadedComment>
  <threadedComment ref="C19" dT="2026-03-17T07:07:23.08" personId="{2DB25676-7278-4B9B-9E38-6FA556E4D1A3}" id="{CDB9C734-6216-4C25-9ADB-36CAF1753288}">
    <text>Interest paid till refinancing period which is on 31/03/2030
Beginning Balance of the debt</text>
  </threadedComment>
</ThreadedComments>
</file>

<file path=xl/threadedComments/threadedComment2.xml><?xml version="1.0" encoding="utf-8"?>
<ThreadedComments xmlns="http://schemas.microsoft.com/office/spreadsheetml/2018/threadedcomments" xmlns:x="http://schemas.openxmlformats.org/spreadsheetml/2006/main">
  <threadedComment ref="C23" dT="2026-03-20T08:28:12.33" personId="{2DB25676-7278-4B9B-9E38-6FA556E4D1A3}" id="{C133144B-4F9C-405C-BC45-B5FF28E4D814}">
    <text>Applied when all 103 turbines are operational</text>
  </threadedComment>
  <threadedComment ref="C30" dT="2026-03-22T15:26:57.19" personId="{2DB25676-7278-4B9B-9E38-6FA556E4D1A3}" id="{04049000-CD17-445A-9AAF-124C0CDAA378}">
    <text>Adjusted for seasonal output by applying to overall net capacity factor</text>
  </threadedComment>
  <threadedComment ref="C31" dT="2026-03-22T15:27:58.41" personId="{2DB25676-7278-4B9B-9E38-6FA556E4D1A3}" id="{ACD5C2F7-BB96-4CBC-8226-19ED69A370AC}">
    <text>Adjusted for the P-value case by applying for reduction in wind generation based on P50, P75, P90 or P99 case</text>
  </threadedComment>
  <threadedComment ref="C32" dT="2026-03-22T15:28:51.92" personId="{2DB25676-7278-4B9B-9E38-6FA556E4D1A3}" id="{CCD22F45-461D-478B-BF8F-41510677B977}">
    <text>Adjusted for degradation in the wind turbine due to normal operation</text>
  </threadedComment>
  <threadedComment ref="C33" dT="2026-03-22T15:31:08.43" personId="{2DB25676-7278-4B9B-9E38-6FA556E4D1A3}" id="{9365F0A5-9520-46A0-A3E8-6CCBB8CEF32C}">
    <text>Adjusted for curtailment when the wind turbine is not generating electricity for the grind</text>
  </threadedComment>
  <threadedComment ref="C34" dT="2026-03-22T15:31:51.02" personId="{2DB25676-7278-4B9B-9E38-6FA556E4D1A3}" id="{D421683B-3DBF-403E-AE73-E533457E7EB5}">
    <text>Adjusted for periods where market conditions for wholesale day ahead electricity price mean, there is no revenue is generated from the offshore wind turbine</text>
  </threadedComment>
  <threadedComment ref="C66" dT="2026-04-04T16:18:41.70" personId="{2DB25676-7278-4B9B-9E38-6FA556E4D1A3}" id="{215FA9C7-83B6-4C11-B17D-38EEFA21FC3A}">
    <text>IDC are also capitalised into the asset cost and forms part of the qualifying expenditure for capital allowances</text>
  </threadedComment>
  <threadedComment ref="C67" dT="2026-04-04T16:19:10.58" personId="{2DB25676-7278-4B9B-9E38-6FA556E4D1A3}" id="{E8414741-4691-42F7-8F9D-66A8B6CF7603}">
    <text>These are a financing cost and deductible where it is amortised over the loan life. Starts after the refinancing period</text>
  </threadedComment>
  <threadedComment ref="C86" dT="2026-04-24T06:21:30.60" personId="{2DB25676-7278-4B9B-9E38-6FA556E4D1A3}" id="{83F7F625-77D1-4970-9016-F3E18EFCB4F7}">
    <text>Not used anywhere in the model</text>
  </threadedComment>
  <threadedComment ref="C117" dT="2026-04-25T09:50:02.75" personId="{2DB25676-7278-4B9B-9E38-6FA556E4D1A3}" id="{E7433209-8E0F-4648-A310-7198620677A9}">
    <text>But capped to what can be funded from the cash left after post debt service (i.e.CFADS - Debt Interest and Debt Amortisation)</text>
  </threadedComment>
  <threadedComment ref="C118" dT="2026-04-25T12:56:28.59" personId="{2DB25676-7278-4B9B-9E38-6FA556E4D1A3}" id="{0E84FF0E-FC6D-43E5-9DA9-06E751F3CB26}">
    <text>Withdraw cash from the opening balance of the DSRA to make sure that the Cash flow post debt service is always positive for each quarter (i.e. we can pay down the debt)</text>
  </threadedComment>
  <threadedComment ref="G141" dT="2026-04-22T06:18:24.18" personId="{2DB25676-7278-4B9B-9E38-6FA556E4D1A3}" id="{AE94A0E7-346D-43E7-B1F5-68D49767C1C0}">
    <text>Manually changed to 1.4 to allow CFADS is accounted for ahead of the full operational start date of the offshore wind farm (and before it is refinanced)</text>
  </threadedComment>
  <threadedComment ref="H141" dT="2026-04-22T06:18:24.18" personId="{2DB25676-7278-4B9B-9E38-6FA556E4D1A3}" id="{6B2463A6-093F-44F9-A6FC-DB0234007487}">
    <text>Manually changed to 1.4 to allow CFADS is accounted for ahead of the full operational start date of the offshore wind farm (and before it is refinanced)</text>
  </threadedComment>
  <threadedComment ref="I141" dT="2026-04-22T06:18:24.18" personId="{2DB25676-7278-4B9B-9E38-6FA556E4D1A3}" id="{0EF08D6C-2320-4AA8-9120-6589E2131BA4}">
    <text>Manually changed to 1.4 to allow CFADS is accounted for ahead of the full operational start date of the offshore wind farm (and before it is refinanced)</text>
  </threadedComment>
  <threadedComment ref="J141" dT="2026-04-22T06:18:24.18" personId="{2DB25676-7278-4B9B-9E38-6FA556E4D1A3}" id="{003E816E-40A2-48FB-AC93-BCB4B396A0EA}">
    <text>Manually changed to 1.4 to allow CFADS is accounted for ahead of the full operational start date of the offshore wind farm (and before it is refinanced)</text>
  </threadedComment>
  <threadedComment ref="K141" dT="2026-04-22T06:18:24.18" personId="{2DB25676-7278-4B9B-9E38-6FA556E4D1A3}" id="{7EFC7D18-B192-4763-BFC9-6117ABE55B0F}">
    <text>Manually changed to 1.4 to allow CFADS is accounted for ahead of the full operational start date of the offshore wind farm (and before it is refinanced)</text>
  </threadedComment>
  <threadedComment ref="L141" dT="2026-04-22T06:18:24.18" personId="{2DB25676-7278-4B9B-9E38-6FA556E4D1A3}" id="{9DA3C160-6B68-49EB-82C8-08AE811E7A5B}">
    <text>Manually changed to 1.4 to allow CFADS is accounted for ahead of the full operational start date of the offshore wind farm (and before it is refinanced)</text>
  </threadedComment>
  <threadedComment ref="M141" dT="2026-04-22T06:18:24.18" personId="{2DB25676-7278-4B9B-9E38-6FA556E4D1A3}" id="{AE3C0CFF-A0CB-48FC-9697-E3BA7334E47E}">
    <text>Manually changed to 1.4 to allow CFADS is accounted for ahead of the full operational start date of the offshore wind farm (and before it is refinanced)</text>
  </threadedComment>
  <threadedComment ref="N141" dT="2026-04-22T06:18:24.18" personId="{2DB25676-7278-4B9B-9E38-6FA556E4D1A3}" id="{91D0B15B-9E14-456A-BB3F-A307C5753B96}">
    <text>Manually changed to 1.4 to allow CFADS is accounted for ahead of the full operational start date of the offshore wind farm (and before it is refinanced)</text>
  </threadedComment>
  <threadedComment ref="O141" dT="2026-04-22T06:18:24.18" personId="{2DB25676-7278-4B9B-9E38-6FA556E4D1A3}" id="{164309D4-D346-459F-A222-467B4E80A138}">
    <text>Manually changed to 1.4 to allow CFADS is accounted for ahead of the full operational start date of the offshore wind farm (and before it is refinanced)</text>
  </threadedComment>
  <threadedComment ref="P141" dT="2026-04-22T06:18:24.18" personId="{2DB25676-7278-4B9B-9E38-6FA556E4D1A3}" id="{9F80E5D3-FA8F-458C-AEBF-519D8E4AB86E}">
    <text>Manually changed to 1.4 to allow CFADS is accounted for ahead of the full operational start date of the offshore wind farm (and before it is refinanced)</text>
  </threadedComment>
  <threadedComment ref="Q141" dT="2026-04-22T06:18:24.18" personId="{2DB25676-7278-4B9B-9E38-6FA556E4D1A3}" id="{7335E544-0872-4235-8DB8-F0A2C6023AEC}">
    <text>Manually changed to 1.4 to allow CFADS is accounted for ahead of the full operational start date of the offshore wind farm (and before it is refinanced)</text>
  </threadedComment>
  <threadedComment ref="R141" dT="2026-04-22T06:18:24.18" personId="{2DB25676-7278-4B9B-9E38-6FA556E4D1A3}" id="{3C59A9EE-3CD7-441B-91BD-403959F4615D}">
    <text>Manually changed to 1.4 to allow CFADS is accounted for ahead of the full operational start date of the offshore wind farm (and before it is refinanced)</text>
  </threadedComment>
  <threadedComment ref="S141" dT="2026-04-22T06:18:24.18" personId="{2DB25676-7278-4B9B-9E38-6FA556E4D1A3}" id="{9A59D8F2-1BF5-4CD4-830F-8F965939603A}">
    <text>Manually changed to 1.4 to allow CFADS is accounted for ahead of the full operational start date of the offshore wind farm (and before it is refinanced)</text>
  </threadedComment>
  <threadedComment ref="T141" dT="2026-04-22T06:18:24.18" personId="{2DB25676-7278-4B9B-9E38-6FA556E4D1A3}" id="{9D3BD79F-A073-46C4-8F38-EE86F79AECB9}">
    <text>Manually changed to 1.4 to allow CFADS is accounted for ahead of the full operational start date of the offshore wind farm (and before it is refinanced)</text>
  </threadedComment>
  <threadedComment ref="U141" dT="2026-04-22T06:18:24.18" personId="{2DB25676-7278-4B9B-9E38-6FA556E4D1A3}" id="{4A20C40E-4D1C-4D79-A09A-5AF6620728F6}">
    <text>Manually changed to 1.4 to allow CFADS is accounted for ahead of the full operational start date of the offshore wind farm (and before it is refinanced)</text>
  </threadedComment>
  <threadedComment ref="V141" dT="2026-04-22T06:18:24.18" personId="{2DB25676-7278-4B9B-9E38-6FA556E4D1A3}" id="{7BD8880A-5C60-4C99-8182-E073F22E67FA}">
    <text>Manually changed to 1.4 to allow CFADS is accounted for ahead of the full operational start date of the offshore wind farm (and before it is refinanced)</text>
  </threadedComment>
  <threadedComment ref="W141" dT="2026-04-22T06:18:24.18" personId="{2DB25676-7278-4B9B-9E38-6FA556E4D1A3}" id="{8EC81DC9-9B62-4468-B396-BCB2B25F5D3E}">
    <text>Manually changed to 1.4 to allow CFADS is accounted for ahead of the full operational start date of the offshore wind farm (and before it is refinanced)</text>
  </threadedComment>
  <threadedComment ref="CV142" dT="2026-04-18T17:10:42.82" personId="{2DB25676-7278-4B9B-9E38-6FA556E4D1A3}" id="{68C5BCF3-B313-4D60-849B-023D5E76CB07}">
    <text>Zero as the CfD period is over and the loans are paid off</text>
  </threadedComment>
  <threadedComment ref="CW142" dT="2026-04-18T17:10:42.82" personId="{2DB25676-7278-4B9B-9E38-6FA556E4D1A3}" id="{E676D893-A1AA-4209-AE04-E835DAFC6444}">
    <text>Zero as the CfD period is over and the loans are paid off</text>
  </threadedComment>
  <threadedComment ref="CX142" dT="2026-04-18T17:10:42.82" personId="{2DB25676-7278-4B9B-9E38-6FA556E4D1A3}" id="{D7411952-3C0C-4ECC-A6D2-E8B77304FF66}">
    <text>Zero as the CfD period is over and the loans are paid off</text>
  </threadedComment>
  <threadedComment ref="CY142" dT="2026-04-18T17:10:42.82" personId="{2DB25676-7278-4B9B-9E38-6FA556E4D1A3}" id="{D161518C-3146-4239-9A88-657DE70ABCAE}">
    <text>Zero as the CfD period is over and the loans are paid off</text>
  </threadedComment>
  <threadedComment ref="CZ142" dT="2026-04-18T17:10:42.82" personId="{2DB25676-7278-4B9B-9E38-6FA556E4D1A3}" id="{7D3C5738-AC8E-4DD3-BF84-F340192B9EEF}">
    <text>Zero as the CfD period is over and the loans are paid off</text>
  </threadedComment>
  <threadedComment ref="DA142" dT="2026-04-18T17:10:42.82" personId="{2DB25676-7278-4B9B-9E38-6FA556E4D1A3}" id="{1E9F4D2E-48FE-45DE-82CE-34B7F12897B6}">
    <text>Zero as the CfD period is over and the loans are paid off</text>
  </threadedComment>
  <threadedComment ref="DB142" dT="2026-04-18T17:10:42.82" personId="{2DB25676-7278-4B9B-9E38-6FA556E4D1A3}" id="{31F4FD83-B0AA-4570-9186-B6B1BF7C1A57}">
    <text>Zero as the CfD period is over and the loans are paid off</text>
  </threadedComment>
  <threadedComment ref="DC142" dT="2026-04-18T17:10:42.82" personId="{2DB25676-7278-4B9B-9E38-6FA556E4D1A3}" id="{ED732965-1848-4DE0-A8DC-5EDAC0072015}">
    <text>Zero as the CfD period is over and the loans are paid off</text>
  </threadedComment>
  <threadedComment ref="DD142" dT="2026-04-18T17:10:42.82" personId="{2DB25676-7278-4B9B-9E38-6FA556E4D1A3}" id="{B7BA7D8B-A3CB-48EE-A8CA-E66E87E8704D}">
    <text>Zero as the CfD period is over and the loans are paid off</text>
  </threadedComment>
  <threadedComment ref="DE142" dT="2026-04-18T17:10:42.82" personId="{2DB25676-7278-4B9B-9E38-6FA556E4D1A3}" id="{CC27A0BD-2277-44F2-844A-14132F91782D}">
    <text>Zero as the CfD period is over and the loans are paid off</text>
  </threadedComment>
  <threadedComment ref="DF142" dT="2026-04-18T17:10:42.82" personId="{2DB25676-7278-4B9B-9E38-6FA556E4D1A3}" id="{B1F738DF-4D5B-4938-9BDF-5DA3CF221965}">
    <text>Zero as the CfD period is over and the loans are paid off</text>
  </threadedComment>
  <threadedComment ref="DG142" dT="2026-04-18T17:10:42.82" personId="{2DB25676-7278-4B9B-9E38-6FA556E4D1A3}" id="{2314EE2C-4365-4BBC-A8BA-941718ED0BA8}">
    <text>Zero as the CfD period is over and the loans are paid off</text>
  </threadedComment>
  <threadedComment ref="DH142" dT="2026-04-18T17:10:42.82" personId="{2DB25676-7278-4B9B-9E38-6FA556E4D1A3}" id="{60065FCB-6724-4618-BBDC-51344C280DD0}">
    <text>Zero as the CfD period is over and the loans are paid off</text>
  </threadedComment>
  <threadedComment ref="DI142" dT="2026-04-18T17:10:42.82" personId="{2DB25676-7278-4B9B-9E38-6FA556E4D1A3}" id="{9CDC3868-23DC-47C8-8A9E-A901A499DD7D}">
    <text>Zero as the CfD period is over and the loans are paid off</text>
  </threadedComment>
  <threadedComment ref="DJ142" dT="2026-04-18T17:10:42.82" personId="{2DB25676-7278-4B9B-9E38-6FA556E4D1A3}" id="{1F9B75F7-0FCB-41B2-BEAC-C49FBA12843F}">
    <text>Zero as the CfD period is over and the loans are paid off</text>
  </threadedComment>
  <threadedComment ref="DK142" dT="2026-04-18T17:10:42.82" personId="{2DB25676-7278-4B9B-9E38-6FA556E4D1A3}" id="{81E47424-4C66-4D1C-BDAE-32A394432287}">
    <text>Zero as the CfD period is over and the loans are paid off</text>
  </threadedComment>
  <threadedComment ref="DL142" dT="2026-04-18T17:10:42.82" personId="{2DB25676-7278-4B9B-9E38-6FA556E4D1A3}" id="{F8A8E3CF-D228-4E9A-9000-10296B03C524}">
    <text>Zero as the CfD period is over and the loans are paid off</text>
  </threadedComment>
  <threadedComment ref="DM142" dT="2026-04-18T17:10:42.82" personId="{2DB25676-7278-4B9B-9E38-6FA556E4D1A3}" id="{D9072BC9-85A0-4684-88AE-F9B3286D3772}">
    <text>Zero as the CfD period is over and the loans are paid off</text>
  </threadedComment>
  <threadedComment ref="DN142" dT="2026-04-18T17:10:42.82" personId="{2DB25676-7278-4B9B-9E38-6FA556E4D1A3}" id="{460944B5-8D67-42C3-A7D8-3A2E725A5EC7}">
    <text>Zero as the CfD period is over and the loans are paid off</text>
  </threadedComment>
  <threadedComment ref="DO142" dT="2026-04-18T17:10:42.82" personId="{2DB25676-7278-4B9B-9E38-6FA556E4D1A3}" id="{8F363559-389A-47D2-82D1-56B3338A390C}">
    <text>Zero as the CfD period is over and the loans are paid off</text>
  </threadedComment>
  <threadedComment ref="DP142" dT="2026-04-18T17:10:42.82" personId="{2DB25676-7278-4B9B-9E38-6FA556E4D1A3}" id="{6223CB24-7607-4D07-A6A7-0E43C242A4B6}">
    <text>Zero as the CfD period is over and the loans are paid off</text>
  </threadedComment>
  <threadedComment ref="DQ142" dT="2026-04-18T17:10:42.82" personId="{2DB25676-7278-4B9B-9E38-6FA556E4D1A3}" id="{9B9D0466-ED37-407C-9824-47539BB3A337}">
    <text>Zero as the CfD period is over and the loans are paid off</text>
  </threadedComment>
  <threadedComment ref="DR142" dT="2026-04-18T17:10:42.82" personId="{2DB25676-7278-4B9B-9E38-6FA556E4D1A3}" id="{D7C8EA83-913F-455B-A9F9-8619E3D5AB38}">
    <text>Zero as the CfD period is over and the loans are paid off</text>
  </threadedComment>
  <threadedComment ref="DI143" dT="2026-04-18T17:10:42.82" personId="{2DB25676-7278-4B9B-9E38-6FA556E4D1A3}" id="{874DEE3F-9B37-4270-AE7E-5F8A054E9AA6}">
    <text>Zero as the CfD period is over and the loans are paid off</text>
  </threadedComment>
  <threadedComment ref="DJ143" dT="2026-04-18T17:10:42.82" personId="{2DB25676-7278-4B9B-9E38-6FA556E4D1A3}" id="{FCF4C0EB-C7D2-4637-92C3-D33CCC5CA0AA}">
    <text>Zero as the CfD period is over and the loans are paid off</text>
  </threadedComment>
  <threadedComment ref="DK143" dT="2026-04-18T17:10:42.82" personId="{2DB25676-7278-4B9B-9E38-6FA556E4D1A3}" id="{0A451D4A-CC7C-44C4-9597-15A008718F8D}">
    <text>Zero as the CfD period is over and the loans are paid off</text>
  </threadedComment>
  <threadedComment ref="DL143" dT="2026-04-18T17:10:42.82" personId="{2DB25676-7278-4B9B-9E38-6FA556E4D1A3}" id="{4C51E05D-04D0-4142-B8FA-63967A891EF0}">
    <text>Zero as the CfD period is over and the loans are paid off</text>
  </threadedComment>
  <threadedComment ref="DM143" dT="2026-04-18T17:10:42.82" personId="{2DB25676-7278-4B9B-9E38-6FA556E4D1A3}" id="{369F9C2C-481D-45CE-9CBA-90F479BE3217}">
    <text>Zero as the CfD period is over and the loans are paid off</text>
  </threadedComment>
  <threadedComment ref="DN143" dT="2026-04-18T17:10:42.82" personId="{2DB25676-7278-4B9B-9E38-6FA556E4D1A3}" id="{F314FFE9-7C37-4CB6-9F8B-F2FAF5BC967C}">
    <text>Zero as the CfD period is over and the loans are paid off</text>
  </threadedComment>
  <threadedComment ref="DO143" dT="2026-04-18T17:10:42.82" personId="{2DB25676-7278-4B9B-9E38-6FA556E4D1A3}" id="{B15DA8B7-0109-42D4-8A99-D7D364BF934E}">
    <text>Zero as the CfD period is over and the loans are paid off</text>
  </threadedComment>
  <threadedComment ref="DP143" dT="2026-04-18T17:10:42.82" personId="{2DB25676-7278-4B9B-9E38-6FA556E4D1A3}" id="{F63DD0CB-3454-4E6A-99A0-789B3193F4B5}">
    <text>Zero as the CfD period is over and the loans are paid off</text>
  </threadedComment>
  <threadedComment ref="DQ143" dT="2026-04-18T17:10:42.82" personId="{2DB25676-7278-4B9B-9E38-6FA556E4D1A3}" id="{028233C7-EED8-4F89-AA56-ACA0D9358EDB}">
    <text>Zero as the CfD period is over and the loans are paid off</text>
  </threadedComment>
  <threadedComment ref="DR143" dT="2026-04-18T17:10:42.82" personId="{2DB25676-7278-4B9B-9E38-6FA556E4D1A3}" id="{7420D9CC-9C7A-4A6E-8925-C8E6099A1AC8}">
    <text>Zero as the CfD period is over and the loans are paid off</text>
  </threadedComment>
  <threadedComment ref="C181" dT="2026-04-05T10:28:19.63" personId="{2DB25676-7278-4B9B-9E38-6FA556E4D1A3}" id="{F83584D2-C1E4-4881-A1DD-A0699A4EE368}">
    <text>Even though there are amortization values here before debt is issued, due to the formula applied in row 104, these values are not accounted</text>
  </threadedComment>
  <threadedComment ref="C204" dT="2026-04-19T09:23:35.09" personId="{2DB25676-7278-4B9B-9E38-6FA556E4D1A3}" id="{619A3925-5243-469D-9307-1394EE12E950}">
    <text>Distribution to investors from CFADS after debt service reserve account, DSCR conditions and maintenance/decommissioning reserve account accounted for</text>
  </threadedComment>
  <threadedComment ref="C204" dT="2026-04-24T07:03:54.68" personId="{2DB25676-7278-4B9B-9E38-6FA556E4D1A3}" id="{A8BBD5B6-1DB0-4660-A6E1-E4031136C494}" parentId="{619A3925-5243-469D-9307-1394EE12E950}">
    <text>Need to update the formula here</text>
  </threadedComment>
  <threadedComment ref="C205" dT="2026-04-19T09:24:03.94" personId="{2DB25676-7278-4B9B-9E38-6FA556E4D1A3}" id="{3424B2AB-1015-48B0-B619-9476FA1F0B5D}">
    <text>Based on initial construction loan and refinancing loans during operational period</text>
  </threadedComment>
  <threadedComment ref="C206" dT="2026-04-19T09:24:51.80" personId="{2DB25676-7278-4B9B-9E38-6FA556E4D1A3}" id="{715A95B5-DE3F-45AE-8E9E-F534102DAD41}">
    <text>Decommissioning reserve returned to investors at the end of the CfD expiry period, as new investor puts this cost upfront themselves.
Maintenance reserve not returned as it is assumed this will be used during the operational period</text>
  </threadedComment>
  <threadedComment ref="C207" dT="2026-04-19T09:24:51.80" personId="{2DB25676-7278-4B9B-9E38-6FA556E4D1A3}" id="{8B102B3D-D993-4BA0-B801-118252A4C3A7}">
    <text>Decommissioning reserve returned to investors at the end of the CfD expiry period, as new investor puts this cost upfront themselves.
Maintenance reserve not returned as it is assumed this will be used during the operational period</text>
  </threadedComment>
  <threadedComment ref="C208" dT="2026-04-19T09:25:13.86" personId="{2DB25676-7278-4B9B-9E38-6FA556E4D1A3}" id="{BE0E7505-4C69-4293-A8CD-186E45A8A45D}">
    <text>Equity to purchase project in DEVEX stage and during the construction period</text>
  </threadedComment>
  <threadedComment ref="C209" dT="2026-04-19T09:27:05.88" personId="{2DB25676-7278-4B9B-9E38-6FA556E4D1A3}" id="{C2B9A4CF-5FCF-468E-A77D-82B031269B73}">
    <text>Returns any outstanding debt at the end of the CfD expiry period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energy-trends-section-6-renewables" TargetMode="External"/><Relationship Id="rId2" Type="http://schemas.openxmlformats.org/officeDocument/2006/relationships/hyperlink" Target="https://assets.publishing.service.gov.uk/media/6966a5c7e8c04eb2919f773d/lcoe-2024-offshore-wind.pdf" TargetMode="External"/><Relationship Id="rId1" Type="http://schemas.openxmlformats.org/officeDocument/2006/relationships/hyperlink" Target="https://www.gov.uk/government/statistics/energy-trends-section-6-renewables" TargetMode="External"/><Relationship Id="rId6" Type="http://schemas.openxmlformats.org/officeDocument/2006/relationships/printerSettings" Target="../printerSettings/printerSettings1.bin"/><Relationship Id="rId5" Type="http://schemas.openxmlformats.org/officeDocument/2006/relationships/hyperlink" Target="https://www.gov.uk/government/statistics/energy-trends-section-6-renewables" TargetMode="External"/><Relationship Id="rId4" Type="http://schemas.openxmlformats.org/officeDocument/2006/relationships/hyperlink" Target="https://www.gov.uk/government/statistics/energy-trends-section-6-renewabl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F0737-C37A-47E2-9A32-95907EF2A933}">
  <sheetPr>
    <tabColor rgb="FFFFD85D"/>
    <pageSetUpPr autoPageBreaks="0"/>
  </sheetPr>
  <dimension ref="B2:Q275"/>
  <sheetViews>
    <sheetView showGridLines="0" tabSelected="1" zoomScale="114" zoomScaleNormal="70" workbookViewId="0">
      <pane ySplit="4" topLeftCell="A5" activePane="bottomLeft" state="frozen"/>
      <selection pane="bottomLeft" activeCell="B2" sqref="B2"/>
    </sheetView>
  </sheetViews>
  <sheetFormatPr baseColWidth="10" defaultColWidth="9" defaultRowHeight="16" outlineLevelRow="1" x14ac:dyDescent="0.2"/>
  <cols>
    <col min="1" max="2" width="2.6640625" style="124" customWidth="1"/>
    <col min="3" max="3" width="44.6640625" style="124" bestFit="1" customWidth="1"/>
    <col min="4" max="4" width="24.1640625" style="124" customWidth="1"/>
    <col min="5" max="7" width="16.6640625" style="124" customWidth="1"/>
    <col min="8" max="8" width="16.6640625" style="125" customWidth="1"/>
    <col min="9" max="9" width="109.6640625" style="124" customWidth="1"/>
    <col min="10" max="15" width="16.6640625" style="124" customWidth="1"/>
    <col min="16" max="16384" width="9" style="124"/>
  </cols>
  <sheetData>
    <row r="2" spans="2:13" ht="19" x14ac:dyDescent="0.2">
      <c r="B2" s="137" t="str">
        <f>E7&amp;" - Development and IRR Analysis"</f>
        <v>Norfolk Vanguard West - Development and IRR Analysis</v>
      </c>
      <c r="C2" s="138"/>
      <c r="D2" s="138"/>
      <c r="E2" s="138"/>
      <c r="F2" s="138"/>
      <c r="G2" s="138"/>
      <c r="H2" s="139"/>
      <c r="I2" s="138"/>
      <c r="J2" s="138"/>
      <c r="K2" s="138"/>
      <c r="L2" s="138"/>
    </row>
    <row r="3" spans="2:13" x14ac:dyDescent="0.2">
      <c r="B3" s="138"/>
      <c r="C3" s="138"/>
      <c r="D3" s="138"/>
      <c r="E3" s="138"/>
      <c r="F3" s="138"/>
      <c r="G3" s="138"/>
      <c r="H3" s="139"/>
      <c r="I3" s="138"/>
      <c r="J3" s="138"/>
      <c r="K3" s="138"/>
      <c r="L3" s="138"/>
    </row>
    <row r="4" spans="2:13" x14ac:dyDescent="0.2">
      <c r="B4" s="140" t="s">
        <v>225</v>
      </c>
      <c r="C4" s="141"/>
      <c r="D4" s="142" t="s">
        <v>7</v>
      </c>
      <c r="E4" s="142"/>
      <c r="F4" s="142"/>
      <c r="G4" s="142" t="s">
        <v>160</v>
      </c>
      <c r="H4" s="142" t="s">
        <v>162</v>
      </c>
      <c r="I4" s="143" t="s">
        <v>161</v>
      </c>
      <c r="J4" s="143" t="s">
        <v>177</v>
      </c>
      <c r="K4" s="144"/>
      <c r="L4" s="145"/>
      <c r="M4" s="138"/>
    </row>
    <row r="5" spans="2:13" outlineLevel="1" x14ac:dyDescent="0.2">
      <c r="B5" s="138"/>
      <c r="C5" s="138"/>
      <c r="D5" s="138"/>
      <c r="E5" s="138"/>
      <c r="F5" s="138"/>
      <c r="G5" s="138"/>
      <c r="H5" s="139"/>
      <c r="I5" s="138"/>
      <c r="J5" s="138"/>
      <c r="L5" s="138"/>
      <c r="M5" s="138"/>
    </row>
    <row r="6" spans="2:13" outlineLevel="1" x14ac:dyDescent="0.2">
      <c r="C6" s="146" t="s">
        <v>143</v>
      </c>
      <c r="D6" s="146"/>
      <c r="E6" s="146"/>
      <c r="F6" s="146"/>
      <c r="G6" s="146"/>
      <c r="H6" s="147"/>
      <c r="I6" s="146"/>
      <c r="J6" s="146"/>
      <c r="K6" s="146"/>
    </row>
    <row r="7" spans="2:13" outlineLevel="1" x14ac:dyDescent="0.2">
      <c r="C7" s="133" t="s">
        <v>11</v>
      </c>
      <c r="D7" s="130" t="s">
        <v>8</v>
      </c>
      <c r="E7" s="148" t="s">
        <v>263</v>
      </c>
      <c r="F7" s="148"/>
    </row>
    <row r="8" spans="2:13" outlineLevel="1" x14ac:dyDescent="0.2">
      <c r="C8" s="133" t="s">
        <v>65</v>
      </c>
      <c r="D8" s="130" t="s">
        <v>8</v>
      </c>
      <c r="E8" s="134" t="s">
        <v>23</v>
      </c>
      <c r="F8" s="130"/>
    </row>
    <row r="9" spans="2:13" outlineLevel="1" x14ac:dyDescent="0.2">
      <c r="C9" s="133" t="s">
        <v>10</v>
      </c>
      <c r="D9" s="130" t="s">
        <v>8</v>
      </c>
      <c r="E9" s="134" t="s">
        <v>264</v>
      </c>
      <c r="F9" s="130"/>
    </row>
    <row r="10" spans="2:13" outlineLevel="1" x14ac:dyDescent="0.2">
      <c r="F10" s="130"/>
    </row>
    <row r="11" spans="2:13" outlineLevel="1" x14ac:dyDescent="0.2">
      <c r="C11" s="133" t="s">
        <v>31</v>
      </c>
      <c r="D11" s="130" t="s">
        <v>16</v>
      </c>
      <c r="E11" s="136">
        <v>24</v>
      </c>
    </row>
    <row r="12" spans="2:13" outlineLevel="1" x14ac:dyDescent="0.2">
      <c r="C12" s="133" t="s">
        <v>77</v>
      </c>
      <c r="D12" s="130" t="s">
        <v>16</v>
      </c>
      <c r="E12" s="136">
        <v>3</v>
      </c>
      <c r="F12" s="130"/>
    </row>
    <row r="13" spans="2:13" outlineLevel="1" x14ac:dyDescent="0.2">
      <c r="C13" s="129" t="s">
        <v>15</v>
      </c>
      <c r="D13" s="130" t="s">
        <v>16</v>
      </c>
      <c r="E13" s="136">
        <v>12</v>
      </c>
      <c r="F13" s="130"/>
    </row>
    <row r="14" spans="2:13" outlineLevel="1" x14ac:dyDescent="0.2">
      <c r="C14" s="129" t="s">
        <v>152</v>
      </c>
      <c r="D14" s="130" t="s">
        <v>16</v>
      </c>
      <c r="E14" s="136">
        <v>4</v>
      </c>
      <c r="F14" s="130"/>
    </row>
    <row r="15" spans="2:13" outlineLevel="1" x14ac:dyDescent="0.2">
      <c r="C15" s="129" t="s">
        <v>96</v>
      </c>
      <c r="D15" s="130" t="s">
        <v>16</v>
      </c>
      <c r="E15" s="136">
        <v>365</v>
      </c>
      <c r="F15" s="130"/>
    </row>
    <row r="16" spans="2:13" outlineLevel="1" x14ac:dyDescent="0.2">
      <c r="F16" s="130"/>
    </row>
    <row r="17" spans="3:12" outlineLevel="1" x14ac:dyDescent="0.2">
      <c r="C17" s="133" t="s">
        <v>308</v>
      </c>
      <c r="D17" s="130" t="s">
        <v>16</v>
      </c>
      <c r="E17" s="136">
        <v>2160</v>
      </c>
      <c r="F17" s="130"/>
    </row>
    <row r="18" spans="3:12" outlineLevel="1" x14ac:dyDescent="0.2">
      <c r="C18" s="133" t="s">
        <v>309</v>
      </c>
      <c r="D18" s="130" t="s">
        <v>16</v>
      </c>
      <c r="E18" s="136">
        <v>2184</v>
      </c>
      <c r="F18" s="130"/>
    </row>
    <row r="19" spans="3:12" outlineLevel="1" x14ac:dyDescent="0.2">
      <c r="C19" s="133" t="s">
        <v>310</v>
      </c>
      <c r="D19" s="130" t="s">
        <v>16</v>
      </c>
      <c r="E19" s="136">
        <v>2208</v>
      </c>
      <c r="F19" s="130"/>
    </row>
    <row r="20" spans="3:12" outlineLevel="1" x14ac:dyDescent="0.2">
      <c r="C20" s="133" t="s">
        <v>311</v>
      </c>
      <c r="D20" s="130" t="s">
        <v>16</v>
      </c>
      <c r="E20" s="136">
        <v>2208</v>
      </c>
      <c r="F20" s="130"/>
    </row>
    <row r="21" spans="3:12" outlineLevel="1" x14ac:dyDescent="0.2">
      <c r="F21" s="130"/>
    </row>
    <row r="22" spans="3:12" outlineLevel="1" x14ac:dyDescent="0.2">
      <c r="C22" s="133" t="s">
        <v>27</v>
      </c>
      <c r="D22" s="130" t="s">
        <v>12</v>
      </c>
      <c r="E22" s="149">
        <v>0.25</v>
      </c>
      <c r="I22" s="124" t="s">
        <v>163</v>
      </c>
    </row>
    <row r="23" spans="3:12" outlineLevel="1" x14ac:dyDescent="0.2">
      <c r="C23" s="133" t="s">
        <v>53</v>
      </c>
      <c r="D23" s="130" t="s">
        <v>16</v>
      </c>
      <c r="E23" s="131">
        <v>1000</v>
      </c>
      <c r="F23" s="130"/>
    </row>
    <row r="24" spans="3:12" outlineLevel="1" x14ac:dyDescent="0.2">
      <c r="C24" s="133" t="s">
        <v>78</v>
      </c>
      <c r="D24" s="130" t="s">
        <v>16</v>
      </c>
      <c r="E24" s="131">
        <v>1000000</v>
      </c>
      <c r="F24" s="128"/>
    </row>
    <row r="25" spans="3:12" outlineLevel="1" x14ac:dyDescent="0.2"/>
    <row r="26" spans="3:12" outlineLevel="1" x14ac:dyDescent="0.2">
      <c r="C26" s="129" t="s">
        <v>125</v>
      </c>
      <c r="D26" s="130" t="s">
        <v>95</v>
      </c>
      <c r="E26" s="150">
        <v>15</v>
      </c>
      <c r="F26" s="130"/>
      <c r="G26" s="124" t="s">
        <v>164</v>
      </c>
      <c r="I26" s="124" t="s">
        <v>165</v>
      </c>
      <c r="J26" s="124" t="s">
        <v>180</v>
      </c>
    </row>
    <row r="27" spans="3:12" outlineLevel="1" x14ac:dyDescent="0.2">
      <c r="C27" s="133" t="s">
        <v>94</v>
      </c>
      <c r="D27" s="128" t="s">
        <v>16</v>
      </c>
      <c r="E27" s="136">
        <v>103</v>
      </c>
      <c r="F27" s="130"/>
      <c r="G27" s="124" t="s">
        <v>164</v>
      </c>
      <c r="I27" s="124" t="s">
        <v>197</v>
      </c>
      <c r="J27" s="124" t="s">
        <v>180</v>
      </c>
      <c r="L27" s="151"/>
    </row>
    <row r="28" spans="3:12" outlineLevel="1" x14ac:dyDescent="0.2">
      <c r="C28" s="133" t="s">
        <v>170</v>
      </c>
      <c r="D28" s="128" t="s">
        <v>95</v>
      </c>
      <c r="E28" s="152">
        <f>Capacity_per_Turbine*Turbines</f>
        <v>1545</v>
      </c>
      <c r="F28" s="130"/>
      <c r="I28" s="124" t="s">
        <v>198</v>
      </c>
      <c r="L28" s="151"/>
    </row>
    <row r="29" spans="3:12" ht="34" outlineLevel="1" x14ac:dyDescent="0.2">
      <c r="C29" s="129" t="s">
        <v>52</v>
      </c>
      <c r="D29" s="128" t="s">
        <v>12</v>
      </c>
      <c r="E29" s="127">
        <v>0.505</v>
      </c>
      <c r="F29" s="130"/>
      <c r="G29" s="124" t="s">
        <v>166</v>
      </c>
      <c r="H29" s="125" t="s">
        <v>167</v>
      </c>
      <c r="I29" s="126" t="s">
        <v>168</v>
      </c>
      <c r="J29" s="132" t="s">
        <v>178</v>
      </c>
    </row>
    <row r="30" spans="3:12" outlineLevel="1" x14ac:dyDescent="0.2">
      <c r="C30" s="129" t="s">
        <v>144</v>
      </c>
      <c r="D30" s="130" t="s">
        <v>159</v>
      </c>
      <c r="E30" s="152">
        <f>Capacity_per_Turbine*Hours*Days_in_Year</f>
        <v>131400</v>
      </c>
      <c r="F30" s="128"/>
      <c r="I30" s="124" t="s">
        <v>297</v>
      </c>
    </row>
    <row r="31" spans="3:12" outlineLevel="1" x14ac:dyDescent="0.2">
      <c r="C31" s="129" t="s">
        <v>145</v>
      </c>
      <c r="D31" s="130" t="s">
        <v>159</v>
      </c>
      <c r="E31" s="152">
        <f>E30*Capacity_Factor</f>
        <v>66357</v>
      </c>
    </row>
    <row r="32" spans="3:12" outlineLevel="1" x14ac:dyDescent="0.2">
      <c r="F32" s="128"/>
    </row>
    <row r="33" spans="3:10" ht="85" outlineLevel="1" x14ac:dyDescent="0.2">
      <c r="C33" s="129" t="s">
        <v>101</v>
      </c>
      <c r="D33" s="128" t="s">
        <v>16</v>
      </c>
      <c r="E33" s="127">
        <v>7.1999999999999995E-2</v>
      </c>
      <c r="F33" s="128"/>
      <c r="G33" s="124" t="s">
        <v>169</v>
      </c>
      <c r="I33" s="126" t="s">
        <v>298</v>
      </c>
      <c r="J33" s="124" t="s">
        <v>181</v>
      </c>
    </row>
    <row r="34" spans="3:10" ht="34" outlineLevel="1" x14ac:dyDescent="0.2">
      <c r="C34" s="129" t="s">
        <v>272</v>
      </c>
      <c r="D34" s="130" t="s">
        <v>159</v>
      </c>
      <c r="E34" s="152">
        <f>E31</f>
        <v>66357</v>
      </c>
      <c r="F34" s="200">
        <f>6827/Turbines</f>
        <v>66.28155339805825</v>
      </c>
      <c r="G34" s="437">
        <f>E34*Turbines/1000</f>
        <v>6834.7709999999997</v>
      </c>
      <c r="I34" s="126" t="s">
        <v>171</v>
      </c>
    </row>
    <row r="35" spans="3:10" ht="34" outlineLevel="1" x14ac:dyDescent="0.2">
      <c r="C35" s="129" t="s">
        <v>273</v>
      </c>
      <c r="D35" s="130" t="s">
        <v>159</v>
      </c>
      <c r="E35" s="152">
        <f>_xlfn.NORM.INV(25%,$E$34,$E$33*$E$31)</f>
        <v>63134.487622529181</v>
      </c>
      <c r="F35" s="200">
        <f>6495/Turbines</f>
        <v>63.058252427184463</v>
      </c>
      <c r="G35" s="437">
        <f>E35*Turbines/1000</f>
        <v>6502.852225120505</v>
      </c>
      <c r="I35" s="126" t="s">
        <v>172</v>
      </c>
    </row>
    <row r="36" spans="3:10" ht="34" outlineLevel="1" x14ac:dyDescent="0.2">
      <c r="C36" s="129" t="s">
        <v>274</v>
      </c>
      <c r="D36" s="130" t="s">
        <v>159</v>
      </c>
      <c r="E36" s="152">
        <f>_xlfn.NORM.INV(10%,$E$34,$E$33*$E$31)</f>
        <v>60234.125959091296</v>
      </c>
      <c r="F36" s="200">
        <f>6198/Turbines</f>
        <v>60.174757281553397</v>
      </c>
      <c r="G36" s="437">
        <f>E36*Turbines/1000</f>
        <v>6204.1149737864034</v>
      </c>
      <c r="I36" s="126" t="s">
        <v>173</v>
      </c>
    </row>
    <row r="37" spans="3:10" ht="68" outlineLevel="1" x14ac:dyDescent="0.2">
      <c r="C37" s="129" t="s">
        <v>275</v>
      </c>
      <c r="D37" s="130" t="s">
        <v>159</v>
      </c>
      <c r="E37" s="152">
        <f>_xlfn.NORM.INV(1%,$E$34,$E$33*$E$31)</f>
        <v>55242.398456803581</v>
      </c>
      <c r="F37" s="200">
        <f>5683/Turbines</f>
        <v>55.174757281553397</v>
      </c>
      <c r="G37" s="437">
        <f>E37*Turbines/1000</f>
        <v>5689.9670410507688</v>
      </c>
      <c r="I37" s="126" t="s">
        <v>299</v>
      </c>
    </row>
    <row r="38" spans="3:10" outlineLevel="1" x14ac:dyDescent="0.2">
      <c r="C38" s="129" t="s">
        <v>272</v>
      </c>
      <c r="D38" s="128" t="s">
        <v>12</v>
      </c>
      <c r="E38" s="224">
        <f>E34/$E$34</f>
        <v>1</v>
      </c>
      <c r="F38" s="200"/>
      <c r="I38" s="126"/>
    </row>
    <row r="39" spans="3:10" outlineLevel="1" x14ac:dyDescent="0.2">
      <c r="C39" s="129" t="s">
        <v>273</v>
      </c>
      <c r="D39" s="128" t="s">
        <v>12</v>
      </c>
      <c r="E39" s="224">
        <f t="shared" ref="E39:E41" si="0">E35/$E$34</f>
        <v>0.95143673798588213</v>
      </c>
      <c r="F39" s="200"/>
      <c r="I39" s="126"/>
    </row>
    <row r="40" spans="3:10" outlineLevel="1" x14ac:dyDescent="0.2">
      <c r="C40" s="129" t="s">
        <v>274</v>
      </c>
      <c r="D40" s="128" t="s">
        <v>12</v>
      </c>
      <c r="E40" s="224">
        <f t="shared" si="0"/>
        <v>0.90772828728078869</v>
      </c>
      <c r="F40" s="200"/>
      <c r="I40" s="126"/>
    </row>
    <row r="41" spans="3:10" outlineLevel="1" x14ac:dyDescent="0.2">
      <c r="C41" s="129" t="s">
        <v>275</v>
      </c>
      <c r="D41" s="128" t="s">
        <v>12</v>
      </c>
      <c r="E41" s="224">
        <f t="shared" si="0"/>
        <v>0.83250295306905953</v>
      </c>
      <c r="F41" s="200"/>
      <c r="I41" s="126"/>
    </row>
    <row r="42" spans="3:10" outlineLevel="1" x14ac:dyDescent="0.2">
      <c r="C42" s="129"/>
      <c r="D42" s="128"/>
      <c r="E42" s="128"/>
      <c r="F42" s="128"/>
    </row>
    <row r="43" spans="3:10" ht="17" outlineLevel="1" x14ac:dyDescent="0.2">
      <c r="C43" s="129" t="s">
        <v>189</v>
      </c>
      <c r="D43" s="128" t="s">
        <v>12</v>
      </c>
      <c r="E43" s="127">
        <v>0.48299999999999998</v>
      </c>
      <c r="G43" s="124" t="s">
        <v>174</v>
      </c>
      <c r="H43" s="125" t="s">
        <v>175</v>
      </c>
      <c r="I43" s="126" t="s">
        <v>176</v>
      </c>
      <c r="J43" s="132" t="s">
        <v>179</v>
      </c>
    </row>
    <row r="44" spans="3:10" ht="17" outlineLevel="1" x14ac:dyDescent="0.2">
      <c r="C44" s="129" t="s">
        <v>190</v>
      </c>
      <c r="D44" s="128" t="s">
        <v>12</v>
      </c>
      <c r="E44" s="127">
        <v>0.30299999999999999</v>
      </c>
      <c r="F44" s="128"/>
      <c r="G44" s="124" t="s">
        <v>174</v>
      </c>
      <c r="H44" s="125" t="s">
        <v>175</v>
      </c>
      <c r="I44" s="126" t="s">
        <v>176</v>
      </c>
      <c r="J44" s="132" t="s">
        <v>179</v>
      </c>
    </row>
    <row r="45" spans="3:10" ht="17" outlineLevel="1" x14ac:dyDescent="0.2">
      <c r="C45" s="129" t="s">
        <v>191</v>
      </c>
      <c r="D45" s="128" t="s">
        <v>12</v>
      </c>
      <c r="E45" s="127">
        <v>0.30499999999999999</v>
      </c>
      <c r="F45" s="128"/>
      <c r="G45" s="124" t="s">
        <v>174</v>
      </c>
      <c r="H45" s="125" t="s">
        <v>175</v>
      </c>
      <c r="I45" s="126" t="s">
        <v>176</v>
      </c>
      <c r="J45" s="132" t="s">
        <v>179</v>
      </c>
    </row>
    <row r="46" spans="3:10" ht="17" outlineLevel="1" x14ac:dyDescent="0.2">
      <c r="C46" s="129" t="s">
        <v>192</v>
      </c>
      <c r="D46" s="128" t="s">
        <v>12</v>
      </c>
      <c r="E46" s="127">
        <v>0.48699999999999999</v>
      </c>
      <c r="F46" s="128"/>
      <c r="G46" s="124" t="s">
        <v>174</v>
      </c>
      <c r="H46" s="125" t="s">
        <v>175</v>
      </c>
      <c r="I46" s="126" t="s">
        <v>176</v>
      </c>
      <c r="J46" s="132" t="s">
        <v>179</v>
      </c>
    </row>
    <row r="47" spans="3:10" outlineLevel="1" x14ac:dyDescent="0.2"/>
    <row r="48" spans="3:10" ht="17" outlineLevel="1" x14ac:dyDescent="0.2">
      <c r="C48" s="129" t="s">
        <v>183</v>
      </c>
      <c r="D48" s="128" t="s">
        <v>184</v>
      </c>
      <c r="E48" s="153">
        <f>E43*E17</f>
        <v>1043.28</v>
      </c>
      <c r="I48" s="126" t="s">
        <v>185</v>
      </c>
    </row>
    <row r="49" spans="3:9" ht="17" outlineLevel="1" x14ac:dyDescent="0.2">
      <c r="C49" s="129" t="s">
        <v>186</v>
      </c>
      <c r="D49" s="128" t="s">
        <v>184</v>
      </c>
      <c r="E49" s="153">
        <f>E44*E18</f>
        <v>661.75199999999995</v>
      </c>
      <c r="I49" s="126" t="s">
        <v>232</v>
      </c>
    </row>
    <row r="50" spans="3:9" ht="17" outlineLevel="1" x14ac:dyDescent="0.2">
      <c r="C50" s="129" t="s">
        <v>187</v>
      </c>
      <c r="D50" s="128" t="s">
        <v>184</v>
      </c>
      <c r="E50" s="153">
        <f>E45*E19</f>
        <v>673.43999999999994</v>
      </c>
      <c r="I50" s="126" t="s">
        <v>233</v>
      </c>
    </row>
    <row r="51" spans="3:9" ht="17" outlineLevel="1" x14ac:dyDescent="0.2">
      <c r="C51" s="129" t="s">
        <v>188</v>
      </c>
      <c r="D51" s="128" t="s">
        <v>184</v>
      </c>
      <c r="E51" s="153">
        <f>E46*E20</f>
        <v>1075.296</v>
      </c>
      <c r="I51" s="126" t="s">
        <v>234</v>
      </c>
    </row>
    <row r="52" spans="3:9" outlineLevel="1" x14ac:dyDescent="0.2"/>
    <row r="53" spans="3:9" outlineLevel="1" x14ac:dyDescent="0.2">
      <c r="C53" s="129" t="s">
        <v>182</v>
      </c>
      <c r="D53" s="128" t="s">
        <v>12</v>
      </c>
      <c r="E53" s="154">
        <f>E48/SUM($E$48:$E$51)</f>
        <v>0.30207008693114301</v>
      </c>
    </row>
    <row r="54" spans="3:9" outlineLevel="1" x14ac:dyDescent="0.2">
      <c r="C54" s="129" t="s">
        <v>265</v>
      </c>
      <c r="D54" s="128" t="s">
        <v>12</v>
      </c>
      <c r="E54" s="154">
        <f t="shared" ref="E54:E56" si="1">E49/SUM($E$48:$E$51)</f>
        <v>0.19160291021284578</v>
      </c>
    </row>
    <row r="55" spans="3:9" outlineLevel="1" x14ac:dyDescent="0.2">
      <c r="C55" s="129" t="s">
        <v>266</v>
      </c>
      <c r="D55" s="128" t="s">
        <v>12</v>
      </c>
      <c r="E55" s="154">
        <f t="shared" si="1"/>
        <v>0.19498704024126692</v>
      </c>
    </row>
    <row r="56" spans="3:9" outlineLevel="1" x14ac:dyDescent="0.2">
      <c r="C56" s="129" t="s">
        <v>267</v>
      </c>
      <c r="D56" s="128" t="s">
        <v>12</v>
      </c>
      <c r="E56" s="154">
        <f t="shared" si="1"/>
        <v>0.31133996261474428</v>
      </c>
    </row>
    <row r="57" spans="3:9" outlineLevel="1" x14ac:dyDescent="0.2"/>
    <row r="58" spans="3:9" ht="102" outlineLevel="1" x14ac:dyDescent="0.2">
      <c r="C58" s="129" t="s">
        <v>235</v>
      </c>
      <c r="D58" s="128" t="s">
        <v>12</v>
      </c>
      <c r="E58" s="127">
        <v>2.5000000000000001E-2</v>
      </c>
      <c r="F58" s="198"/>
      <c r="G58" s="124" t="s">
        <v>240</v>
      </c>
      <c r="I58" s="126" t="s">
        <v>239</v>
      </c>
    </row>
    <row r="59" spans="3:9" outlineLevel="1" x14ac:dyDescent="0.2">
      <c r="C59" s="129" t="s">
        <v>236</v>
      </c>
      <c r="D59" s="128" t="s">
        <v>12</v>
      </c>
      <c r="E59" s="127">
        <v>3.5000000000000003E-2</v>
      </c>
      <c r="G59" s="124" t="s">
        <v>240</v>
      </c>
    </row>
    <row r="60" spans="3:9" outlineLevel="1" x14ac:dyDescent="0.2">
      <c r="C60" s="129" t="s">
        <v>237</v>
      </c>
      <c r="D60" s="128" t="s">
        <v>12</v>
      </c>
      <c r="E60" s="127">
        <v>0.05</v>
      </c>
      <c r="G60" s="124" t="s">
        <v>240</v>
      </c>
    </row>
    <row r="61" spans="3:9" outlineLevel="1" x14ac:dyDescent="0.2">
      <c r="C61" s="129" t="s">
        <v>238</v>
      </c>
      <c r="D61" s="128" t="s">
        <v>12</v>
      </c>
      <c r="E61" s="127">
        <v>6.5000000000000002E-2</v>
      </c>
      <c r="G61" s="124" t="s">
        <v>240</v>
      </c>
    </row>
    <row r="62" spans="3:9" outlineLevel="1" x14ac:dyDescent="0.2">
      <c r="C62" s="129" t="s">
        <v>336</v>
      </c>
      <c r="D62" s="128" t="s">
        <v>12</v>
      </c>
      <c r="E62" s="127">
        <v>0.08</v>
      </c>
      <c r="G62" s="124" t="s">
        <v>337</v>
      </c>
    </row>
    <row r="63" spans="3:9" outlineLevel="1" x14ac:dyDescent="0.2">
      <c r="C63" s="129" t="s">
        <v>340</v>
      </c>
      <c r="D63" s="130" t="s">
        <v>9</v>
      </c>
      <c r="E63" s="156">
        <f>DATE(2033,1,1)</f>
        <v>48580</v>
      </c>
    </row>
    <row r="64" spans="3:9" outlineLevel="1" x14ac:dyDescent="0.2">
      <c r="C64" s="129" t="s">
        <v>341</v>
      </c>
      <c r="D64" s="130" t="s">
        <v>9</v>
      </c>
      <c r="E64" s="156">
        <f>DATE(2038,1,1)</f>
        <v>50406</v>
      </c>
      <c r="F64" s="198"/>
      <c r="I64" s="126"/>
    </row>
    <row r="65" spans="3:12" outlineLevel="1" x14ac:dyDescent="0.2">
      <c r="C65" s="129" t="s">
        <v>342</v>
      </c>
      <c r="D65" s="130" t="s">
        <v>9</v>
      </c>
      <c r="E65" s="156">
        <f>DATE(2045,1,1)</f>
        <v>52963</v>
      </c>
    </row>
    <row r="66" spans="3:12" outlineLevel="1" x14ac:dyDescent="0.2">
      <c r="C66" s="129" t="s">
        <v>343</v>
      </c>
      <c r="D66" s="130" t="s">
        <v>9</v>
      </c>
      <c r="E66" s="156">
        <f>DATE(2050,1,1)</f>
        <v>54789</v>
      </c>
    </row>
    <row r="67" spans="3:12" outlineLevel="1" x14ac:dyDescent="0.2">
      <c r="C67" s="129" t="s">
        <v>344</v>
      </c>
      <c r="D67" s="130" t="s">
        <v>9</v>
      </c>
      <c r="E67" s="156">
        <f>DATE(2064,1,1)</f>
        <v>59902</v>
      </c>
    </row>
    <row r="68" spans="3:12" outlineLevel="1" x14ac:dyDescent="0.2"/>
    <row r="69" spans="3:12" ht="119" outlineLevel="1" x14ac:dyDescent="0.2">
      <c r="C69" s="129" t="s">
        <v>317</v>
      </c>
      <c r="D69" s="128" t="s">
        <v>12</v>
      </c>
      <c r="E69" s="127">
        <v>3.5000000000000001E-3</v>
      </c>
      <c r="G69" s="124" t="s">
        <v>240</v>
      </c>
      <c r="I69" s="126" t="s">
        <v>248</v>
      </c>
    </row>
    <row r="70" spans="3:12" outlineLevel="1" x14ac:dyDescent="0.2">
      <c r="C70" s="129" t="s">
        <v>318</v>
      </c>
      <c r="D70" s="128" t="s">
        <v>12</v>
      </c>
      <c r="E70" s="127">
        <v>0.01</v>
      </c>
      <c r="G70" s="124" t="s">
        <v>240</v>
      </c>
    </row>
    <row r="71" spans="3:12" outlineLevel="1" x14ac:dyDescent="0.2">
      <c r="C71" s="129" t="s">
        <v>322</v>
      </c>
      <c r="D71" s="128" t="s">
        <v>12</v>
      </c>
      <c r="E71" s="127">
        <v>1.4999999999999999E-2</v>
      </c>
      <c r="G71" s="124" t="s">
        <v>240</v>
      </c>
    </row>
    <row r="72" spans="3:12" outlineLevel="1" x14ac:dyDescent="0.2">
      <c r="C72" s="129" t="s">
        <v>319</v>
      </c>
      <c r="D72" s="130" t="s">
        <v>9</v>
      </c>
      <c r="E72" s="156">
        <f>DATE(2035,1,1)</f>
        <v>49310</v>
      </c>
      <c r="I72" s="126"/>
    </row>
    <row r="73" spans="3:12" outlineLevel="1" x14ac:dyDescent="0.2">
      <c r="C73" s="129" t="s">
        <v>320</v>
      </c>
      <c r="D73" s="130" t="s">
        <v>9</v>
      </c>
      <c r="E73" s="156">
        <f>DATE(2045,1,1)</f>
        <v>52963</v>
      </c>
    </row>
    <row r="74" spans="3:12" outlineLevel="1" x14ac:dyDescent="0.2">
      <c r="C74" s="129" t="s">
        <v>321</v>
      </c>
      <c r="D74" s="130" t="s">
        <v>9</v>
      </c>
      <c r="E74" s="156">
        <f>DATE(2064,1,1)</f>
        <v>59902</v>
      </c>
    </row>
    <row r="75" spans="3:12" outlineLevel="1" x14ac:dyDescent="0.2"/>
    <row r="76" spans="3:12" outlineLevel="1" x14ac:dyDescent="0.2">
      <c r="C76" s="332" t="s">
        <v>32</v>
      </c>
      <c r="D76" s="128" t="s">
        <v>12</v>
      </c>
      <c r="E76" s="127">
        <f>E155</f>
        <v>2E-3</v>
      </c>
      <c r="I76" s="124" t="s">
        <v>193</v>
      </c>
    </row>
    <row r="77" spans="3:12" outlineLevel="1" x14ac:dyDescent="0.2">
      <c r="C77" s="133"/>
      <c r="D77" s="128"/>
      <c r="E77" s="155"/>
      <c r="F77" s="130"/>
      <c r="L77" s="151"/>
    </row>
    <row r="78" spans="3:12" outlineLevel="1" x14ac:dyDescent="0.2">
      <c r="C78" s="146" t="s">
        <v>142</v>
      </c>
      <c r="D78" s="146"/>
      <c r="E78" s="146"/>
      <c r="F78" s="146"/>
      <c r="G78" s="146"/>
      <c r="H78" s="147"/>
      <c r="I78" s="146"/>
      <c r="J78" s="146"/>
      <c r="K78" s="146"/>
      <c r="L78" s="151"/>
    </row>
    <row r="79" spans="3:12" outlineLevel="1" x14ac:dyDescent="0.2">
      <c r="C79" s="133" t="s">
        <v>194</v>
      </c>
      <c r="D79" s="130"/>
      <c r="E79" s="156">
        <v>46203</v>
      </c>
      <c r="G79" s="124" t="s">
        <v>247</v>
      </c>
      <c r="H79" s="135"/>
      <c r="I79" s="124" t="s">
        <v>195</v>
      </c>
      <c r="L79" s="151"/>
    </row>
    <row r="80" spans="3:12" outlineLevel="1" x14ac:dyDescent="0.2">
      <c r="C80" s="133"/>
      <c r="D80" s="130"/>
      <c r="E80" s="157"/>
      <c r="H80" s="135"/>
      <c r="L80" s="151"/>
    </row>
    <row r="81" spans="3:12" outlineLevel="1" x14ac:dyDescent="0.2">
      <c r="C81" s="158" t="s">
        <v>47</v>
      </c>
      <c r="D81" s="128" t="s">
        <v>112</v>
      </c>
      <c r="E81" s="134">
        <v>11</v>
      </c>
      <c r="H81" s="135"/>
      <c r="L81" s="151"/>
    </row>
    <row r="82" spans="3:12" outlineLevel="1" x14ac:dyDescent="0.2">
      <c r="C82" s="133" t="s">
        <v>71</v>
      </c>
      <c r="D82" s="130" t="s">
        <v>9</v>
      </c>
      <c r="E82" s="156">
        <v>46204</v>
      </c>
      <c r="G82" s="124" t="s">
        <v>247</v>
      </c>
      <c r="H82" s="135"/>
      <c r="L82" s="151"/>
    </row>
    <row r="83" spans="3:12" outlineLevel="1" x14ac:dyDescent="0.2">
      <c r="C83" s="133" t="s">
        <v>196</v>
      </c>
      <c r="D83" s="130" t="s">
        <v>9</v>
      </c>
      <c r="E83" s="156">
        <v>47208</v>
      </c>
      <c r="H83" s="135"/>
      <c r="I83" s="124" t="s">
        <v>387</v>
      </c>
      <c r="L83" s="151"/>
    </row>
    <row r="84" spans="3:12" outlineLevel="1" x14ac:dyDescent="0.2">
      <c r="C84" s="133" t="s">
        <v>158</v>
      </c>
      <c r="D84" s="130" t="s">
        <v>16</v>
      </c>
      <c r="E84" s="136">
        <v>3</v>
      </c>
      <c r="H84" s="135"/>
      <c r="L84" s="151"/>
    </row>
    <row r="85" spans="3:12" outlineLevel="1" x14ac:dyDescent="0.2">
      <c r="C85" s="133" t="s">
        <v>199</v>
      </c>
      <c r="D85" s="130" t="s">
        <v>200</v>
      </c>
      <c r="E85" s="156">
        <v>46568</v>
      </c>
      <c r="F85" s="136">
        <v>6</v>
      </c>
      <c r="G85" s="124" t="s">
        <v>240</v>
      </c>
      <c r="H85" s="135"/>
      <c r="I85" s="124" t="s">
        <v>300</v>
      </c>
      <c r="L85" s="151"/>
    </row>
    <row r="86" spans="3:12" outlineLevel="1" x14ac:dyDescent="0.2">
      <c r="C86" s="133" t="s">
        <v>201</v>
      </c>
      <c r="D86" s="130" t="s">
        <v>200</v>
      </c>
      <c r="E86" s="156">
        <v>46660</v>
      </c>
      <c r="F86" s="136">
        <v>22</v>
      </c>
      <c r="G86" s="124" t="s">
        <v>240</v>
      </c>
      <c r="H86" s="135"/>
      <c r="L86" s="151"/>
    </row>
    <row r="87" spans="3:12" outlineLevel="1" x14ac:dyDescent="0.2">
      <c r="C87" s="133" t="s">
        <v>202</v>
      </c>
      <c r="D87" s="130" t="s">
        <v>200</v>
      </c>
      <c r="E87" s="156">
        <v>46752</v>
      </c>
      <c r="F87" s="136">
        <v>30</v>
      </c>
      <c r="G87" s="124" t="s">
        <v>240</v>
      </c>
      <c r="H87" s="135"/>
      <c r="L87" s="151"/>
    </row>
    <row r="88" spans="3:12" outlineLevel="1" x14ac:dyDescent="0.2">
      <c r="C88" s="133" t="s">
        <v>203</v>
      </c>
      <c r="D88" s="130" t="s">
        <v>200</v>
      </c>
      <c r="E88" s="156">
        <v>46843</v>
      </c>
      <c r="F88" s="136">
        <v>37</v>
      </c>
      <c r="G88" s="124" t="s">
        <v>240</v>
      </c>
      <c r="H88" s="135"/>
      <c r="L88" s="151"/>
    </row>
    <row r="89" spans="3:12" outlineLevel="1" x14ac:dyDescent="0.2">
      <c r="C89" s="133" t="s">
        <v>204</v>
      </c>
      <c r="D89" s="130" t="s">
        <v>200</v>
      </c>
      <c r="E89" s="156">
        <v>46934</v>
      </c>
      <c r="F89" s="136">
        <v>60</v>
      </c>
      <c r="G89" s="124" t="s">
        <v>240</v>
      </c>
      <c r="H89" s="135"/>
      <c r="L89" s="151"/>
    </row>
    <row r="90" spans="3:12" outlineLevel="1" x14ac:dyDescent="0.2">
      <c r="C90" s="133" t="s">
        <v>205</v>
      </c>
      <c r="D90" s="130" t="s">
        <v>200</v>
      </c>
      <c r="E90" s="156">
        <v>47026</v>
      </c>
      <c r="F90" s="136">
        <v>85</v>
      </c>
      <c r="G90" s="124" t="s">
        <v>240</v>
      </c>
      <c r="H90" s="135"/>
      <c r="L90" s="151"/>
    </row>
    <row r="91" spans="3:12" outlineLevel="1" x14ac:dyDescent="0.2">
      <c r="C91" s="133" t="s">
        <v>206</v>
      </c>
      <c r="D91" s="130" t="s">
        <v>200</v>
      </c>
      <c r="E91" s="156">
        <v>47118</v>
      </c>
      <c r="F91" s="136">
        <v>97</v>
      </c>
      <c r="G91" s="124" t="s">
        <v>240</v>
      </c>
      <c r="H91" s="135"/>
      <c r="L91" s="151"/>
    </row>
    <row r="92" spans="3:12" outlineLevel="1" x14ac:dyDescent="0.2">
      <c r="C92" s="133" t="s">
        <v>207</v>
      </c>
      <c r="D92" s="130" t="s">
        <v>200</v>
      </c>
      <c r="E92" s="156">
        <v>47208</v>
      </c>
      <c r="F92" s="136">
        <v>103</v>
      </c>
      <c r="G92" s="124" t="s">
        <v>240</v>
      </c>
      <c r="H92" s="135"/>
      <c r="L92" s="151"/>
    </row>
    <row r="93" spans="3:12" outlineLevel="1" x14ac:dyDescent="0.2">
      <c r="C93" s="133" t="s">
        <v>208</v>
      </c>
      <c r="D93" s="130" t="s">
        <v>209</v>
      </c>
      <c r="E93" s="134">
        <v>4</v>
      </c>
      <c r="G93" s="124" t="s">
        <v>240</v>
      </c>
      <c r="H93" s="135"/>
      <c r="I93" s="124" t="s">
        <v>210</v>
      </c>
      <c r="L93" s="151"/>
    </row>
    <row r="94" spans="3:12" outlineLevel="1" x14ac:dyDescent="0.2">
      <c r="H94" s="135"/>
      <c r="L94" s="151"/>
    </row>
    <row r="95" spans="3:12" ht="51" outlineLevel="1" x14ac:dyDescent="0.2">
      <c r="C95" s="133" t="s">
        <v>73</v>
      </c>
      <c r="D95" s="130" t="s">
        <v>14</v>
      </c>
      <c r="E95" s="134">
        <v>30</v>
      </c>
      <c r="G95" s="124" t="s">
        <v>240</v>
      </c>
      <c r="H95" s="135"/>
      <c r="I95" s="126" t="s">
        <v>301</v>
      </c>
      <c r="L95" s="151"/>
    </row>
    <row r="96" spans="3:12" outlineLevel="1" x14ac:dyDescent="0.2">
      <c r="C96" s="133" t="s">
        <v>269</v>
      </c>
      <c r="D96" s="130" t="s">
        <v>14</v>
      </c>
      <c r="E96" s="134">
        <v>20</v>
      </c>
      <c r="H96" s="135"/>
      <c r="I96" s="126"/>
      <c r="L96" s="151"/>
    </row>
    <row r="97" spans="3:12" ht="51" outlineLevel="1" x14ac:dyDescent="0.2">
      <c r="C97" s="133" t="s">
        <v>139</v>
      </c>
      <c r="D97" s="130" t="s">
        <v>9</v>
      </c>
      <c r="E97" s="201">
        <f>Constr_P1</f>
        <v>46568</v>
      </c>
      <c r="H97" s="135"/>
      <c r="I97" s="126" t="s">
        <v>296</v>
      </c>
      <c r="L97" s="151"/>
    </row>
    <row r="98" spans="3:12" outlineLevel="1" x14ac:dyDescent="0.2">
      <c r="C98" s="133" t="s">
        <v>252</v>
      </c>
      <c r="D98" s="130" t="s">
        <v>9</v>
      </c>
      <c r="E98" s="201">
        <f>EDATE(Constr_P8,1*Months_in_Year)</f>
        <v>47573</v>
      </c>
      <c r="H98" s="135"/>
      <c r="L98" s="151"/>
    </row>
    <row r="99" spans="3:12" outlineLevel="1" x14ac:dyDescent="0.2">
      <c r="C99" s="133" t="s">
        <v>268</v>
      </c>
      <c r="D99" s="130" t="s">
        <v>9</v>
      </c>
      <c r="E99" s="201">
        <f>EDATE(Constr_P8,E96*Months_in_Year)</f>
        <v>54513</v>
      </c>
      <c r="H99" s="135"/>
      <c r="I99" s="124" t="s">
        <v>295</v>
      </c>
      <c r="L99" s="151"/>
    </row>
    <row r="100" spans="3:12" outlineLevel="1" x14ac:dyDescent="0.2">
      <c r="C100" s="133" t="s">
        <v>464</v>
      </c>
      <c r="D100" s="130" t="s">
        <v>9</v>
      </c>
      <c r="E100" s="201">
        <v>49034</v>
      </c>
      <c r="G100" s="124" t="s">
        <v>240</v>
      </c>
      <c r="H100" s="135"/>
      <c r="I100" s="124" t="s">
        <v>468</v>
      </c>
      <c r="L100" s="151"/>
    </row>
    <row r="101" spans="3:12" outlineLevel="1" x14ac:dyDescent="0.2">
      <c r="C101" s="133" t="s">
        <v>72</v>
      </c>
      <c r="D101" s="130" t="s">
        <v>9</v>
      </c>
      <c r="E101" s="201">
        <f>EDATE(Constr_P8,E95*Months_in_Year)</f>
        <v>58165</v>
      </c>
      <c r="G101" s="124" t="s">
        <v>364</v>
      </c>
      <c r="H101" s="135"/>
      <c r="I101" s="124" t="s">
        <v>467</v>
      </c>
      <c r="L101" s="151"/>
    </row>
    <row r="102" spans="3:12" outlineLevel="1" x14ac:dyDescent="0.2">
      <c r="C102" s="133"/>
      <c r="H102" s="135"/>
      <c r="L102" s="151"/>
    </row>
    <row r="103" spans="3:12" outlineLevel="1" x14ac:dyDescent="0.2">
      <c r="C103" s="133" t="s">
        <v>450</v>
      </c>
      <c r="D103" s="130" t="s">
        <v>12</v>
      </c>
      <c r="E103" s="311">
        <v>0.5</v>
      </c>
      <c r="H103" s="135"/>
      <c r="I103" s="124" t="s">
        <v>451</v>
      </c>
      <c r="L103" s="151"/>
    </row>
    <row r="104" spans="3:12" outlineLevel="1" x14ac:dyDescent="0.2">
      <c r="C104" s="133" t="s">
        <v>217</v>
      </c>
      <c r="D104" s="130" t="s">
        <v>216</v>
      </c>
      <c r="E104" s="134">
        <v>162</v>
      </c>
      <c r="G104" s="124" t="s">
        <v>364</v>
      </c>
      <c r="H104" s="125">
        <v>13</v>
      </c>
      <c r="I104" s="126"/>
      <c r="L104" s="151"/>
    </row>
    <row r="105" spans="3:12" ht="51" outlineLevel="1" x14ac:dyDescent="0.2">
      <c r="C105" s="133" t="s">
        <v>370</v>
      </c>
      <c r="D105" s="130"/>
      <c r="E105" s="225">
        <v>2.2000000000000002</v>
      </c>
      <c r="G105" s="124" t="s">
        <v>240</v>
      </c>
      <c r="I105" s="126" t="s">
        <v>469</v>
      </c>
      <c r="L105" s="151"/>
    </row>
    <row r="106" spans="3:12" ht="51" outlineLevel="1" x14ac:dyDescent="0.2">
      <c r="C106" s="133" t="s">
        <v>419</v>
      </c>
      <c r="D106" s="130" t="s">
        <v>286</v>
      </c>
      <c r="E106" s="227">
        <f>DC_Cost_per_kW*Units*Inputs_Assumptions!E28*Inputs_Assumptions!E105*E103/Million</f>
        <v>275.31900000000002</v>
      </c>
      <c r="G106" s="124" t="s">
        <v>414</v>
      </c>
      <c r="I106" s="126" t="s">
        <v>455</v>
      </c>
      <c r="L106" s="151"/>
    </row>
    <row r="107" spans="3:12" outlineLevel="1" x14ac:dyDescent="0.2">
      <c r="C107" s="133"/>
      <c r="D107" s="130"/>
      <c r="E107" s="227"/>
      <c r="I107" s="126"/>
      <c r="L107" s="151"/>
    </row>
    <row r="108" spans="3:12" outlineLevel="1" x14ac:dyDescent="0.2">
      <c r="C108" s="133" t="s">
        <v>211</v>
      </c>
      <c r="D108" s="130" t="s">
        <v>216</v>
      </c>
      <c r="E108" s="134">
        <f>E147</f>
        <v>2524</v>
      </c>
      <c r="G108" s="124" t="s">
        <v>364</v>
      </c>
      <c r="H108" s="125" t="s">
        <v>456</v>
      </c>
      <c r="I108" s="124" t="s">
        <v>219</v>
      </c>
      <c r="L108" s="151"/>
    </row>
    <row r="109" spans="3:12" ht="102" outlineLevel="1" x14ac:dyDescent="0.2">
      <c r="C109" s="133" t="s">
        <v>212</v>
      </c>
      <c r="D109" s="130" t="s">
        <v>216</v>
      </c>
      <c r="E109" s="134">
        <f>E148</f>
        <v>550</v>
      </c>
      <c r="G109" s="124" t="s">
        <v>364</v>
      </c>
      <c r="H109" s="125" t="s">
        <v>510</v>
      </c>
      <c r="I109" s="126" t="s">
        <v>629</v>
      </c>
      <c r="L109" s="151"/>
    </row>
    <row r="110" spans="3:12" ht="68" outlineLevel="1" x14ac:dyDescent="0.2">
      <c r="C110" s="133" t="s">
        <v>382</v>
      </c>
      <c r="D110" s="130" t="s">
        <v>12</v>
      </c>
      <c r="E110" s="149">
        <f>E154</f>
        <v>2.5000000000000001E-2</v>
      </c>
      <c r="G110" s="124" t="s">
        <v>260</v>
      </c>
      <c r="I110" s="126" t="s">
        <v>302</v>
      </c>
      <c r="L110" s="151"/>
    </row>
    <row r="111" spans="3:12" outlineLevel="1" x14ac:dyDescent="0.2">
      <c r="C111" s="133"/>
      <c r="D111" s="130"/>
      <c r="I111" s="126"/>
      <c r="L111" s="151"/>
    </row>
    <row r="112" spans="3:12" ht="17" outlineLevel="1" x14ac:dyDescent="0.2">
      <c r="C112" s="133" t="s">
        <v>213</v>
      </c>
      <c r="D112" s="130" t="s">
        <v>280</v>
      </c>
      <c r="E112" s="134">
        <v>9.8000000000000007</v>
      </c>
      <c r="G112" s="124" t="s">
        <v>364</v>
      </c>
      <c r="H112" s="125">
        <v>18</v>
      </c>
      <c r="I112" s="126" t="s">
        <v>220</v>
      </c>
      <c r="L112" s="151"/>
    </row>
    <row r="113" spans="3:12" ht="165" customHeight="1" outlineLevel="1" x14ac:dyDescent="0.2">
      <c r="C113" s="133" t="s">
        <v>214</v>
      </c>
      <c r="D113" s="130" t="s">
        <v>280</v>
      </c>
      <c r="E113" s="225">
        <f>E153</f>
        <v>72</v>
      </c>
      <c r="G113" s="126" t="s">
        <v>224</v>
      </c>
      <c r="H113" s="125" t="s">
        <v>218</v>
      </c>
      <c r="I113" s="126" t="s">
        <v>461</v>
      </c>
      <c r="J113" s="124" t="s">
        <v>223</v>
      </c>
      <c r="L113" s="151"/>
    </row>
    <row r="114" spans="3:12" ht="68" outlineLevel="1" x14ac:dyDescent="0.2">
      <c r="C114" s="133" t="s">
        <v>215</v>
      </c>
      <c r="D114" s="130" t="s">
        <v>280</v>
      </c>
      <c r="E114" s="225">
        <f>E152</f>
        <v>41</v>
      </c>
      <c r="G114" s="124" t="s">
        <v>364</v>
      </c>
      <c r="H114" s="125">
        <v>18</v>
      </c>
      <c r="I114" s="126" t="s">
        <v>303</v>
      </c>
      <c r="L114" s="151"/>
    </row>
    <row r="115" spans="3:12" ht="66.75" customHeight="1" outlineLevel="1" x14ac:dyDescent="0.2">
      <c r="C115" s="133" t="s">
        <v>228</v>
      </c>
      <c r="D115" s="130" t="s">
        <v>280</v>
      </c>
      <c r="E115" s="136">
        <f>4</f>
        <v>4</v>
      </c>
      <c r="G115" s="124" t="s">
        <v>240</v>
      </c>
      <c r="I115" s="126" t="s">
        <v>458</v>
      </c>
      <c r="J115" s="124" t="s">
        <v>221</v>
      </c>
      <c r="K115" s="124" t="s">
        <v>222</v>
      </c>
      <c r="L115" s="151"/>
    </row>
    <row r="116" spans="3:12" ht="204" outlineLevel="1" x14ac:dyDescent="0.2">
      <c r="C116" s="133" t="s">
        <v>242</v>
      </c>
      <c r="D116" s="130" t="s">
        <v>243</v>
      </c>
      <c r="E116" s="225">
        <v>2</v>
      </c>
      <c r="G116" s="124" t="s">
        <v>244</v>
      </c>
      <c r="I116" s="126" t="s">
        <v>466</v>
      </c>
      <c r="J116" s="124" t="s">
        <v>245</v>
      </c>
      <c r="L116" s="151"/>
    </row>
    <row r="117" spans="3:12" ht="34" outlineLevel="1" x14ac:dyDescent="0.2">
      <c r="C117" s="133" t="s">
        <v>361</v>
      </c>
      <c r="D117" s="130" t="s">
        <v>362</v>
      </c>
      <c r="E117" s="134">
        <v>255</v>
      </c>
      <c r="G117" s="124" t="s">
        <v>364</v>
      </c>
      <c r="H117" s="125">
        <v>19</v>
      </c>
      <c r="I117" s="126" t="s">
        <v>363</v>
      </c>
      <c r="L117" s="279"/>
    </row>
    <row r="118" spans="3:12" outlineLevel="1" x14ac:dyDescent="0.2">
      <c r="C118" s="133"/>
      <c r="D118" s="130"/>
      <c r="L118" s="151"/>
    </row>
    <row r="119" spans="3:12" outlineLevel="1" x14ac:dyDescent="0.2">
      <c r="C119" s="133" t="s">
        <v>333</v>
      </c>
      <c r="D119" s="130" t="s">
        <v>243</v>
      </c>
      <c r="E119" s="225">
        <f>Electr_Rate</f>
        <v>94.118399999999994</v>
      </c>
      <c r="G119" s="124" t="s">
        <v>270</v>
      </c>
      <c r="H119" s="125">
        <v>2</v>
      </c>
      <c r="I119" s="124" t="s">
        <v>332</v>
      </c>
      <c r="L119" s="151"/>
    </row>
    <row r="120" spans="3:12" ht="102" outlineLevel="1" x14ac:dyDescent="0.2">
      <c r="C120" s="133" t="s">
        <v>334</v>
      </c>
      <c r="D120" s="130" t="s">
        <v>243</v>
      </c>
      <c r="E120" s="134">
        <f>57.8</f>
        <v>57.8</v>
      </c>
      <c r="G120" s="124" t="s">
        <v>330</v>
      </c>
      <c r="I120" s="126" t="s">
        <v>463</v>
      </c>
      <c r="J120" s="124" t="s">
        <v>331</v>
      </c>
      <c r="L120" s="151"/>
    </row>
    <row r="121" spans="3:12" ht="119" outlineLevel="1" x14ac:dyDescent="0.2">
      <c r="C121" s="133" t="s">
        <v>335</v>
      </c>
      <c r="D121" s="130"/>
      <c r="E121" s="127">
        <v>0.2</v>
      </c>
      <c r="G121" s="124" t="s">
        <v>240</v>
      </c>
      <c r="I121" s="126" t="s">
        <v>462</v>
      </c>
      <c r="L121" s="151"/>
    </row>
    <row r="122" spans="3:12" outlineLevel="1" x14ac:dyDescent="0.2">
      <c r="C122" s="133"/>
      <c r="D122" s="130"/>
      <c r="E122" s="125"/>
      <c r="L122" s="151"/>
    </row>
    <row r="123" spans="3:12" ht="289" outlineLevel="1" x14ac:dyDescent="0.2">
      <c r="C123" s="133" t="s">
        <v>465</v>
      </c>
      <c r="D123" s="130"/>
      <c r="E123" s="315" cm="1">
        <f t="array" ref="E123">_xlfn.IFS(Terminal_Exit_Date&lt;=EDATE(Debt_Refinance_Date,2*Months_in_Year),13,Terminal_Exit_Date&lt;=EDATE(Debt_Refinance_Date,4*Months_in_Year),12,Terminal_Exit_Date&lt;=EDATE(Debt_Refinance_Date,9*Months_in_Year),11,Terminal_Exit_Date&lt;=EDATE(Debt_Refinance_Date,14*Months_in_Year),9,Terminal_Exit_Date&lt;=EDATE(Debt_Refinance_Date,19*Months_in_Year),6,"TRUE",0)</f>
        <v>12</v>
      </c>
      <c r="G123" s="124" t="s">
        <v>240</v>
      </c>
      <c r="I123" s="126" t="s">
        <v>630</v>
      </c>
      <c r="L123" s="151"/>
    </row>
    <row r="124" spans="3:12" outlineLevel="1" x14ac:dyDescent="0.2">
      <c r="C124" s="133"/>
      <c r="D124" s="130"/>
      <c r="E124" s="125"/>
      <c r="L124" s="151"/>
    </row>
    <row r="125" spans="3:12" outlineLevel="1" x14ac:dyDescent="0.2">
      <c r="C125" s="133"/>
      <c r="D125" s="130"/>
      <c r="E125" s="125"/>
      <c r="L125" s="151"/>
    </row>
    <row r="126" spans="3:12" ht="18" customHeight="1" outlineLevel="1" x14ac:dyDescent="0.2">
      <c r="C126" s="124" t="s">
        <v>226</v>
      </c>
      <c r="D126" s="128" t="s">
        <v>12</v>
      </c>
      <c r="E126" s="127">
        <f>Electr_Rate_Escalation</f>
        <v>2.5000000000000001E-2</v>
      </c>
      <c r="G126" s="124" t="s">
        <v>240</v>
      </c>
      <c r="I126" s="126" t="s">
        <v>227</v>
      </c>
    </row>
    <row r="127" spans="3:12" ht="18" customHeight="1" outlineLevel="1" x14ac:dyDescent="0.2">
      <c r="C127" s="124" t="s">
        <v>229</v>
      </c>
      <c r="D127" s="128" t="s">
        <v>12</v>
      </c>
      <c r="E127" s="127">
        <v>2.5000000000000001E-2</v>
      </c>
      <c r="G127" s="124" t="s">
        <v>240</v>
      </c>
      <c r="I127" s="126" t="s">
        <v>246</v>
      </c>
    </row>
    <row r="128" spans="3:12" ht="18" customHeight="1" outlineLevel="1" x14ac:dyDescent="0.2">
      <c r="C128" s="124" t="s">
        <v>230</v>
      </c>
      <c r="D128" s="128" t="s">
        <v>12</v>
      </c>
      <c r="E128" s="127">
        <v>2.8500000000000001E-2</v>
      </c>
      <c r="G128" s="124" t="s">
        <v>240</v>
      </c>
      <c r="I128" s="126" t="s">
        <v>231</v>
      </c>
    </row>
    <row r="129" spans="2:11" ht="18" customHeight="1" outlineLevel="1" x14ac:dyDescent="0.2">
      <c r="C129" s="124" t="s">
        <v>459</v>
      </c>
      <c r="D129" s="128" t="s">
        <v>12</v>
      </c>
      <c r="E129" s="127">
        <v>0.04</v>
      </c>
      <c r="G129" s="124" t="s">
        <v>240</v>
      </c>
      <c r="I129" s="126" t="s">
        <v>460</v>
      </c>
    </row>
    <row r="130" spans="2:11" outlineLevel="1" x14ac:dyDescent="0.2">
      <c r="C130" s="124" t="s">
        <v>412</v>
      </c>
      <c r="D130" s="128"/>
      <c r="E130" s="170">
        <f>1-((1-E129)^(1/4))</f>
        <v>1.015359923204695E-2</v>
      </c>
    </row>
    <row r="131" spans="2:11" x14ac:dyDescent="0.2">
      <c r="C131" s="124" t="s">
        <v>437</v>
      </c>
      <c r="D131" s="128" t="s">
        <v>12</v>
      </c>
      <c r="E131" s="127">
        <v>0.01</v>
      </c>
      <c r="G131" s="124" t="s">
        <v>240</v>
      </c>
    </row>
    <row r="132" spans="2:11" outlineLevel="1" x14ac:dyDescent="0.2">
      <c r="C132" s="124" t="s">
        <v>412</v>
      </c>
      <c r="D132" s="128"/>
      <c r="E132" s="170">
        <f>1-((1-E131)^(1/4))</f>
        <v>2.509430066318874E-3</v>
      </c>
    </row>
    <row r="133" spans="2:11" outlineLevel="1" x14ac:dyDescent="0.2">
      <c r="D133" s="125"/>
    </row>
    <row r="134" spans="2:11" ht="68" outlineLevel="1" x14ac:dyDescent="0.2">
      <c r="C134" s="124" t="s">
        <v>156</v>
      </c>
      <c r="D134" s="128" t="s">
        <v>12</v>
      </c>
      <c r="E134" s="127">
        <v>0.25</v>
      </c>
      <c r="G134" s="124" t="s">
        <v>240</v>
      </c>
      <c r="I134" s="126" t="s">
        <v>383</v>
      </c>
    </row>
    <row r="135" spans="2:11" ht="51" outlineLevel="1" x14ac:dyDescent="0.2">
      <c r="C135" s="124" t="s">
        <v>109</v>
      </c>
      <c r="D135" s="128" t="s">
        <v>12</v>
      </c>
      <c r="E135" s="127">
        <v>0.06</v>
      </c>
      <c r="G135" s="124" t="s">
        <v>241</v>
      </c>
      <c r="I135" s="126" t="s">
        <v>271</v>
      </c>
    </row>
    <row r="136" spans="2:11" outlineLevel="1" x14ac:dyDescent="0.2">
      <c r="C136" s="124" t="s">
        <v>358</v>
      </c>
      <c r="D136" s="128"/>
      <c r="E136" s="170">
        <f>1-((1-Depr_Rate_Annual)^(1/4))</f>
        <v>1.5349822788181422E-2</v>
      </c>
      <c r="I136" s="126"/>
    </row>
    <row r="137" spans="2:11" ht="17" outlineLevel="1" x14ac:dyDescent="0.2">
      <c r="C137" s="124" t="s">
        <v>359</v>
      </c>
      <c r="D137" s="128" t="s">
        <v>12</v>
      </c>
      <c r="E137" s="170">
        <f>1/Debt_Tenor</f>
        <v>5.2631578947368418E-2</v>
      </c>
      <c r="G137" s="124" t="s">
        <v>240</v>
      </c>
      <c r="I137" s="126" t="s">
        <v>360</v>
      </c>
    </row>
    <row r="138" spans="2:11" x14ac:dyDescent="0.2">
      <c r="F138" s="130"/>
    </row>
    <row r="139" spans="2:11" x14ac:dyDescent="0.2">
      <c r="B139" s="140" t="s">
        <v>26</v>
      </c>
      <c r="C139" s="141"/>
      <c r="D139" s="142" t="s">
        <v>7</v>
      </c>
      <c r="E139" s="142"/>
      <c r="F139" s="142"/>
      <c r="G139" s="142" t="s">
        <v>160</v>
      </c>
      <c r="H139" s="142" t="s">
        <v>162</v>
      </c>
      <c r="I139" s="143" t="s">
        <v>161</v>
      </c>
      <c r="J139" s="142"/>
      <c r="K139" s="144"/>
    </row>
    <row r="140" spans="2:11" outlineLevel="1" x14ac:dyDescent="0.2"/>
    <row r="141" spans="2:11" outlineLevel="1" x14ac:dyDescent="0.2">
      <c r="C141" s="133" t="s">
        <v>82</v>
      </c>
      <c r="D141" s="125" t="s">
        <v>8</v>
      </c>
      <c r="E141" s="134" t="s">
        <v>485</v>
      </c>
    </row>
    <row r="142" spans="2:11" outlineLevel="1" x14ac:dyDescent="0.2"/>
    <row r="143" spans="2:11" outlineLevel="1" x14ac:dyDescent="0.2">
      <c r="C143" s="159"/>
      <c r="D143" s="159"/>
      <c r="E143" s="159"/>
      <c r="F143" s="160" t="s">
        <v>151</v>
      </c>
      <c r="G143" s="160"/>
      <c r="H143" s="160"/>
      <c r="I143" s="160"/>
    </row>
    <row r="144" spans="2:11" ht="17" outlineLevel="1" x14ac:dyDescent="0.2">
      <c r="C144" s="146" t="s">
        <v>115</v>
      </c>
      <c r="D144" s="161" t="str">
        <f>$D$4</f>
        <v>Units:</v>
      </c>
      <c r="E144" s="147" t="s">
        <v>81</v>
      </c>
      <c r="F144" s="147" t="s">
        <v>485</v>
      </c>
      <c r="G144" s="202" t="s">
        <v>486</v>
      </c>
      <c r="H144" s="281" t="s">
        <v>487</v>
      </c>
      <c r="I144" s="281" t="s">
        <v>488</v>
      </c>
    </row>
    <row r="145" spans="2:13" outlineLevel="1" x14ac:dyDescent="0.2">
      <c r="C145" s="158" t="s">
        <v>150</v>
      </c>
      <c r="D145" s="128" t="s">
        <v>98</v>
      </c>
      <c r="E145" s="205">
        <f t="shared" ref="E145:E157" si="2">INDEX(F145:I145,1,MATCH(Scenario,$F$144:$I$144,0))</f>
        <v>94.118399999999994</v>
      </c>
      <c r="F145" s="225">
        <v>94.118399999999994</v>
      </c>
      <c r="G145" s="225">
        <v>94.118399999999994</v>
      </c>
      <c r="H145" s="225">
        <v>94.118399999999994</v>
      </c>
      <c r="I145" s="225">
        <v>94.118399999999994</v>
      </c>
    </row>
    <row r="146" spans="2:13" outlineLevel="1" x14ac:dyDescent="0.2">
      <c r="C146" s="158" t="s">
        <v>99</v>
      </c>
      <c r="D146" s="128" t="s">
        <v>8</v>
      </c>
      <c r="E146" s="205" t="str">
        <f t="shared" si="2"/>
        <v>P90</v>
      </c>
      <c r="F146" s="163" t="s">
        <v>490</v>
      </c>
      <c r="G146" s="163" t="s">
        <v>489</v>
      </c>
      <c r="H146" s="163" t="s">
        <v>490</v>
      </c>
      <c r="I146" s="163" t="s">
        <v>491</v>
      </c>
    </row>
    <row r="147" spans="2:13" outlineLevel="1" x14ac:dyDescent="0.2">
      <c r="C147" s="158" t="s">
        <v>277</v>
      </c>
      <c r="D147" s="130" t="s">
        <v>216</v>
      </c>
      <c r="E147" s="205">
        <f t="shared" si="2"/>
        <v>2524</v>
      </c>
      <c r="F147" s="163">
        <v>2524</v>
      </c>
      <c r="G147" s="163">
        <v>2524</v>
      </c>
      <c r="H147" s="163">
        <v>2524</v>
      </c>
      <c r="I147" s="163">
        <v>2524</v>
      </c>
    </row>
    <row r="148" spans="2:13" outlineLevel="1" x14ac:dyDescent="0.2">
      <c r="C148" s="158" t="s">
        <v>278</v>
      </c>
      <c r="D148" s="130" t="s">
        <v>216</v>
      </c>
      <c r="E148" s="205">
        <f t="shared" si="2"/>
        <v>550</v>
      </c>
      <c r="F148" s="163">
        <v>550</v>
      </c>
      <c r="G148" s="163">
        <v>550</v>
      </c>
      <c r="H148" s="163">
        <v>550</v>
      </c>
      <c r="I148" s="163">
        <v>550</v>
      </c>
    </row>
    <row r="149" spans="2:13" outlineLevel="1" x14ac:dyDescent="0.2">
      <c r="C149" s="158" t="s">
        <v>503</v>
      </c>
      <c r="D149" s="128" t="s">
        <v>12</v>
      </c>
      <c r="E149" s="203">
        <f t="shared" si="2"/>
        <v>5.8999999999999997E-2</v>
      </c>
      <c r="F149" s="169">
        <v>5.8999999999999997E-2</v>
      </c>
      <c r="G149" s="169">
        <v>5.8999999999999997E-2</v>
      </c>
      <c r="H149" s="169">
        <v>5.8999999999999997E-2</v>
      </c>
      <c r="I149" s="169">
        <v>5.8999999999999997E-2</v>
      </c>
    </row>
    <row r="150" spans="2:13" outlineLevel="1" x14ac:dyDescent="0.2">
      <c r="C150" s="158" t="s">
        <v>279</v>
      </c>
      <c r="D150" s="128" t="s">
        <v>12</v>
      </c>
      <c r="E150" s="203">
        <f t="shared" si="2"/>
        <v>6.6000000000000003E-2</v>
      </c>
      <c r="F150" s="169">
        <v>6.6000000000000003E-2</v>
      </c>
      <c r="G150" s="169">
        <v>6.6000000000000003E-2</v>
      </c>
      <c r="H150" s="169">
        <v>6.6000000000000003E-2</v>
      </c>
      <c r="I150" s="169">
        <v>6.6000000000000003E-2</v>
      </c>
    </row>
    <row r="151" spans="2:13" outlineLevel="1" x14ac:dyDescent="0.2">
      <c r="C151" s="158" t="s">
        <v>511</v>
      </c>
      <c r="D151" s="128" t="s">
        <v>12</v>
      </c>
      <c r="E151" s="203">
        <f t="shared" si="2"/>
        <v>5.8500000000000003E-2</v>
      </c>
      <c r="F151" s="169">
        <v>5.8500000000000003E-2</v>
      </c>
      <c r="G151" s="169">
        <v>5.8500000000000003E-2</v>
      </c>
      <c r="H151" s="169">
        <v>5.8500000000000003E-2</v>
      </c>
      <c r="I151" s="169">
        <v>5.8500000000000003E-2</v>
      </c>
    </row>
    <row r="152" spans="2:13" outlineLevel="1" x14ac:dyDescent="0.2">
      <c r="C152" s="158" t="s">
        <v>281</v>
      </c>
      <c r="D152" s="128" t="s">
        <v>118</v>
      </c>
      <c r="E152" s="205">
        <f t="shared" si="2"/>
        <v>41</v>
      </c>
      <c r="F152" s="134">
        <v>41</v>
      </c>
      <c r="G152" s="134">
        <v>41</v>
      </c>
      <c r="H152" s="134">
        <v>41</v>
      </c>
      <c r="I152" s="134">
        <v>41</v>
      </c>
    </row>
    <row r="153" spans="2:13" outlineLevel="1" x14ac:dyDescent="0.2">
      <c r="C153" s="158" t="s">
        <v>282</v>
      </c>
      <c r="D153" s="128" t="s">
        <v>118</v>
      </c>
      <c r="E153" s="205">
        <f t="shared" si="2"/>
        <v>72</v>
      </c>
      <c r="F153" s="134">
        <v>72</v>
      </c>
      <c r="G153" s="134">
        <v>72</v>
      </c>
      <c r="H153" s="134">
        <v>72</v>
      </c>
      <c r="I153" s="134">
        <v>72</v>
      </c>
    </row>
    <row r="154" spans="2:13" outlineLevel="1" x14ac:dyDescent="0.2">
      <c r="C154" s="158" t="s">
        <v>384</v>
      </c>
      <c r="D154" s="128" t="s">
        <v>12</v>
      </c>
      <c r="E154" s="203">
        <f t="shared" si="2"/>
        <v>2.5000000000000001E-2</v>
      </c>
      <c r="F154" s="162">
        <v>2.5000000000000001E-2</v>
      </c>
      <c r="G154" s="162">
        <v>2.5000000000000001E-2</v>
      </c>
      <c r="H154" s="162">
        <v>2.5000000000000001E-2</v>
      </c>
      <c r="I154" s="162">
        <v>2.5000000000000001E-2</v>
      </c>
    </row>
    <row r="155" spans="2:13" outlineLevel="1" x14ac:dyDescent="0.2">
      <c r="C155" s="158" t="s">
        <v>512</v>
      </c>
      <c r="D155" s="128"/>
      <c r="E155" s="203">
        <f t="shared" si="2"/>
        <v>2E-3</v>
      </c>
      <c r="F155" s="333">
        <v>2E-3</v>
      </c>
      <c r="G155" s="333">
        <v>2E-3</v>
      </c>
      <c r="H155" s="333">
        <v>2E-3</v>
      </c>
      <c r="I155" s="333">
        <v>2E-3</v>
      </c>
    </row>
    <row r="156" spans="2:13" outlineLevel="1" x14ac:dyDescent="0.2">
      <c r="C156" s="158" t="s">
        <v>521</v>
      </c>
      <c r="D156" s="128"/>
      <c r="E156" s="334">
        <f t="shared" si="2"/>
        <v>0.65</v>
      </c>
      <c r="F156" s="335">
        <v>0.65</v>
      </c>
      <c r="G156" s="335">
        <v>0.65</v>
      </c>
      <c r="H156" s="335">
        <v>0.65</v>
      </c>
      <c r="I156" s="335">
        <v>0.65</v>
      </c>
    </row>
    <row r="157" spans="2:13" outlineLevel="1" x14ac:dyDescent="0.2">
      <c r="C157" s="158" t="s">
        <v>97</v>
      </c>
      <c r="D157" s="128" t="s">
        <v>12</v>
      </c>
      <c r="E157" s="203">
        <f t="shared" si="2"/>
        <v>2.5000000000000001E-2</v>
      </c>
      <c r="F157" s="162">
        <v>2.5000000000000001E-2</v>
      </c>
      <c r="G157" s="162">
        <v>0.02</v>
      </c>
      <c r="H157" s="162">
        <v>0.02</v>
      </c>
      <c r="I157" s="162">
        <v>0.02</v>
      </c>
    </row>
    <row r="158" spans="2:13" x14ac:dyDescent="0.2">
      <c r="C158" s="164"/>
      <c r="D158" s="164"/>
      <c r="E158" s="164"/>
      <c r="F158" s="164"/>
      <c r="I158" s="164"/>
      <c r="J158" s="164"/>
      <c r="K158" s="130"/>
      <c r="L158" s="165"/>
    </row>
    <row r="159" spans="2:13" x14ac:dyDescent="0.2">
      <c r="B159" s="140" t="s">
        <v>59</v>
      </c>
      <c r="C159" s="141"/>
      <c r="D159" s="142" t="str">
        <f>$D$4</f>
        <v>Units:</v>
      </c>
      <c r="E159" s="142"/>
      <c r="F159" s="142"/>
      <c r="G159" s="142" t="s">
        <v>160</v>
      </c>
      <c r="H159" s="142" t="s">
        <v>162</v>
      </c>
      <c r="I159" s="143" t="s">
        <v>161</v>
      </c>
      <c r="J159" s="144"/>
      <c r="K159" s="142"/>
      <c r="L159" s="138"/>
      <c r="M159" s="138"/>
    </row>
    <row r="160" spans="2:13" outlineLevel="1" x14ac:dyDescent="0.2">
      <c r="B160" s="138"/>
      <c r="C160" s="138"/>
      <c r="D160" s="138"/>
      <c r="E160" s="138"/>
      <c r="F160" s="138"/>
      <c r="G160" s="138"/>
      <c r="H160" s="139"/>
      <c r="I160" s="138"/>
      <c r="J160" s="138"/>
      <c r="K160" s="138"/>
    </row>
    <row r="161" spans="3:11" outlineLevel="1" x14ac:dyDescent="0.2">
      <c r="C161" s="146" t="s">
        <v>13</v>
      </c>
      <c r="D161" s="146"/>
      <c r="E161" s="166"/>
      <c r="F161" s="166"/>
      <c r="G161" s="166"/>
      <c r="H161" s="167"/>
      <c r="I161" s="166"/>
      <c r="J161" s="166"/>
      <c r="K161" s="166"/>
    </row>
    <row r="162" spans="3:11" outlineLevel="1" x14ac:dyDescent="0.2">
      <c r="C162" s="133" t="s">
        <v>69</v>
      </c>
      <c r="D162" s="130" t="s">
        <v>12</v>
      </c>
      <c r="E162" s="162">
        <f>E156</f>
        <v>0.65</v>
      </c>
      <c r="F162" s="130"/>
      <c r="G162" s="124" t="s">
        <v>240</v>
      </c>
      <c r="I162" s="124" t="s">
        <v>249</v>
      </c>
    </row>
    <row r="163" spans="3:11" ht="119" outlineLevel="1" x14ac:dyDescent="0.2">
      <c r="C163" s="133" t="s">
        <v>33</v>
      </c>
      <c r="D163" s="130" t="s">
        <v>12</v>
      </c>
      <c r="E163" s="162">
        <f>E151</f>
        <v>5.8500000000000003E-2</v>
      </c>
      <c r="F163" s="130"/>
      <c r="G163" s="124" t="s">
        <v>240</v>
      </c>
      <c r="I163" s="126" t="s">
        <v>452</v>
      </c>
    </row>
    <row r="164" spans="3:11" outlineLevel="1" x14ac:dyDescent="0.2">
      <c r="C164" s="124" t="s">
        <v>293</v>
      </c>
      <c r="D164" s="130" t="s">
        <v>12</v>
      </c>
      <c r="E164" s="170">
        <f>((1+Constr_Interest_Rate)^(1/4))-1</f>
        <v>1.4314690718795875E-2</v>
      </c>
      <c r="I164" s="124" t="s">
        <v>290</v>
      </c>
    </row>
    <row r="165" spans="3:11" outlineLevel="1" x14ac:dyDescent="0.2">
      <c r="C165" s="133" t="s">
        <v>113</v>
      </c>
      <c r="D165" s="130" t="s">
        <v>12</v>
      </c>
      <c r="E165" s="168">
        <f ca="1">(E204+E207)*Constr_Debt_Pct</f>
        <v>1621.5196052939086</v>
      </c>
      <c r="F165" s="130"/>
    </row>
    <row r="166" spans="3:11" outlineLevel="1" x14ac:dyDescent="0.2"/>
    <row r="167" spans="3:11" ht="34" outlineLevel="1" x14ac:dyDescent="0.2">
      <c r="C167" s="133" t="s">
        <v>60</v>
      </c>
      <c r="D167" s="130" t="s">
        <v>12</v>
      </c>
      <c r="E167" s="169">
        <v>1.2500000000000001E-2</v>
      </c>
      <c r="F167" s="130"/>
      <c r="G167" s="124" t="s">
        <v>240</v>
      </c>
      <c r="I167" s="126" t="s">
        <v>250</v>
      </c>
    </row>
    <row r="168" spans="3:11" ht="34" outlineLevel="1" x14ac:dyDescent="0.2">
      <c r="C168" s="133" t="s">
        <v>292</v>
      </c>
      <c r="D168" s="130" t="s">
        <v>12</v>
      </c>
      <c r="E168" s="169">
        <v>0.01</v>
      </c>
      <c r="F168" s="130"/>
      <c r="G168" s="124" t="s">
        <v>240</v>
      </c>
      <c r="I168" s="126" t="s">
        <v>251</v>
      </c>
    </row>
    <row r="169" spans="3:11" outlineLevel="1" x14ac:dyDescent="0.2">
      <c r="C169" s="124" t="s">
        <v>293</v>
      </c>
      <c r="D169" s="130"/>
      <c r="E169" s="170">
        <f>((1+Loan_Cmt_Fee_Pct)^(1/4))-1</f>
        <v>2.4906793143211203E-3</v>
      </c>
      <c r="F169" s="130"/>
      <c r="I169" s="126"/>
    </row>
    <row r="170" spans="3:11" ht="17" outlineLevel="1" x14ac:dyDescent="0.2">
      <c r="C170" s="133" t="s">
        <v>404</v>
      </c>
      <c r="D170" s="130" t="s">
        <v>12</v>
      </c>
      <c r="E170" s="169">
        <v>0.01</v>
      </c>
      <c r="F170" s="130"/>
      <c r="G170" s="124" t="s">
        <v>240</v>
      </c>
      <c r="I170" s="126" t="s">
        <v>405</v>
      </c>
    </row>
    <row r="171" spans="3:11" outlineLevel="1" x14ac:dyDescent="0.2">
      <c r="C171" s="124" t="s">
        <v>293</v>
      </c>
      <c r="D171" s="130"/>
      <c r="E171" s="170">
        <f>((1+Loan_Cmt_Fee_Pct)^(1/4))-1</f>
        <v>2.4906793143211203E-3</v>
      </c>
      <c r="F171" s="130"/>
      <c r="I171" s="126"/>
    </row>
    <row r="172" spans="3:11" outlineLevel="1" x14ac:dyDescent="0.2">
      <c r="I172" s="126"/>
      <c r="K172" s="130"/>
    </row>
    <row r="173" spans="3:11" x14ac:dyDescent="0.2">
      <c r="C173" s="146" t="s">
        <v>146</v>
      </c>
      <c r="D173" s="166"/>
      <c r="E173" s="166"/>
      <c r="F173" s="166"/>
      <c r="G173" s="166"/>
      <c r="H173" s="167"/>
      <c r="I173" s="199"/>
      <c r="J173" s="166"/>
      <c r="K173" s="166"/>
    </row>
    <row r="174" spans="3:11" ht="255" x14ac:dyDescent="0.2">
      <c r="C174" s="158" t="s">
        <v>89</v>
      </c>
      <c r="D174" s="128" t="s">
        <v>14</v>
      </c>
      <c r="E174" s="134">
        <v>19</v>
      </c>
      <c r="G174" s="158"/>
      <c r="H174" s="139"/>
      <c r="I174" s="126" t="s">
        <v>254</v>
      </c>
      <c r="J174" s="170"/>
      <c r="K174" s="130"/>
    </row>
    <row r="175" spans="3:11" x14ac:dyDescent="0.2">
      <c r="G175" s="158"/>
      <c r="H175" s="139"/>
      <c r="I175" s="128"/>
      <c r="J175" s="170"/>
      <c r="K175" s="130"/>
    </row>
    <row r="176" spans="3:11" ht="68" x14ac:dyDescent="0.2">
      <c r="C176" s="158" t="s">
        <v>87</v>
      </c>
      <c r="D176" s="128" t="s">
        <v>12</v>
      </c>
      <c r="E176" s="171">
        <v>0.6</v>
      </c>
      <c r="G176" s="158" t="s">
        <v>240</v>
      </c>
      <c r="H176" s="139"/>
      <c r="I176" s="126" t="s">
        <v>255</v>
      </c>
      <c r="J176" s="170"/>
      <c r="K176" s="130"/>
    </row>
    <row r="177" spans="3:11" ht="34" x14ac:dyDescent="0.2">
      <c r="C177" s="158" t="s">
        <v>88</v>
      </c>
      <c r="D177" s="128" t="s">
        <v>12</v>
      </c>
      <c r="E177" s="169">
        <f>E149</f>
        <v>5.8999999999999997E-2</v>
      </c>
      <c r="G177" s="158" t="s">
        <v>240</v>
      </c>
      <c r="H177" s="139"/>
      <c r="I177" s="126" t="s">
        <v>453</v>
      </c>
      <c r="J177" s="170"/>
      <c r="K177" s="130"/>
    </row>
    <row r="178" spans="3:11" x14ac:dyDescent="0.2">
      <c r="C178" s="158" t="s">
        <v>154</v>
      </c>
      <c r="D178" s="128" t="s">
        <v>12</v>
      </c>
      <c r="E178" s="170">
        <f>((1+First_Debt_Interest)^(1/4))-1</f>
        <v>1.4434451591148756E-2</v>
      </c>
      <c r="G178" s="158"/>
      <c r="H178" s="139"/>
      <c r="I178" s="126"/>
      <c r="J178" s="170"/>
      <c r="K178" s="130"/>
    </row>
    <row r="179" spans="3:11" x14ac:dyDescent="0.2">
      <c r="G179" s="158"/>
      <c r="H179" s="139"/>
      <c r="I179" s="126"/>
      <c r="J179" s="170"/>
      <c r="K179" s="130"/>
    </row>
    <row r="180" spans="3:11" ht="34" x14ac:dyDescent="0.2">
      <c r="C180" s="158" t="s">
        <v>85</v>
      </c>
      <c r="D180" s="128" t="s">
        <v>12</v>
      </c>
      <c r="E180" s="172">
        <v>0.4</v>
      </c>
      <c r="G180" s="158" t="s">
        <v>240</v>
      </c>
      <c r="H180" s="139"/>
      <c r="I180" s="126" t="s">
        <v>253</v>
      </c>
      <c r="J180" s="170"/>
      <c r="K180" s="130"/>
    </row>
    <row r="181" spans="3:11" ht="34" x14ac:dyDescent="0.2">
      <c r="C181" s="158" t="s">
        <v>86</v>
      </c>
      <c r="D181" s="128" t="s">
        <v>12</v>
      </c>
      <c r="E181" s="169">
        <f>E150</f>
        <v>6.6000000000000003E-2</v>
      </c>
      <c r="G181" s="158" t="s">
        <v>240</v>
      </c>
      <c r="H181" s="139"/>
      <c r="I181" s="126" t="s">
        <v>454</v>
      </c>
      <c r="J181" s="170"/>
      <c r="K181" s="130"/>
    </row>
    <row r="182" spans="3:11" x14ac:dyDescent="0.2">
      <c r="C182" s="158" t="s">
        <v>155</v>
      </c>
      <c r="D182" s="128" t="s">
        <v>12</v>
      </c>
      <c r="E182" s="170">
        <f>((1+Second_Debt_Interest)^(1/4))-1</f>
        <v>1.6106667595102708E-2</v>
      </c>
      <c r="G182" s="158"/>
      <c r="H182" s="139"/>
      <c r="I182" s="128"/>
      <c r="J182" s="170"/>
      <c r="K182" s="130"/>
    </row>
    <row r="183" spans="3:11" x14ac:dyDescent="0.2">
      <c r="D183" s="133"/>
      <c r="E183" s="164"/>
      <c r="G183" s="158"/>
      <c r="H183" s="139"/>
      <c r="I183" s="128"/>
      <c r="J183" s="170"/>
      <c r="K183" s="130"/>
    </row>
    <row r="184" spans="3:11" x14ac:dyDescent="0.2">
      <c r="C184" s="158" t="s">
        <v>153</v>
      </c>
      <c r="D184" s="128" t="s">
        <v>12</v>
      </c>
      <c r="E184" s="170">
        <f>E176*First_Debt_Interest+E180*Second_Debt_Interest</f>
        <v>6.1799999999999994E-2</v>
      </c>
      <c r="G184" s="158"/>
      <c r="H184" s="139"/>
      <c r="I184" s="128"/>
      <c r="J184" s="170"/>
      <c r="K184" s="130"/>
    </row>
    <row r="185" spans="3:11" x14ac:dyDescent="0.2">
      <c r="C185" s="158"/>
      <c r="D185" s="128"/>
      <c r="E185" s="170"/>
      <c r="G185" s="158"/>
      <c r="H185" s="139"/>
      <c r="I185" s="128"/>
      <c r="J185" s="170"/>
      <c r="K185" s="130"/>
    </row>
    <row r="186" spans="3:11" ht="68" x14ac:dyDescent="0.2">
      <c r="C186" s="158" t="s">
        <v>365</v>
      </c>
      <c r="D186" s="128" t="s">
        <v>34</v>
      </c>
      <c r="E186" s="134">
        <v>1.3</v>
      </c>
      <c r="G186" s="158" t="s">
        <v>240</v>
      </c>
      <c r="H186" s="139"/>
      <c r="I186" s="126" t="s">
        <v>256</v>
      </c>
      <c r="J186" s="170"/>
      <c r="K186" s="130"/>
    </row>
    <row r="187" spans="3:11" ht="68" x14ac:dyDescent="0.2">
      <c r="C187" s="158" t="s">
        <v>371</v>
      </c>
      <c r="D187" s="128" t="s">
        <v>34</v>
      </c>
      <c r="E187" s="134"/>
      <c r="G187" s="158" t="s">
        <v>240</v>
      </c>
      <c r="H187" s="139"/>
      <c r="I187" s="126" t="s">
        <v>385</v>
      </c>
      <c r="J187" s="170"/>
      <c r="K187" s="130"/>
    </row>
    <row r="188" spans="3:11" ht="85" x14ac:dyDescent="0.2">
      <c r="C188" s="158" t="s">
        <v>372</v>
      </c>
      <c r="D188" s="128" t="s">
        <v>34</v>
      </c>
      <c r="E188" s="134">
        <v>1.2</v>
      </c>
      <c r="G188" s="158" t="s">
        <v>240</v>
      </c>
      <c r="H188" s="139"/>
      <c r="I188" s="126" t="s">
        <v>378</v>
      </c>
      <c r="J188" s="170"/>
      <c r="K188" s="130"/>
    </row>
    <row r="189" spans="3:11" ht="34" x14ac:dyDescent="0.2">
      <c r="C189" s="158" t="s">
        <v>375</v>
      </c>
      <c r="D189" s="128" t="s">
        <v>34</v>
      </c>
      <c r="E189" s="134">
        <v>1.1000000000000001</v>
      </c>
      <c r="G189" s="158" t="s">
        <v>240</v>
      </c>
      <c r="H189" s="139"/>
      <c r="I189" s="126" t="s">
        <v>377</v>
      </c>
      <c r="J189" s="170"/>
      <c r="K189" s="130"/>
    </row>
    <row r="190" spans="3:11" x14ac:dyDescent="0.2">
      <c r="C190" s="158"/>
      <c r="D190" s="128"/>
      <c r="E190" s="170"/>
      <c r="G190" s="158"/>
      <c r="H190" s="139"/>
      <c r="I190" s="128"/>
      <c r="J190" s="170"/>
      <c r="K190" s="130"/>
    </row>
    <row r="191" spans="3:11" ht="85" x14ac:dyDescent="0.2">
      <c r="C191" s="158" t="s">
        <v>257</v>
      </c>
      <c r="D191" s="128" t="s">
        <v>373</v>
      </c>
      <c r="E191" s="275">
        <v>6</v>
      </c>
      <c r="G191" s="158" t="s">
        <v>240</v>
      </c>
      <c r="H191" s="139"/>
      <c r="I191" s="126" t="s">
        <v>348</v>
      </c>
      <c r="J191" s="170"/>
      <c r="K191" s="130"/>
    </row>
    <row r="192" spans="3:11" ht="102" x14ac:dyDescent="0.2">
      <c r="C192" s="158" t="s">
        <v>258</v>
      </c>
      <c r="D192" s="130" t="s">
        <v>261</v>
      </c>
      <c r="E192" s="134">
        <v>10</v>
      </c>
      <c r="G192" s="158" t="s">
        <v>240</v>
      </c>
      <c r="H192" s="139"/>
      <c r="I192" s="126" t="s">
        <v>262</v>
      </c>
      <c r="J192" s="170"/>
      <c r="K192" s="130"/>
    </row>
    <row r="193" spans="2:13" ht="85" x14ac:dyDescent="0.2">
      <c r="C193" s="158" t="s">
        <v>259</v>
      </c>
      <c r="D193" s="130" t="s">
        <v>261</v>
      </c>
      <c r="E193" s="134">
        <v>30</v>
      </c>
      <c r="G193" s="158" t="s">
        <v>240</v>
      </c>
      <c r="H193" s="139"/>
      <c r="I193" s="126" t="s">
        <v>304</v>
      </c>
      <c r="J193" s="170"/>
      <c r="K193" s="130"/>
    </row>
    <row r="194" spans="2:13" ht="17" x14ac:dyDescent="0.2">
      <c r="C194" s="133" t="s">
        <v>386</v>
      </c>
      <c r="D194" s="130"/>
      <c r="E194" s="201">
        <f>EDATE(Constr_P8,5*Months_in_Year)</f>
        <v>49034</v>
      </c>
      <c r="G194" s="158" t="s">
        <v>240</v>
      </c>
      <c r="H194" s="139"/>
      <c r="I194" s="126" t="s">
        <v>369</v>
      </c>
      <c r="J194" s="170"/>
      <c r="K194" s="130"/>
    </row>
    <row r="195" spans="2:13" x14ac:dyDescent="0.2">
      <c r="G195" s="158"/>
      <c r="H195" s="139"/>
      <c r="I195" s="128"/>
      <c r="J195" s="170"/>
      <c r="K195" s="130"/>
    </row>
    <row r="196" spans="2:13" x14ac:dyDescent="0.2">
      <c r="B196" s="140" t="s">
        <v>17</v>
      </c>
      <c r="C196" s="141"/>
      <c r="D196" s="142"/>
      <c r="E196" s="142"/>
      <c r="F196" s="142"/>
      <c r="G196" s="142" t="s">
        <v>160</v>
      </c>
      <c r="H196" s="142" t="s">
        <v>162</v>
      </c>
      <c r="I196" s="143" t="s">
        <v>161</v>
      </c>
      <c r="J196" s="144"/>
      <c r="K196" s="142"/>
      <c r="L196" s="138"/>
      <c r="M196" s="138"/>
    </row>
    <row r="197" spans="2:13" outlineLevel="1" x14ac:dyDescent="0.2">
      <c r="B197" s="138"/>
      <c r="C197" s="138"/>
      <c r="D197" s="138"/>
      <c r="E197" s="138"/>
      <c r="F197" s="138"/>
      <c r="G197" s="138"/>
      <c r="H197" s="139"/>
      <c r="I197" s="138"/>
      <c r="J197" s="138"/>
      <c r="K197" s="138"/>
      <c r="L197" s="138"/>
    </row>
    <row r="198" spans="2:13" outlineLevel="1" x14ac:dyDescent="0.2">
      <c r="C198" s="173" t="s">
        <v>0</v>
      </c>
      <c r="D198" s="173"/>
      <c r="E198" s="173"/>
      <c r="F198" s="173"/>
      <c r="G198" s="173"/>
      <c r="H198" s="174"/>
      <c r="I198" s="173"/>
      <c r="J198" s="173"/>
      <c r="K198" s="173"/>
    </row>
    <row r="199" spans="2:13" outlineLevel="1" x14ac:dyDescent="0.2">
      <c r="C199" s="175" t="s">
        <v>1</v>
      </c>
      <c r="D199" s="128" t="s">
        <v>126</v>
      </c>
      <c r="E199" s="176">
        <f ca="1">Constr_Phase_Model!E26</f>
        <v>1381.2446043452082</v>
      </c>
      <c r="F199" s="177"/>
    </row>
    <row r="200" spans="2:13" outlineLevel="1" x14ac:dyDescent="0.2">
      <c r="C200" s="178" t="s">
        <v>2</v>
      </c>
      <c r="D200" s="179" t="s">
        <v>126</v>
      </c>
      <c r="E200" s="180">
        <f ca="1">Constr_Phase_Model!E24</f>
        <v>921.96039887896325</v>
      </c>
      <c r="F200" s="158"/>
    </row>
    <row r="201" spans="2:13" outlineLevel="1" x14ac:dyDescent="0.2">
      <c r="C201" s="181" t="s">
        <v>3</v>
      </c>
      <c r="D201" s="182" t="s">
        <v>126</v>
      </c>
      <c r="E201" s="183">
        <f ca="1">SUM(E199:E200)</f>
        <v>2303.2050032241714</v>
      </c>
      <c r="F201" s="181"/>
    </row>
    <row r="202" spans="2:13" outlineLevel="1" x14ac:dyDescent="0.2">
      <c r="B202" s="138"/>
      <c r="C202" s="138"/>
      <c r="D202" s="138"/>
      <c r="E202" s="138"/>
      <c r="F202" s="138"/>
    </row>
    <row r="203" spans="2:13" outlineLevel="1" x14ac:dyDescent="0.2">
      <c r="B203" s="138"/>
      <c r="C203" s="173" t="s">
        <v>4</v>
      </c>
      <c r="D203" s="173"/>
      <c r="E203" s="173"/>
      <c r="F203" s="173"/>
      <c r="G203" s="173"/>
      <c r="H203" s="174"/>
      <c r="I203" s="173"/>
      <c r="J203" s="173"/>
      <c r="K203" s="173"/>
    </row>
    <row r="204" spans="2:13" outlineLevel="1" x14ac:dyDescent="0.2">
      <c r="B204" s="138"/>
      <c r="C204" s="184" t="s">
        <v>80</v>
      </c>
      <c r="D204" s="128" t="s">
        <v>126</v>
      </c>
      <c r="E204" s="176">
        <f>Constr_Phase_Model!E13+Constr_Phase_Model!E14+Constr_Phase_Model!E15</f>
        <v>2434.0316250000001</v>
      </c>
      <c r="G204" s="181"/>
      <c r="I204" s="128"/>
      <c r="J204" s="183"/>
    </row>
    <row r="205" spans="2:13" outlineLevel="1" x14ac:dyDescent="0.2">
      <c r="B205" s="138"/>
      <c r="C205" s="158" t="s">
        <v>63</v>
      </c>
      <c r="D205" s="128" t="s">
        <v>126</v>
      </c>
      <c r="E205" s="176">
        <f ca="1">SUM(Constr_Phase_Model!E20:E21)</f>
        <v>50.831558700591643</v>
      </c>
      <c r="G205" s="181"/>
      <c r="I205" s="128"/>
      <c r="J205" s="183"/>
    </row>
    <row r="206" spans="2:13" outlineLevel="1" x14ac:dyDescent="0.2">
      <c r="B206" s="138"/>
      <c r="C206" s="158" t="s">
        <v>51</v>
      </c>
      <c r="D206" s="128" t="s">
        <v>126</v>
      </c>
      <c r="E206" s="176">
        <f ca="1">Constr_Phase_Model!E19</f>
        <v>149.30938452501755</v>
      </c>
      <c r="G206" s="181"/>
      <c r="I206" s="128"/>
      <c r="J206" s="183"/>
    </row>
    <row r="207" spans="2:13" outlineLevel="1" x14ac:dyDescent="0.2">
      <c r="B207" s="138"/>
      <c r="C207" s="158" t="s">
        <v>432</v>
      </c>
      <c r="D207" s="128" t="s">
        <v>126</v>
      </c>
      <c r="E207" s="176">
        <f ca="1">+Constr_Phase_Model!E16</f>
        <v>60.613921606013371</v>
      </c>
      <c r="G207" s="181"/>
      <c r="I207" s="128"/>
      <c r="J207" s="183"/>
    </row>
    <row r="208" spans="2:13" outlineLevel="1" x14ac:dyDescent="0.2">
      <c r="B208" s="138"/>
      <c r="C208" s="185" t="s">
        <v>431</v>
      </c>
      <c r="D208" s="128" t="s">
        <v>126</v>
      </c>
      <c r="E208" s="186">
        <f ca="1">SUM(Constr_Phase_Model!G26:W26)-SUM(Constr_Phase_Model!G25:W25)</f>
        <v>-391.58148660745132</v>
      </c>
      <c r="G208" s="181"/>
      <c r="I208" s="128"/>
      <c r="J208" s="183"/>
    </row>
    <row r="209" spans="2:12" outlineLevel="1" x14ac:dyDescent="0.2">
      <c r="B209" s="138"/>
      <c r="C209" s="181" t="s">
        <v>22</v>
      </c>
      <c r="D209" s="182" t="s">
        <v>126</v>
      </c>
      <c r="E209" s="183">
        <f ca="1">SUM(E204:E208)</f>
        <v>2303.2050032241714</v>
      </c>
      <c r="G209" s="181"/>
      <c r="I209" s="128"/>
      <c r="J209" s="183"/>
    </row>
    <row r="211" spans="2:12" x14ac:dyDescent="0.2">
      <c r="B211" s="140" t="s">
        <v>147</v>
      </c>
      <c r="C211" s="141"/>
      <c r="D211" s="141"/>
      <c r="E211" s="141"/>
      <c r="F211" s="141"/>
      <c r="G211" s="141"/>
      <c r="H211" s="187"/>
      <c r="I211" s="141"/>
      <c r="J211" s="141"/>
      <c r="K211" s="141"/>
      <c r="L211" s="188"/>
    </row>
    <row r="212" spans="2:12" outlineLevel="1" x14ac:dyDescent="0.2"/>
    <row r="213" spans="2:12" outlineLevel="1" x14ac:dyDescent="0.2">
      <c r="C213" s="164" t="s">
        <v>472</v>
      </c>
      <c r="D213" s="282">
        <f ca="1">Max_Debt_Draw</f>
        <v>1621.5196052939086</v>
      </c>
      <c r="E213" s="189"/>
    </row>
    <row r="214" spans="2:12" outlineLevel="1" x14ac:dyDescent="0.2">
      <c r="C214" s="164" t="s">
        <v>473</v>
      </c>
      <c r="D214" s="283">
        <f>Constr_Debt_Pct</f>
        <v>0.65</v>
      </c>
    </row>
    <row r="215" spans="2:12" outlineLevel="1" x14ac:dyDescent="0.2">
      <c r="C215" s="164" t="s">
        <v>470</v>
      </c>
      <c r="D215" s="282">
        <f ca="1">IRR_Revenue_Model!E174</f>
        <v>1964.578669185355</v>
      </c>
      <c r="E215" s="190"/>
    </row>
    <row r="216" spans="2:12" outlineLevel="1" x14ac:dyDescent="0.2">
      <c r="C216" s="164" t="s">
        <v>471</v>
      </c>
      <c r="D216" s="283">
        <f ca="1">D215/(D215+E200)</f>
        <v>0.68060006217160962</v>
      </c>
      <c r="E216" s="190"/>
    </row>
    <row r="217" spans="2:12" outlineLevel="1" x14ac:dyDescent="0.2">
      <c r="D217" s="164"/>
      <c r="E217" s="191"/>
    </row>
    <row r="218" spans="2:12" outlineLevel="1" x14ac:dyDescent="0.2">
      <c r="C218" s="164" t="s">
        <v>391</v>
      </c>
      <c r="D218" s="282">
        <f ca="1">IRR_Revenue_Model!G215</f>
        <v>1197.3979400510841</v>
      </c>
      <c r="E218" s="190"/>
    </row>
    <row r="219" spans="2:12" outlineLevel="1" x14ac:dyDescent="0.2">
      <c r="C219" s="164" t="s">
        <v>481</v>
      </c>
      <c r="D219" s="283">
        <f ca="1">IRR_Revenue_Model!G212</f>
        <v>5.6522014737129214E-2</v>
      </c>
      <c r="E219" s="190"/>
    </row>
    <row r="220" spans="2:12" outlineLevel="1" x14ac:dyDescent="0.2">
      <c r="C220" s="164" t="s">
        <v>390</v>
      </c>
      <c r="D220" s="317">
        <f ca="1">IRR_Revenue_Model!G216</f>
        <v>1.2916097626341707</v>
      </c>
    </row>
    <row r="221" spans="2:12" outlineLevel="1" x14ac:dyDescent="0.2">
      <c r="C221" s="164" t="s">
        <v>474</v>
      </c>
      <c r="D221" s="282">
        <f ca="1">IRR_Revenue_Model!E205</f>
        <v>583.33406484014677</v>
      </c>
    </row>
    <row r="222" spans="2:12" outlineLevel="1" x14ac:dyDescent="0.2">
      <c r="C222" s="164" t="s">
        <v>475</v>
      </c>
      <c r="D222" s="282">
        <f>IRR_Revenue_Model!E207</f>
        <v>2564.1573768731546</v>
      </c>
    </row>
    <row r="223" spans="2:12" outlineLevel="1" x14ac:dyDescent="0.2">
      <c r="D223" s="164"/>
      <c r="H223" s="124"/>
    </row>
    <row r="224" spans="2:12" outlineLevel="1" x14ac:dyDescent="0.2">
      <c r="C224" s="164" t="s">
        <v>388</v>
      </c>
      <c r="D224" s="284" cm="1">
        <f t="array" aca="1" ref="D224:D225" ca="1">IRR_Revenue_Model!G218:G219</f>
        <v>1.2998062630203508</v>
      </c>
      <c r="H224" s="124"/>
    </row>
    <row r="225" spans="3:8" outlineLevel="1" x14ac:dyDescent="0.2">
      <c r="C225" s="164" t="s">
        <v>389</v>
      </c>
      <c r="D225" s="284">
        <f ca="1"/>
        <v>1.0960023716167897</v>
      </c>
      <c r="H225" s="124"/>
    </row>
    <row r="226" spans="3:8" outlineLevel="1" x14ac:dyDescent="0.2">
      <c r="H226" s="124"/>
    </row>
    <row r="227" spans="3:8" x14ac:dyDescent="0.2">
      <c r="C227" s="192"/>
      <c r="D227" s="193" t="s">
        <v>148</v>
      </c>
      <c r="E227" s="193"/>
      <c r="F227" s="193"/>
      <c r="G227" s="193"/>
    </row>
    <row r="228" spans="3:8" x14ac:dyDescent="0.2">
      <c r="C228" s="194" t="s">
        <v>476</v>
      </c>
      <c r="D228" s="195" t="s">
        <v>485</v>
      </c>
      <c r="E228" s="196" t="s">
        <v>486</v>
      </c>
      <c r="F228" s="196" t="s">
        <v>487</v>
      </c>
      <c r="G228" s="196" t="s">
        <v>488</v>
      </c>
    </row>
    <row r="229" spans="3:8" x14ac:dyDescent="0.2">
      <c r="C229" s="197">
        <f ca="1">D213</f>
        <v>1621.5196052939086</v>
      </c>
      <c r="D229" s="318">
        <f t="dataTable" ref="D229:G229" dt2D="0" dtr="1" r1="E141" ca="1"/>
        <v>1621.5196052939086</v>
      </c>
      <c r="E229" s="318">
        <v>1621.8697919063461</v>
      </c>
      <c r="F229" s="318">
        <v>1618.8685219816912</v>
      </c>
      <c r="G229" s="318">
        <v>1613.7031246969959</v>
      </c>
    </row>
    <row r="231" spans="3:8" x14ac:dyDescent="0.2">
      <c r="C231" s="192"/>
      <c r="D231" s="193" t="s">
        <v>148</v>
      </c>
      <c r="E231" s="193"/>
      <c r="F231" s="193"/>
      <c r="G231" s="193"/>
    </row>
    <row r="232" spans="3:8" x14ac:dyDescent="0.2">
      <c r="C232" s="194" t="s">
        <v>477</v>
      </c>
      <c r="D232" s="331" t="s">
        <v>485</v>
      </c>
      <c r="E232" s="196" t="s">
        <v>486</v>
      </c>
      <c r="F232" s="196" t="s">
        <v>487</v>
      </c>
      <c r="G232" s="196" t="s">
        <v>488</v>
      </c>
    </row>
    <row r="233" spans="3:8" x14ac:dyDescent="0.2">
      <c r="C233" s="197">
        <f>D214</f>
        <v>0.65</v>
      </c>
      <c r="D233" s="319">
        <f t="dataTable" ref="D233:G233" dt2D="0" dtr="1" r1="E141" ca="1"/>
        <v>0.65</v>
      </c>
      <c r="E233" s="319">
        <v>0.65</v>
      </c>
      <c r="F233" s="319">
        <v>0.65</v>
      </c>
      <c r="G233" s="319">
        <v>0.65</v>
      </c>
    </row>
    <row r="235" spans="3:8" x14ac:dyDescent="0.2">
      <c r="C235" s="192"/>
      <c r="D235" s="193" t="s">
        <v>148</v>
      </c>
      <c r="E235" s="193"/>
      <c r="F235" s="193"/>
      <c r="G235" s="193"/>
    </row>
    <row r="236" spans="3:8" x14ac:dyDescent="0.2">
      <c r="C236" s="194" t="s">
        <v>478</v>
      </c>
      <c r="D236" s="195" t="s">
        <v>485</v>
      </c>
      <c r="E236" s="196" t="s">
        <v>486</v>
      </c>
      <c r="F236" s="196" t="s">
        <v>487</v>
      </c>
      <c r="G236" s="196" t="s">
        <v>488</v>
      </c>
    </row>
    <row r="237" spans="3:8" x14ac:dyDescent="0.2">
      <c r="C237" s="197">
        <f ca="1">D215</f>
        <v>1964.578669185355</v>
      </c>
      <c r="D237" s="318">
        <f t="dataTable" ref="D237:G237" dt2D="0" dtr="1" r1="E141" ca="1"/>
        <v>1964.578669185355</v>
      </c>
      <c r="E237" s="318">
        <v>1914.7487571262104</v>
      </c>
      <c r="F237" s="318">
        <v>1771.5691169928778</v>
      </c>
      <c r="G237" s="318">
        <v>1525.1468323409524</v>
      </c>
    </row>
    <row r="239" spans="3:8" x14ac:dyDescent="0.2">
      <c r="C239" s="192"/>
      <c r="D239" s="193" t="s">
        <v>148</v>
      </c>
      <c r="E239" s="193"/>
      <c r="F239" s="193"/>
      <c r="G239" s="193"/>
    </row>
    <row r="240" spans="3:8" x14ac:dyDescent="0.2">
      <c r="C240" s="194" t="s">
        <v>479</v>
      </c>
      <c r="D240" s="195" t="s">
        <v>485</v>
      </c>
      <c r="E240" s="196" t="s">
        <v>486</v>
      </c>
      <c r="F240" s="196" t="s">
        <v>487</v>
      </c>
      <c r="G240" s="196" t="s">
        <v>488</v>
      </c>
    </row>
    <row r="241" spans="3:7" x14ac:dyDescent="0.2">
      <c r="C241" s="197">
        <f ca="1">D216</f>
        <v>0.68060006217160962</v>
      </c>
      <c r="D241" s="319">
        <f t="dataTable" ref="D241:G241" dt2D="0" dtr="1" r1="E141" ca="1"/>
        <v>0.68060006217160962</v>
      </c>
      <c r="E241" s="319">
        <v>0.67504477042487021</v>
      </c>
      <c r="F241" s="319">
        <v>0.65770147668866585</v>
      </c>
      <c r="G241" s="319">
        <v>0.62311049246289152</v>
      </c>
    </row>
    <row r="243" spans="3:7" x14ac:dyDescent="0.2">
      <c r="C243" s="192"/>
      <c r="D243" s="193" t="s">
        <v>148</v>
      </c>
      <c r="E243" s="193"/>
      <c r="F243" s="193"/>
      <c r="G243" s="193"/>
    </row>
    <row r="244" spans="3:7" x14ac:dyDescent="0.2">
      <c r="C244" s="194" t="s">
        <v>480</v>
      </c>
      <c r="D244" s="195" t="s">
        <v>485</v>
      </c>
      <c r="E244" s="196" t="s">
        <v>486</v>
      </c>
      <c r="F244" s="196" t="s">
        <v>487</v>
      </c>
      <c r="G244" s="196" t="s">
        <v>488</v>
      </c>
    </row>
    <row r="245" spans="3:7" x14ac:dyDescent="0.2">
      <c r="C245" s="197">
        <f ca="1">D218</f>
        <v>1197.3979400510841</v>
      </c>
      <c r="D245" s="320">
        <f t="dataTable" ref="D245:G245" dt2D="0" dtr="1" r1="E141" ca="1"/>
        <v>1197.3979400510841</v>
      </c>
      <c r="E245" s="320">
        <v>1197.0469345176282</v>
      </c>
      <c r="F245" s="320">
        <v>1197.3261935123217</v>
      </c>
      <c r="G245" s="320">
        <v>1197.8068179964121</v>
      </c>
    </row>
    <row r="247" spans="3:7" x14ac:dyDescent="0.2">
      <c r="C247" s="192"/>
      <c r="D247" s="193" t="s">
        <v>148</v>
      </c>
      <c r="E247" s="193"/>
      <c r="F247" s="193"/>
      <c r="G247" s="193"/>
    </row>
    <row r="248" spans="3:7" x14ac:dyDescent="0.2">
      <c r="C248" s="194" t="s">
        <v>66</v>
      </c>
      <c r="D248" s="195" t="s">
        <v>485</v>
      </c>
      <c r="E248" s="196" t="s">
        <v>486</v>
      </c>
      <c r="F248" s="196" t="s">
        <v>487</v>
      </c>
      <c r="G248" s="196" t="s">
        <v>488</v>
      </c>
    </row>
    <row r="249" spans="3:7" x14ac:dyDescent="0.2">
      <c r="C249" s="197">
        <f ca="1">D219</f>
        <v>5.6522014737129214E-2</v>
      </c>
      <c r="D249" s="319">
        <f t="dataTable" ref="D249:G249" dt2D="0" dtr="1" r1="E141" ca="1"/>
        <v>5.6522014737129214E-2</v>
      </c>
      <c r="E249" s="319">
        <v>6.4011439681053162E-2</v>
      </c>
      <c r="F249" s="319">
        <v>2.7292004227638243E-2</v>
      </c>
      <c r="G249" s="319">
        <v>-3.7061130255460747E-2</v>
      </c>
    </row>
    <row r="251" spans="3:7" x14ac:dyDescent="0.2">
      <c r="C251" s="192"/>
      <c r="D251" s="193" t="s">
        <v>148</v>
      </c>
      <c r="E251" s="193"/>
      <c r="F251" s="193"/>
      <c r="G251" s="193"/>
    </row>
    <row r="252" spans="3:7" x14ac:dyDescent="0.2">
      <c r="C252" s="194" t="s">
        <v>482</v>
      </c>
      <c r="D252" s="195" t="s">
        <v>485</v>
      </c>
      <c r="E252" s="196" t="s">
        <v>486</v>
      </c>
      <c r="F252" s="196" t="s">
        <v>487</v>
      </c>
      <c r="G252" s="196" t="s">
        <v>488</v>
      </c>
    </row>
    <row r="253" spans="3:7" x14ac:dyDescent="0.2">
      <c r="C253" s="197">
        <f ca="1">D220</f>
        <v>1.2916097626341707</v>
      </c>
      <c r="D253" s="321">
        <f t="dataTable" ref="D253:G253" dt2D="0" dtr="1" r1="E141" ca="1"/>
        <v>1.2916097626341707</v>
      </c>
      <c r="E253" s="321">
        <v>1.3450814882644331</v>
      </c>
      <c r="F253" s="321">
        <v>1.1460507792927683</v>
      </c>
      <c r="G253" s="321">
        <v>0.80369804097825248</v>
      </c>
    </row>
    <row r="255" spans="3:7" x14ac:dyDescent="0.2">
      <c r="C255" s="192"/>
      <c r="D255" s="193" t="s">
        <v>148</v>
      </c>
      <c r="E255" s="193"/>
      <c r="F255" s="193"/>
      <c r="G255" s="193"/>
    </row>
    <row r="256" spans="3:7" x14ac:dyDescent="0.2">
      <c r="C256" s="194" t="s">
        <v>483</v>
      </c>
      <c r="D256" s="195" t="s">
        <v>485</v>
      </c>
      <c r="E256" s="196" t="s">
        <v>486</v>
      </c>
      <c r="F256" s="196" t="s">
        <v>487</v>
      </c>
      <c r="G256" s="196" t="s">
        <v>488</v>
      </c>
    </row>
    <row r="257" spans="3:17" x14ac:dyDescent="0.2">
      <c r="C257" s="197">
        <f ca="1">D221</f>
        <v>583.33406484014677</v>
      </c>
      <c r="D257" s="320">
        <f t="dataTable" ref="D257:G257" dt2D="0" dtr="1" r1="E141" ca="1"/>
        <v>583.33406484014677</v>
      </c>
      <c r="E257" s="320">
        <v>552.34159447055663</v>
      </c>
      <c r="F257" s="320">
        <v>384.30846175764145</v>
      </c>
      <c r="G257" s="320">
        <v>95.111558290371704</v>
      </c>
    </row>
    <row r="259" spans="3:17" x14ac:dyDescent="0.2">
      <c r="C259" s="192"/>
      <c r="D259" s="193" t="s">
        <v>148</v>
      </c>
      <c r="E259" s="193"/>
      <c r="F259" s="193"/>
      <c r="G259" s="193"/>
    </row>
    <row r="260" spans="3:17" x14ac:dyDescent="0.2">
      <c r="C260" s="194" t="s">
        <v>484</v>
      </c>
      <c r="D260" s="195" t="s">
        <v>485</v>
      </c>
      <c r="E260" s="196" t="s">
        <v>486</v>
      </c>
      <c r="F260" s="196" t="s">
        <v>487</v>
      </c>
      <c r="G260" s="196" t="s">
        <v>488</v>
      </c>
    </row>
    <row r="261" spans="3:17" x14ac:dyDescent="0.2">
      <c r="C261" s="197">
        <f>D222</f>
        <v>2564.1573768731546</v>
      </c>
      <c r="D261" s="320">
        <f t="dataTable" ref="D261:G261" dt2D="0" dtr="1" r1="E141" ca="1"/>
        <v>2564.1573768731546</v>
      </c>
      <c r="E261" s="320">
        <v>2573.8260380090292</v>
      </c>
      <c r="F261" s="320">
        <v>2387.1170242235262</v>
      </c>
      <c r="G261" s="320">
        <v>2065.7776096301786</v>
      </c>
    </row>
    <row r="263" spans="3:17" x14ac:dyDescent="0.2">
      <c r="C263" s="192"/>
      <c r="D263" s="193" t="s">
        <v>148</v>
      </c>
      <c r="E263" s="193"/>
      <c r="F263" s="193"/>
      <c r="G263" s="193"/>
    </row>
    <row r="264" spans="3:17" x14ac:dyDescent="0.2">
      <c r="C264" s="194" t="s">
        <v>140</v>
      </c>
      <c r="D264" s="195" t="s">
        <v>485</v>
      </c>
      <c r="E264" s="196" t="s">
        <v>486</v>
      </c>
      <c r="F264" s="196" t="s">
        <v>487</v>
      </c>
      <c r="G264" s="196" t="s">
        <v>488</v>
      </c>
    </row>
    <row r="265" spans="3:17" x14ac:dyDescent="0.2">
      <c r="C265" s="197">
        <f ca="1">D224</f>
        <v>1.2998062630203508</v>
      </c>
      <c r="D265" s="322">
        <f t="dataTable" ref="D265:G265" dt2D="0" dtr="1" r1="E141" ca="1"/>
        <v>1.2998062630203508</v>
      </c>
      <c r="E265" s="322">
        <v>1.2998276736944263</v>
      </c>
      <c r="F265" s="322">
        <v>1.2998290255193601</v>
      </c>
      <c r="G265" s="322">
        <v>1.2998319225756583</v>
      </c>
    </row>
    <row r="267" spans="3:17" x14ac:dyDescent="0.2">
      <c r="C267" s="192"/>
      <c r="D267" s="193" t="s">
        <v>148</v>
      </c>
      <c r="E267" s="193"/>
      <c r="F267" s="193"/>
      <c r="G267" s="193"/>
    </row>
    <row r="268" spans="3:17" x14ac:dyDescent="0.2">
      <c r="C268" s="194" t="s">
        <v>141</v>
      </c>
      <c r="D268" s="195" t="s">
        <v>485</v>
      </c>
      <c r="E268" s="196" t="s">
        <v>486</v>
      </c>
      <c r="F268" s="196" t="s">
        <v>487</v>
      </c>
      <c r="G268" s="196" t="s">
        <v>488</v>
      </c>
    </row>
    <row r="269" spans="3:17" x14ac:dyDescent="0.2">
      <c r="C269" s="197">
        <f ca="1">D225</f>
        <v>1.0960023716167897</v>
      </c>
      <c r="D269" s="322">
        <f t="dataTable" ref="D269:G269" dt2D="0" dtr="1" r1="E141" ca="1"/>
        <v>1.0960023716167897</v>
      </c>
      <c r="E269" s="322">
        <v>1.1756392766328025</v>
      </c>
      <c r="F269" s="322">
        <v>1.1644297121862033</v>
      </c>
      <c r="G269" s="322">
        <v>1.1402109257165924</v>
      </c>
    </row>
    <row r="272" spans="3:17" x14ac:dyDescent="0.2">
      <c r="E272" s="323"/>
      <c r="F272" s="316"/>
      <c r="G272" s="323"/>
      <c r="H272" s="316"/>
      <c r="J272" s="323"/>
      <c r="K272" s="316"/>
      <c r="L272" s="324"/>
      <c r="M272" s="325"/>
      <c r="N272" s="325"/>
      <c r="P272" s="326"/>
      <c r="Q272" s="326"/>
    </row>
    <row r="273" spans="5:17" x14ac:dyDescent="0.2">
      <c r="E273" s="323"/>
      <c r="F273" s="316"/>
      <c r="G273" s="323"/>
      <c r="H273" s="316"/>
      <c r="J273" s="325"/>
      <c r="K273" s="316"/>
      <c r="L273" s="324"/>
      <c r="M273" s="325"/>
      <c r="N273" s="325"/>
      <c r="P273" s="326"/>
      <c r="Q273" s="326"/>
    </row>
    <row r="274" spans="5:17" x14ac:dyDescent="0.2">
      <c r="E274" s="323"/>
      <c r="F274" s="316"/>
      <c r="G274" s="323"/>
      <c r="H274" s="316"/>
      <c r="J274" s="325"/>
      <c r="K274" s="316"/>
      <c r="L274" s="324"/>
      <c r="M274" s="325"/>
      <c r="N274" s="325"/>
      <c r="P274" s="326"/>
      <c r="Q274" s="326"/>
    </row>
    <row r="275" spans="5:17" x14ac:dyDescent="0.2">
      <c r="E275" s="323"/>
      <c r="F275" s="316"/>
      <c r="G275" s="323"/>
      <c r="H275" s="316"/>
      <c r="J275" s="325"/>
      <c r="K275" s="316"/>
      <c r="L275" s="324"/>
      <c r="M275" s="325"/>
      <c r="N275" s="325"/>
      <c r="P275" s="326"/>
      <c r="Q275" s="326"/>
    </row>
  </sheetData>
  <phoneticPr fontId="34" type="noConversion"/>
  <dataValidations disablePrompts="1" count="3">
    <dataValidation type="whole" allowBlank="1" showInputMessage="1" showErrorMessage="1" sqref="E93" xr:uid="{48321D08-9058-42B8-8A5B-0304A811AEEC}">
      <formula1>4</formula1>
      <formula2>8</formula2>
    </dataValidation>
    <dataValidation type="list" allowBlank="1" showInputMessage="1" showErrorMessage="1" sqref="G141" xr:uid="{C789ED39-BD75-4E29-8E2E-F375B77056B4}">
      <formula1>$F$144:$L$144</formula1>
    </dataValidation>
    <dataValidation type="list" showInputMessage="1" showErrorMessage="1" sqref="E141" xr:uid="{BE4237FE-5F57-4C0B-8A26-78C184E88C6D}">
      <formula1>$F$144:$L$144</formula1>
    </dataValidation>
  </dataValidations>
  <hyperlinks>
    <hyperlink ref="J43" r:id="rId1" xr:uid="{A1E0E468-C7BA-4E4B-8BBC-E041C5240578}"/>
    <hyperlink ref="J29" r:id="rId2" xr:uid="{8338ECA9-70A9-4DF3-982A-30759F82BFE4}"/>
    <hyperlink ref="J44" r:id="rId3" xr:uid="{793DD758-A07D-46BC-A952-6CB9611EF114}"/>
    <hyperlink ref="J45" r:id="rId4" xr:uid="{0FBC67B4-1494-4C2D-8A36-67C1EB10B0D3}"/>
    <hyperlink ref="J46" r:id="rId5" xr:uid="{F0BC11BE-0D14-4ED3-A613-27FF6F134E20}"/>
  </hyperlinks>
  <pageMargins left="0.7" right="0.7" top="0.75" bottom="0.75" header="0.3" footer="0.3"/>
  <pageSetup scale="44" orientation="portrait" r:id="rId6"/>
  <rowBreaks count="1" manualBreakCount="1">
    <brk id="158" max="11"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59999389629810485"/>
    <pageSetUpPr autoPageBreaks="0"/>
  </sheetPr>
  <dimension ref="B2:CU42"/>
  <sheetViews>
    <sheetView showGridLines="0" topLeftCell="A9" zoomScale="85" zoomScaleNormal="85" zoomScaleSheetLayoutView="85" workbookViewId="0">
      <selection activeCell="E50" sqref="E50"/>
    </sheetView>
  </sheetViews>
  <sheetFormatPr baseColWidth="10" defaultColWidth="11" defaultRowHeight="16" outlineLevelRow="1" x14ac:dyDescent="0.2"/>
  <cols>
    <col min="1" max="2" width="2.6640625" customWidth="1"/>
    <col min="3" max="3" width="36.1640625" bestFit="1" customWidth="1"/>
    <col min="4" max="18" width="12.6640625" customWidth="1"/>
  </cols>
  <sheetData>
    <row r="2" spans="2:26" ht="19" x14ac:dyDescent="0.25">
      <c r="B2" s="8" t="s">
        <v>48</v>
      </c>
      <c r="G2" s="5"/>
      <c r="H2" s="5"/>
      <c r="I2" s="209"/>
      <c r="J2" s="5"/>
      <c r="K2" s="5"/>
      <c r="L2" s="5"/>
      <c r="M2" s="5"/>
      <c r="N2" s="5"/>
      <c r="O2" s="5"/>
      <c r="P2" s="5"/>
      <c r="Q2" s="5"/>
      <c r="R2" s="5"/>
    </row>
    <row r="3" spans="2:26" x14ac:dyDescent="0.2">
      <c r="G3" s="41"/>
      <c r="H3" s="41"/>
      <c r="I3" s="41"/>
      <c r="J3" s="41"/>
      <c r="K3" s="41"/>
      <c r="L3" s="41"/>
      <c r="M3" s="41"/>
      <c r="N3" s="41"/>
      <c r="O3" s="41"/>
      <c r="P3" s="41"/>
      <c r="Q3" s="41"/>
      <c r="R3" s="41"/>
    </row>
    <row r="4" spans="2:26" x14ac:dyDescent="0.2">
      <c r="B4" s="46"/>
      <c r="C4" s="46"/>
      <c r="D4" s="47"/>
      <c r="E4" s="47"/>
      <c r="F4" s="47"/>
      <c r="G4" s="48" t="s">
        <v>67</v>
      </c>
      <c r="H4" s="49"/>
      <c r="I4" s="49"/>
      <c r="J4" s="50"/>
      <c r="K4" s="49" t="s">
        <v>68</v>
      </c>
      <c r="L4" s="49"/>
      <c r="M4" s="49"/>
      <c r="N4" s="50"/>
      <c r="O4" s="49" t="s">
        <v>110</v>
      </c>
      <c r="P4" s="49"/>
      <c r="Q4" s="49"/>
      <c r="R4" s="50"/>
      <c r="S4" s="49" t="s">
        <v>283</v>
      </c>
      <c r="T4" s="49"/>
      <c r="U4" s="49"/>
      <c r="V4" s="50"/>
      <c r="W4" s="49" t="s">
        <v>291</v>
      </c>
      <c r="X4" s="49"/>
      <c r="Y4" s="49"/>
      <c r="Z4" s="50"/>
    </row>
    <row r="5" spans="2:26" x14ac:dyDescent="0.2">
      <c r="B5" s="20" t="s">
        <v>6</v>
      </c>
      <c r="C5" s="20"/>
      <c r="D5" s="19" t="str">
        <f>+Inputs_Assumptions!$D$4</f>
        <v>Units:</v>
      </c>
      <c r="E5" s="65" t="s">
        <v>50</v>
      </c>
      <c r="F5" s="65"/>
      <c r="G5" s="77">
        <f>IRR_Revenue_Model!$G$5</f>
        <v>46112</v>
      </c>
      <c r="H5" s="77">
        <f>IRR_Revenue_Model!$H$5</f>
        <v>46203</v>
      </c>
      <c r="I5" s="77">
        <f>IRR_Revenue_Model!$I$5</f>
        <v>46295</v>
      </c>
      <c r="J5" s="75">
        <f>IRR_Revenue_Model!$J$5</f>
        <v>46387</v>
      </c>
      <c r="K5" s="77">
        <f>IRR_Revenue_Model!$K$5</f>
        <v>46477</v>
      </c>
      <c r="L5" s="77">
        <f>IRR_Revenue_Model!$L$5</f>
        <v>46568</v>
      </c>
      <c r="M5" s="77">
        <f>IRR_Revenue_Model!$M$5</f>
        <v>46660</v>
      </c>
      <c r="N5" s="75">
        <f>IRR_Revenue_Model!$N$5</f>
        <v>46752</v>
      </c>
      <c r="O5" s="77">
        <f>IRR_Revenue_Model!$O$5</f>
        <v>46843</v>
      </c>
      <c r="P5" s="77">
        <f>IRR_Revenue_Model!$P$5</f>
        <v>46934</v>
      </c>
      <c r="Q5" s="77">
        <f>IRR_Revenue_Model!$Q$5</f>
        <v>47026</v>
      </c>
      <c r="R5" s="75">
        <f>IRR_Revenue_Model!$R$5</f>
        <v>47118</v>
      </c>
      <c r="S5" s="77">
        <f>IRR_Revenue_Model!$S$5</f>
        <v>47208</v>
      </c>
      <c r="T5" s="77">
        <f>IRR_Revenue_Model!$T$5</f>
        <v>47299</v>
      </c>
      <c r="U5" s="77">
        <f>IRR_Revenue_Model!$U$5</f>
        <v>47391</v>
      </c>
      <c r="V5" s="75">
        <f>IRR_Revenue_Model!$V$5</f>
        <v>47483</v>
      </c>
      <c r="W5" s="75">
        <f>IRR_Revenue_Model!$W$5</f>
        <v>47573</v>
      </c>
      <c r="X5" s="75">
        <f>IRR_Revenue_Model!$X$5</f>
        <v>47664</v>
      </c>
      <c r="Y5" s="75">
        <f>IRR_Revenue_Model!$Y$5</f>
        <v>47756</v>
      </c>
      <c r="Z5" s="75">
        <f>IRR_Revenue_Model!$Z$5</f>
        <v>47848</v>
      </c>
    </row>
    <row r="6" spans="2:26" outlineLevel="1" x14ac:dyDescent="0.2">
      <c r="B6" s="6"/>
      <c r="C6" s="6"/>
      <c r="D6" s="6"/>
      <c r="E6" s="6"/>
      <c r="F6" s="6"/>
      <c r="G6" s="7"/>
      <c r="H6" s="7"/>
      <c r="I6" s="7"/>
      <c r="J6" s="7"/>
      <c r="K6" s="7"/>
      <c r="L6" s="7"/>
      <c r="M6" s="7"/>
      <c r="N6" s="7"/>
      <c r="O6" s="7"/>
      <c r="P6" s="7"/>
      <c r="Q6" s="7"/>
      <c r="R6" s="7"/>
      <c r="S6" s="7"/>
      <c r="T6" s="7"/>
      <c r="U6" s="7"/>
      <c r="V6" s="7"/>
      <c r="W6" s="7"/>
    </row>
    <row r="7" spans="2:26" outlineLevel="1" x14ac:dyDescent="0.2">
      <c r="B7" s="6"/>
      <c r="C7" t="s">
        <v>47</v>
      </c>
      <c r="D7" s="21" t="s">
        <v>16</v>
      </c>
      <c r="E7" s="62">
        <f>COUNTIF(G7:Z7,"&gt;0")</f>
        <v>11</v>
      </c>
      <c r="F7" s="6"/>
      <c r="G7" s="62">
        <f t="shared" ref="G7:Z7" si="0">IF(AND(G5&gt;Constr_Start_Date,G5&lt;=Constr_P8),1,0)</f>
        <v>0</v>
      </c>
      <c r="H7" s="62">
        <f t="shared" si="0"/>
        <v>0</v>
      </c>
      <c r="I7" s="62">
        <f t="shared" si="0"/>
        <v>1</v>
      </c>
      <c r="J7" s="62">
        <f t="shared" si="0"/>
        <v>1</v>
      </c>
      <c r="K7" s="62">
        <f t="shared" si="0"/>
        <v>1</v>
      </c>
      <c r="L7" s="62">
        <f t="shared" si="0"/>
        <v>1</v>
      </c>
      <c r="M7" s="62">
        <f t="shared" si="0"/>
        <v>1</v>
      </c>
      <c r="N7" s="62">
        <f t="shared" si="0"/>
        <v>1</v>
      </c>
      <c r="O7" s="62">
        <f t="shared" si="0"/>
        <v>1</v>
      </c>
      <c r="P7" s="62">
        <f t="shared" si="0"/>
        <v>1</v>
      </c>
      <c r="Q7" s="62">
        <f t="shared" si="0"/>
        <v>1</v>
      </c>
      <c r="R7" s="62">
        <f t="shared" si="0"/>
        <v>1</v>
      </c>
      <c r="S7" s="62">
        <f t="shared" si="0"/>
        <v>1</v>
      </c>
      <c r="T7" s="62">
        <f t="shared" si="0"/>
        <v>0</v>
      </c>
      <c r="U7" s="62">
        <f t="shared" si="0"/>
        <v>0</v>
      </c>
      <c r="V7" s="62">
        <f t="shared" si="0"/>
        <v>0</v>
      </c>
      <c r="W7" s="62">
        <f t="shared" si="0"/>
        <v>0</v>
      </c>
      <c r="X7" s="62">
        <f t="shared" si="0"/>
        <v>0</v>
      </c>
      <c r="Y7" s="62">
        <f t="shared" si="0"/>
        <v>0</v>
      </c>
      <c r="Z7" s="62">
        <f t="shared" si="0"/>
        <v>0</v>
      </c>
    </row>
    <row r="8" spans="2:26" outlineLevel="1" x14ac:dyDescent="0.2">
      <c r="B8" s="6"/>
      <c r="C8" t="s">
        <v>111</v>
      </c>
      <c r="D8" s="21" t="s">
        <v>16</v>
      </c>
      <c r="E8" s="62">
        <f>S8</f>
        <v>103</v>
      </c>
      <c r="F8" s="6"/>
      <c r="G8" s="62" cm="1">
        <f t="array" ref="G8">_xlfn.IFS(G5&gt;=Constr_P8,Inputs_Assumptions!$F$92,G5&gt;=Constr_P7,Inputs_Assumptions!$F$91,G5&gt;=Constr_P6,Inputs_Assumptions!$F$90,G5&gt;=Constr_P5,Inputs_Assumptions!$F$89,G5&gt;=Constr_P4,Inputs_Assumptions!$F$88,G5&gt;=Constr_P3,Inputs_Assumptions!$F$87,G5&gt;=Constr_P2,Inputs_Assumptions!$F$86,G5&gt;=Constr_P1,Inputs_Assumptions!$F$85,"TRUE",0)</f>
        <v>0</v>
      </c>
      <c r="H8" s="62" cm="1">
        <f t="array" ref="H8">_xlfn.IFS(H5&gt;=Constr_P8,Inputs_Assumptions!$F$92,H5&gt;=Constr_P7,Inputs_Assumptions!$F$91,H5&gt;=Constr_P6,Inputs_Assumptions!$F$90,H5&gt;=Constr_P5,Inputs_Assumptions!$F$89,H5&gt;=Constr_P4,Inputs_Assumptions!$F$88,H5&gt;=Constr_P3,Inputs_Assumptions!$F$87,H5&gt;=Constr_P2,Inputs_Assumptions!$F$86,H5&gt;=Constr_P1,Inputs_Assumptions!$F$85,"TRUE",0)</f>
        <v>0</v>
      </c>
      <c r="I8" s="62" cm="1">
        <f t="array" ref="I8">_xlfn.IFS(I5&gt;=Constr_P8,Inputs_Assumptions!$F$92,I5&gt;=Constr_P7,Inputs_Assumptions!$F$91,I5&gt;=Constr_P6,Inputs_Assumptions!$F$90,I5&gt;=Constr_P5,Inputs_Assumptions!$F$89,I5&gt;=Constr_P4,Inputs_Assumptions!$F$88,I5&gt;=Constr_P3,Inputs_Assumptions!$F$87,I5&gt;=Constr_P2,Inputs_Assumptions!$F$86,I5&gt;=Constr_P1,Inputs_Assumptions!$F$85,"TRUE",0)</f>
        <v>0</v>
      </c>
      <c r="J8" s="62" cm="1">
        <f t="array" ref="J8">_xlfn.IFS(J5&gt;=Constr_P8,Inputs_Assumptions!$F$92,J5&gt;=Constr_P7,Inputs_Assumptions!$F$91,J5&gt;=Constr_P6,Inputs_Assumptions!$F$90,J5&gt;=Constr_P5,Inputs_Assumptions!$F$89,J5&gt;=Constr_P4,Inputs_Assumptions!$F$88,J5&gt;=Constr_P3,Inputs_Assumptions!$F$87,J5&gt;=Constr_P2,Inputs_Assumptions!$F$86,J5&gt;=Constr_P1,Inputs_Assumptions!$F$85,"TRUE",0)</f>
        <v>0</v>
      </c>
      <c r="K8" s="62" cm="1">
        <f t="array" ref="K8">_xlfn.IFS(K5&gt;=Constr_P8,Inputs_Assumptions!$F$92,K5&gt;=Constr_P7,Inputs_Assumptions!$F$91,K5&gt;=Constr_P6,Inputs_Assumptions!$F$90,K5&gt;=Constr_P5,Inputs_Assumptions!$F$89,K5&gt;=Constr_P4,Inputs_Assumptions!$F$88,K5&gt;=Constr_P3,Inputs_Assumptions!$F$87,K5&gt;=Constr_P2,Inputs_Assumptions!$F$86,K5&gt;=Constr_P1,Inputs_Assumptions!$F$85,"TRUE",0)</f>
        <v>0</v>
      </c>
      <c r="L8" s="62" cm="1">
        <f t="array" ref="L8">_xlfn.IFS(L5&gt;=Constr_P8,Inputs_Assumptions!$F$92,L5&gt;=Constr_P7,Inputs_Assumptions!$F$91,L5&gt;=Constr_P6,Inputs_Assumptions!$F$90,L5&gt;=Constr_P5,Inputs_Assumptions!$F$89,L5&gt;=Constr_P4,Inputs_Assumptions!$F$88,L5&gt;=Constr_P3,Inputs_Assumptions!$F$87,L5&gt;=Constr_P2,Inputs_Assumptions!$F$86,L5&gt;=Constr_P1,Inputs_Assumptions!$F$85,"TRUE",0)</f>
        <v>6</v>
      </c>
      <c r="M8" s="62" cm="1">
        <f t="array" ref="M8">_xlfn.IFS(M5&gt;=Constr_P8,Inputs_Assumptions!$F$92,M5&gt;=Constr_P7,Inputs_Assumptions!$F$91,M5&gt;=Constr_P6,Inputs_Assumptions!$F$90,M5&gt;=Constr_P5,Inputs_Assumptions!$F$89,M5&gt;=Constr_P4,Inputs_Assumptions!$F$88,M5&gt;=Constr_P3,Inputs_Assumptions!$F$87,M5&gt;=Constr_P2,Inputs_Assumptions!$F$86,M5&gt;=Constr_P1,Inputs_Assumptions!$F$85,"TRUE",0)</f>
        <v>22</v>
      </c>
      <c r="N8" s="62" cm="1">
        <f t="array" ref="N8">_xlfn.IFS(N5&gt;=Constr_P8,Inputs_Assumptions!$F$92,N5&gt;=Constr_P7,Inputs_Assumptions!$F$91,N5&gt;=Constr_P6,Inputs_Assumptions!$F$90,N5&gt;=Constr_P5,Inputs_Assumptions!$F$89,N5&gt;=Constr_P4,Inputs_Assumptions!$F$88,N5&gt;=Constr_P3,Inputs_Assumptions!$F$87,N5&gt;=Constr_P2,Inputs_Assumptions!$F$86,N5&gt;=Constr_P1,Inputs_Assumptions!$F$85,"TRUE",0)</f>
        <v>30</v>
      </c>
      <c r="O8" s="62" cm="1">
        <f t="array" ref="O8">_xlfn.IFS(O5&gt;=Constr_P8,Inputs_Assumptions!$F$92,O5&gt;=Constr_P7,Inputs_Assumptions!$F$91,O5&gt;=Constr_P6,Inputs_Assumptions!$F$90,O5&gt;=Constr_P5,Inputs_Assumptions!$F$89,O5&gt;=Constr_P4,Inputs_Assumptions!$F$88,O5&gt;=Constr_P3,Inputs_Assumptions!$F$87,O5&gt;=Constr_P2,Inputs_Assumptions!$F$86,O5&gt;=Constr_P1,Inputs_Assumptions!$F$85,"TRUE",0)</f>
        <v>37</v>
      </c>
      <c r="P8" s="62" cm="1">
        <f t="array" ref="P8">_xlfn.IFS(P5&gt;=Constr_P8,Inputs_Assumptions!$F$92,P5&gt;=Constr_P7,Inputs_Assumptions!$F$91,P5&gt;=Constr_P6,Inputs_Assumptions!$F$90,P5&gt;=Constr_P5,Inputs_Assumptions!$F$89,P5&gt;=Constr_P4,Inputs_Assumptions!$F$88,P5&gt;=Constr_P3,Inputs_Assumptions!$F$87,P5&gt;=Constr_P2,Inputs_Assumptions!$F$86,P5&gt;=Constr_P1,Inputs_Assumptions!$F$85,"TRUE",0)</f>
        <v>60</v>
      </c>
      <c r="Q8" s="62" cm="1">
        <f t="array" ref="Q8">_xlfn.IFS(Q5&gt;=Constr_P8,Inputs_Assumptions!$F$92,Q5&gt;=Constr_P7,Inputs_Assumptions!$F$91,Q5&gt;=Constr_P6,Inputs_Assumptions!$F$90,Q5&gt;=Constr_P5,Inputs_Assumptions!$F$89,Q5&gt;=Constr_P4,Inputs_Assumptions!$F$88,Q5&gt;=Constr_P3,Inputs_Assumptions!$F$87,Q5&gt;=Constr_P2,Inputs_Assumptions!$F$86,Q5&gt;=Constr_P1,Inputs_Assumptions!$F$85,"TRUE",0)</f>
        <v>85</v>
      </c>
      <c r="R8" s="62" cm="1">
        <f t="array" ref="R8">_xlfn.IFS(R5&gt;=Constr_P8,Inputs_Assumptions!$F$92,R5&gt;=Constr_P7,Inputs_Assumptions!$F$91,R5&gt;=Constr_P6,Inputs_Assumptions!$F$90,R5&gt;=Constr_P5,Inputs_Assumptions!$F$89,R5&gt;=Constr_P4,Inputs_Assumptions!$F$88,R5&gt;=Constr_P3,Inputs_Assumptions!$F$87,R5&gt;=Constr_P2,Inputs_Assumptions!$F$86,R5&gt;=Constr_P1,Inputs_Assumptions!$F$85,"TRUE",0)</f>
        <v>97</v>
      </c>
      <c r="S8" s="62" cm="1">
        <f t="array" ref="S8">_xlfn.IFS(S5&gt;=Constr_P8,Inputs_Assumptions!$F$92,S5&gt;=Constr_P7,Inputs_Assumptions!$F$91,S5&gt;=Constr_P6,Inputs_Assumptions!$F$90,S5&gt;=Constr_P5,Inputs_Assumptions!$F$89,S5&gt;=Constr_P4,Inputs_Assumptions!$F$88,S5&gt;=Constr_P3,Inputs_Assumptions!$F$87,S5&gt;=Constr_P2,Inputs_Assumptions!$F$86,S5&gt;=Constr_P1,Inputs_Assumptions!$F$85,"TRUE",0)</f>
        <v>103</v>
      </c>
      <c r="T8" s="62" cm="1">
        <f t="array" ref="T8">_xlfn.IFS(T5&gt;=Constr_P8,Inputs_Assumptions!$F$92,T5&gt;=Constr_P7,Inputs_Assumptions!$F$91,T5&gt;=Constr_P6,Inputs_Assumptions!$F$90,T5&gt;=Constr_P5,Inputs_Assumptions!$F$89,T5&gt;=Constr_P4,Inputs_Assumptions!$F$88,T5&gt;=Constr_P3,Inputs_Assumptions!$F$87,T5&gt;=Constr_P2,Inputs_Assumptions!$F$86,T5&gt;=Constr_P1,Inputs_Assumptions!$F$85,"TRUE",0)</f>
        <v>103</v>
      </c>
      <c r="U8" s="62" cm="1">
        <f t="array" ref="U8">_xlfn.IFS(U5&gt;=Constr_P8,Inputs_Assumptions!$F$92,U5&gt;=Constr_P7,Inputs_Assumptions!$F$91,U5&gt;=Constr_P6,Inputs_Assumptions!$F$90,U5&gt;=Constr_P5,Inputs_Assumptions!$F$89,U5&gt;=Constr_P4,Inputs_Assumptions!$F$88,U5&gt;=Constr_P3,Inputs_Assumptions!$F$87,U5&gt;=Constr_P2,Inputs_Assumptions!$F$86,U5&gt;=Constr_P1,Inputs_Assumptions!$F$85,"TRUE",0)</f>
        <v>103</v>
      </c>
      <c r="V8" s="62" cm="1">
        <f t="array" ref="V8">_xlfn.IFS(V5&gt;=Constr_P8,Inputs_Assumptions!$F$92,V5&gt;=Constr_P7,Inputs_Assumptions!$F$91,V5&gt;=Constr_P6,Inputs_Assumptions!$F$90,V5&gt;=Constr_P5,Inputs_Assumptions!$F$89,V5&gt;=Constr_P4,Inputs_Assumptions!$F$88,V5&gt;=Constr_P3,Inputs_Assumptions!$F$87,V5&gt;=Constr_P2,Inputs_Assumptions!$F$86,V5&gt;=Constr_P1,Inputs_Assumptions!$F$85,"TRUE",0)</f>
        <v>103</v>
      </c>
      <c r="W8" s="62" cm="1">
        <f t="array" ref="W8">_xlfn.IFS(W5&gt;=Constr_P8,Inputs_Assumptions!$F$92,W5&gt;=Constr_P7,Inputs_Assumptions!$F$91,W5&gt;=Constr_P6,Inputs_Assumptions!$F$90,W5&gt;=Constr_P5,Inputs_Assumptions!$F$89,W5&gt;=Constr_P4,Inputs_Assumptions!$F$88,W5&gt;=Constr_P3,Inputs_Assumptions!$F$87,W5&gt;=Constr_P2,Inputs_Assumptions!$F$86,W5&gt;=Constr_P1,Inputs_Assumptions!$F$85,"TRUE",0)</f>
        <v>103</v>
      </c>
      <c r="X8" s="62" cm="1">
        <f t="array" ref="X8">_xlfn.IFS(X5&gt;=Constr_P8,Inputs_Assumptions!$F$92,X5&gt;=Constr_P7,Inputs_Assumptions!$F$91,X5&gt;=Constr_P6,Inputs_Assumptions!$F$90,X5&gt;=Constr_P5,Inputs_Assumptions!$F$89,X5&gt;=Constr_P4,Inputs_Assumptions!$F$88,X5&gt;=Constr_P3,Inputs_Assumptions!$F$87,X5&gt;=Constr_P2,Inputs_Assumptions!$F$86,X5&gt;=Constr_P1,Inputs_Assumptions!$F$85,"TRUE",0)</f>
        <v>103</v>
      </c>
      <c r="Y8" s="62" cm="1">
        <f t="array" ref="Y8">_xlfn.IFS(Y5&gt;=Constr_P8,Inputs_Assumptions!$F$92,Y5&gt;=Constr_P7,Inputs_Assumptions!$F$91,Y5&gt;=Constr_P6,Inputs_Assumptions!$F$90,Y5&gt;=Constr_P5,Inputs_Assumptions!$F$89,Y5&gt;=Constr_P4,Inputs_Assumptions!$F$88,Y5&gt;=Constr_P3,Inputs_Assumptions!$F$87,Y5&gt;=Constr_P2,Inputs_Assumptions!$F$86,Y5&gt;=Constr_P1,Inputs_Assumptions!$F$85,"TRUE",0)</f>
        <v>103</v>
      </c>
      <c r="Z8" s="62" cm="1">
        <f t="array" ref="Z8">_xlfn.IFS(Z5&gt;=Constr_P8,Inputs_Assumptions!$F$92,Z5&gt;=Constr_P7,Inputs_Assumptions!$F$91,Z5&gt;=Constr_P6,Inputs_Assumptions!$F$90,Z5&gt;=Constr_P5,Inputs_Assumptions!$F$89,Z5&gt;=Constr_P4,Inputs_Assumptions!$F$88,Z5&gt;=Constr_P3,Inputs_Assumptions!$F$87,Z5&gt;=Constr_P2,Inputs_Assumptions!$F$86,Z5&gt;=Constr_P1,Inputs_Assumptions!$F$85,"TRUE",0)</f>
        <v>103</v>
      </c>
    </row>
    <row r="9" spans="2:26" outlineLevel="1" x14ac:dyDescent="0.2">
      <c r="B9" s="6"/>
      <c r="C9" t="s">
        <v>289</v>
      </c>
      <c r="D9" s="21" t="s">
        <v>12</v>
      </c>
      <c r="E9" s="204">
        <f>SUM(G9:Z9)</f>
        <v>1</v>
      </c>
      <c r="F9" s="6"/>
      <c r="G9" s="51">
        <f>(H8-G8)/$E$8</f>
        <v>0</v>
      </c>
      <c r="H9" s="51">
        <f>(I8-H8)/$E$8</f>
        <v>0</v>
      </c>
      <c r="I9" s="51">
        <f>(J8-I8)/$E$8</f>
        <v>0</v>
      </c>
      <c r="J9" s="51">
        <f>(K8-J8)/$E$8</f>
        <v>0</v>
      </c>
      <c r="K9" s="51">
        <v>0</v>
      </c>
      <c r="L9" s="51">
        <f>(L8)/$E$8</f>
        <v>5.8252427184466021E-2</v>
      </c>
      <c r="M9" s="51">
        <f t="shared" ref="M9:S9" si="1">(M8-L8)/$E$8</f>
        <v>0.1553398058252427</v>
      </c>
      <c r="N9" s="51">
        <f t="shared" si="1"/>
        <v>7.7669902912621352E-2</v>
      </c>
      <c r="O9" s="51">
        <f t="shared" si="1"/>
        <v>6.7961165048543687E-2</v>
      </c>
      <c r="P9" s="51">
        <f t="shared" si="1"/>
        <v>0.22330097087378642</v>
      </c>
      <c r="Q9" s="51">
        <f t="shared" si="1"/>
        <v>0.24271844660194175</v>
      </c>
      <c r="R9" s="51">
        <f t="shared" si="1"/>
        <v>0.11650485436893204</v>
      </c>
      <c r="S9" s="51">
        <f t="shared" si="1"/>
        <v>5.8252427184466021E-2</v>
      </c>
      <c r="T9" s="51">
        <f>(U8-T8)/$E$8</f>
        <v>0</v>
      </c>
      <c r="U9" s="51">
        <f>(V8-U8)/$E$8</f>
        <v>0</v>
      </c>
      <c r="V9" s="51">
        <v>0</v>
      </c>
      <c r="W9" s="51">
        <v>0</v>
      </c>
      <c r="X9" s="51">
        <v>0</v>
      </c>
      <c r="Y9" s="51">
        <v>0</v>
      </c>
      <c r="Z9" s="51">
        <v>0</v>
      </c>
    </row>
    <row r="10" spans="2:26" outlineLevel="1" x14ac:dyDescent="0.2">
      <c r="B10" s="6"/>
      <c r="C10" t="s">
        <v>288</v>
      </c>
      <c r="D10" s="21" t="s">
        <v>12</v>
      </c>
      <c r="E10" s="204">
        <f>SUM(G10:Z10)</f>
        <v>1</v>
      </c>
      <c r="F10" s="6"/>
      <c r="G10" s="51">
        <v>0</v>
      </c>
      <c r="H10" s="51">
        <v>0</v>
      </c>
      <c r="I10" s="51">
        <f>L9</f>
        <v>5.8252427184466021E-2</v>
      </c>
      <c r="J10" s="51">
        <f t="shared" ref="J10:Q10" si="2">M9</f>
        <v>0.1553398058252427</v>
      </c>
      <c r="K10" s="51">
        <f t="shared" si="2"/>
        <v>7.7669902912621352E-2</v>
      </c>
      <c r="L10" s="51">
        <f t="shared" si="2"/>
        <v>6.7961165048543687E-2</v>
      </c>
      <c r="M10" s="51">
        <f t="shared" si="2"/>
        <v>0.22330097087378642</v>
      </c>
      <c r="N10" s="51">
        <f t="shared" si="2"/>
        <v>0.24271844660194175</v>
      </c>
      <c r="O10" s="51">
        <f t="shared" si="2"/>
        <v>0.11650485436893204</v>
      </c>
      <c r="P10" s="51">
        <f t="shared" si="2"/>
        <v>5.8252427184466021E-2</v>
      </c>
      <c r="Q10" s="51">
        <f t="shared" si="2"/>
        <v>0</v>
      </c>
      <c r="R10" s="51">
        <f>Q10</f>
        <v>0</v>
      </c>
      <c r="S10" s="51">
        <f t="shared" ref="S10:V10" si="3">R10</f>
        <v>0</v>
      </c>
      <c r="T10" s="51">
        <f t="shared" si="3"/>
        <v>0</v>
      </c>
      <c r="U10" s="51">
        <f t="shared" si="3"/>
        <v>0</v>
      </c>
      <c r="V10" s="51">
        <f t="shared" si="3"/>
        <v>0</v>
      </c>
      <c r="W10" s="51">
        <f t="shared" ref="W10:Z10" si="4">V10</f>
        <v>0</v>
      </c>
      <c r="X10" s="51">
        <f t="shared" si="4"/>
        <v>0</v>
      </c>
      <c r="Y10" s="51">
        <f t="shared" si="4"/>
        <v>0</v>
      </c>
      <c r="Z10" s="51">
        <f t="shared" si="4"/>
        <v>0</v>
      </c>
    </row>
    <row r="11" spans="2:26" outlineLevel="1" x14ac:dyDescent="0.2">
      <c r="B11" s="6"/>
      <c r="D11" s="21"/>
      <c r="E11" s="204"/>
      <c r="F11" s="6"/>
      <c r="G11" s="51"/>
      <c r="H11" s="51"/>
      <c r="I11" s="51"/>
      <c r="J11" s="51"/>
      <c r="K11" s="51"/>
      <c r="L11" s="51"/>
      <c r="M11" s="51"/>
      <c r="N11" s="51"/>
      <c r="O11" s="51"/>
      <c r="P11" s="51"/>
      <c r="Q11" s="51"/>
      <c r="R11" s="51"/>
      <c r="S11" s="51"/>
      <c r="T11" s="51"/>
      <c r="U11" s="51"/>
      <c r="V11" s="51"/>
      <c r="W11" s="51"/>
      <c r="X11" s="51"/>
      <c r="Y11" s="51"/>
      <c r="Z11" s="51"/>
    </row>
    <row r="12" spans="2:26" outlineLevel="1" x14ac:dyDescent="0.2">
      <c r="B12" s="6"/>
      <c r="D12" s="21"/>
      <c r="E12" s="6"/>
      <c r="F12" s="6"/>
      <c r="G12" s="37"/>
      <c r="H12" s="37"/>
      <c r="I12" s="37"/>
      <c r="J12" s="37"/>
      <c r="K12" s="37"/>
      <c r="L12" s="37"/>
      <c r="M12" s="37"/>
      <c r="N12" s="37"/>
      <c r="O12" s="37"/>
      <c r="P12" s="37"/>
      <c r="Q12" s="37"/>
      <c r="R12" s="37"/>
      <c r="S12" s="37"/>
      <c r="T12" s="37"/>
      <c r="U12" s="37"/>
      <c r="V12" s="37"/>
      <c r="W12" s="37"/>
      <c r="X12" s="37"/>
      <c r="Y12" s="37"/>
      <c r="Z12" s="37"/>
    </row>
    <row r="13" spans="2:26" outlineLevel="1" x14ac:dyDescent="0.2">
      <c r="B13" s="6"/>
      <c r="C13" s="9" t="s">
        <v>284</v>
      </c>
      <c r="D13" s="21" t="s">
        <v>126</v>
      </c>
      <c r="E13" s="103">
        <f>SUM(G13:Z13)</f>
        <v>1949.79</v>
      </c>
      <c r="F13" s="6"/>
      <c r="G13" s="103">
        <f>(Inputs_Assumptions!$E$28*Inputs_Assumptions!$E$108*1000/Million)*G9*Equity_In_Project</f>
        <v>0</v>
      </c>
      <c r="H13" s="103">
        <f>(Inputs_Assumptions!$E$28*Inputs_Assumptions!$E$108*1000/Million)*H9*Equity_In_Project</f>
        <v>0</v>
      </c>
      <c r="I13" s="103">
        <f>(Inputs_Assumptions!$E$28*Inputs_Assumptions!$E$108*1000/Million)*I9*Equity_In_Project</f>
        <v>0</v>
      </c>
      <c r="J13" s="103">
        <f>(Inputs_Assumptions!$E$28*Inputs_Assumptions!$E$108*1000/Million)*J9*Equity_In_Project</f>
        <v>0</v>
      </c>
      <c r="K13" s="103">
        <f>(Inputs_Assumptions!$E$28*Inputs_Assumptions!$E$108*1000/Million)*K9*Equity_In_Project</f>
        <v>0</v>
      </c>
      <c r="L13" s="103">
        <f>(Inputs_Assumptions!$E$28*Inputs_Assumptions!$E$108*1000/Million)*L9*Equity_In_Project</f>
        <v>113.58</v>
      </c>
      <c r="M13" s="103">
        <f>(Inputs_Assumptions!$E$28*Inputs_Assumptions!$E$108*1000/Million)*M9*Equity_In_Project</f>
        <v>302.88</v>
      </c>
      <c r="N13" s="103">
        <f>(Inputs_Assumptions!$E$28*Inputs_Assumptions!$E$108*1000/Million)*N9*Equity_In_Project</f>
        <v>151.44</v>
      </c>
      <c r="O13" s="103">
        <f>(Inputs_Assumptions!$E$28*Inputs_Assumptions!$E$108*1000/Million)*O9*Equity_In_Project</f>
        <v>132.51</v>
      </c>
      <c r="P13" s="103">
        <f>(Inputs_Assumptions!$E$28*Inputs_Assumptions!$E$108*1000/Million)*P9*Equity_In_Project</f>
        <v>435.39000000000004</v>
      </c>
      <c r="Q13" s="103">
        <f>(Inputs_Assumptions!$E$28*Inputs_Assumptions!$E$108*1000/Million)*Q9*Equity_In_Project</f>
        <v>473.25</v>
      </c>
      <c r="R13" s="103">
        <f>(Inputs_Assumptions!$E$28*Inputs_Assumptions!$E$108*1000/Million)*R9*Equity_In_Project</f>
        <v>227.16</v>
      </c>
      <c r="S13" s="103">
        <f>(Inputs_Assumptions!$E$28*Inputs_Assumptions!$E$108*1000/Million)*S9*Equity_In_Project</f>
        <v>113.58</v>
      </c>
      <c r="T13" s="103">
        <f>(Inputs_Assumptions!$E$28*Inputs_Assumptions!$E$108*1000/Million)*T9*Equity_In_Project</f>
        <v>0</v>
      </c>
      <c r="U13" s="103">
        <f>(Inputs_Assumptions!$E$28*Inputs_Assumptions!$E$108*1000/Million)*U9*Equity_In_Project</f>
        <v>0</v>
      </c>
      <c r="V13" s="103">
        <f>(Inputs_Assumptions!$E$28*Inputs_Assumptions!$E$108*1000/Million)*V9*Equity_In_Project</f>
        <v>0</v>
      </c>
      <c r="W13" s="103">
        <f>(Inputs_Assumptions!$E$28*Inputs_Assumptions!$E$108*1000/Million)*W9*Equity_In_Project</f>
        <v>0</v>
      </c>
      <c r="X13" s="103">
        <f>(Inputs_Assumptions!$E$28*Inputs_Assumptions!$E$108*1000/Million)*X9*Equity_In_Project</f>
        <v>0</v>
      </c>
      <c r="Y13" s="103">
        <f>(Inputs_Assumptions!$E$28*Inputs_Assumptions!$E$108*1000/Million)*Y9*Equity_In_Project</f>
        <v>0</v>
      </c>
      <c r="Z13" s="103">
        <f>(Inputs_Assumptions!$E$28*Inputs_Assumptions!$E$108*1000/Million)*Z9*Equity_In_Project</f>
        <v>0</v>
      </c>
    </row>
    <row r="14" spans="2:26" outlineLevel="1" x14ac:dyDescent="0.2">
      <c r="B14" s="6"/>
      <c r="C14" s="9" t="s">
        <v>285</v>
      </c>
      <c r="D14" s="21" t="s">
        <v>126</v>
      </c>
      <c r="E14" s="103">
        <f>SUM(G14:Z14)</f>
        <v>424.875</v>
      </c>
      <c r="F14" s="6"/>
      <c r="G14" s="103">
        <f>(Inputs_Assumptions!$E$28*Inputs_Assumptions!$E$109*1000/Million)*G10*Equity_In_Project</f>
        <v>0</v>
      </c>
      <c r="H14" s="103">
        <f>(Inputs_Assumptions!$E$28*Inputs_Assumptions!$E$109*1000/Million)*H10*Equity_In_Project</f>
        <v>0</v>
      </c>
      <c r="I14" s="103">
        <f>(Inputs_Assumptions!$E$28*Inputs_Assumptions!$E$109*1000/Million)*I10*Equity_In_Project</f>
        <v>24.75</v>
      </c>
      <c r="J14" s="103">
        <f>(Inputs_Assumptions!$E$28*Inputs_Assumptions!$E$109*1000/Million)*J10*Equity_In_Project</f>
        <v>66</v>
      </c>
      <c r="K14" s="103">
        <f>(Inputs_Assumptions!$E$28*Inputs_Assumptions!$E$109*1000/Million)*K10*Equity_In_Project</f>
        <v>33</v>
      </c>
      <c r="L14" s="103">
        <f>(Inputs_Assumptions!$E$28*Inputs_Assumptions!$E$109*1000/Million)*L10*Equity_In_Project</f>
        <v>28.875</v>
      </c>
      <c r="M14" s="103">
        <f>(Inputs_Assumptions!$E$28*Inputs_Assumptions!$E$109*1000/Million)*M10*Equity_In_Project</f>
        <v>94.875</v>
      </c>
      <c r="N14" s="103">
        <f>(Inputs_Assumptions!$E$28*Inputs_Assumptions!$E$109*1000/Million)*N10*Equity_In_Project</f>
        <v>103.125</v>
      </c>
      <c r="O14" s="103">
        <f>(Inputs_Assumptions!$E$28*Inputs_Assumptions!$E$109*1000/Million)*O10*Equity_In_Project</f>
        <v>49.5</v>
      </c>
      <c r="P14" s="103">
        <f>(Inputs_Assumptions!$E$28*Inputs_Assumptions!$E$109*1000/Million)*P10*Equity_In_Project</f>
        <v>24.75</v>
      </c>
      <c r="Q14" s="103">
        <f>(Inputs_Assumptions!$E$28*Inputs_Assumptions!$E$109*1000/Million)*Q10*Equity_In_Project</f>
        <v>0</v>
      </c>
      <c r="R14" s="103">
        <f>(Inputs_Assumptions!$E$28*Inputs_Assumptions!$E$109*1000/Million)*R10*Equity_In_Project</f>
        <v>0</v>
      </c>
      <c r="S14" s="103">
        <f>(Inputs_Assumptions!$E$28*Inputs_Assumptions!$E$109*1000/Million)*S10*Equity_In_Project</f>
        <v>0</v>
      </c>
      <c r="T14" s="103">
        <f>(Inputs_Assumptions!$E$28*Inputs_Assumptions!$E$109*1000/Million)*T10*Equity_In_Project</f>
        <v>0</v>
      </c>
      <c r="U14" s="103">
        <f>(Inputs_Assumptions!$E$28*Inputs_Assumptions!$E$109*1000/Million)*U10*Equity_In_Project</f>
        <v>0</v>
      </c>
      <c r="V14" s="103">
        <f>(Inputs_Assumptions!$E$28*Inputs_Assumptions!$E$109*1000/Million)*V10*Equity_In_Project</f>
        <v>0</v>
      </c>
      <c r="W14" s="103">
        <f>(Inputs_Assumptions!$E$28*Inputs_Assumptions!$E$109*1000/Million)*W10*Equity_In_Project</f>
        <v>0</v>
      </c>
      <c r="X14" s="103">
        <f>(Inputs_Assumptions!$E$28*Inputs_Assumptions!$E$109*1000/Million)*X10*Equity_In_Project</f>
        <v>0</v>
      </c>
      <c r="Y14" s="103">
        <f>(Inputs_Assumptions!$E$28*Inputs_Assumptions!$E$109*1000/Million)*Y10*Equity_In_Project</f>
        <v>0</v>
      </c>
      <c r="Z14" s="103">
        <f>(Inputs_Assumptions!$E$28*Inputs_Assumptions!$E$109*1000/Million)*Z10*Equity_In_Project</f>
        <v>0</v>
      </c>
    </row>
    <row r="15" spans="2:26" outlineLevel="1" x14ac:dyDescent="0.2">
      <c r="B15" s="6"/>
      <c r="C15" s="9" t="s">
        <v>287</v>
      </c>
      <c r="D15" s="21" t="s">
        <v>126</v>
      </c>
      <c r="E15" s="103">
        <f>SUM(G15:Z15)</f>
        <v>59.366625000000013</v>
      </c>
      <c r="F15" s="6"/>
      <c r="G15" s="103">
        <f>SUM(G13:G14)*Contigency</f>
        <v>0</v>
      </c>
      <c r="H15" s="103">
        <f>SUM(H13:H14)*Contigency</f>
        <v>0</v>
      </c>
      <c r="I15" s="103">
        <f>SUM(I13:I14)*Contigency</f>
        <v>0.61875000000000002</v>
      </c>
      <c r="J15" s="103">
        <f>SUM(J13:J14)*Contigency</f>
        <v>1.6500000000000001</v>
      </c>
      <c r="K15" s="103">
        <f>SUM(K13:K14)*Contigency</f>
        <v>0.82500000000000007</v>
      </c>
      <c r="L15" s="103">
        <f t="shared" ref="L15:Z15" si="5">SUM(L13:L14)*Contigency</f>
        <v>3.561375</v>
      </c>
      <c r="M15" s="103">
        <f>SUM(M13:M14)*Contigency</f>
        <v>9.9438750000000002</v>
      </c>
      <c r="N15" s="103">
        <f>SUM(N13:N14)*Contigency</f>
        <v>6.3641250000000005</v>
      </c>
      <c r="O15" s="103">
        <f>SUM(O13:O14)*Contigency</f>
        <v>4.5502500000000001</v>
      </c>
      <c r="P15" s="103">
        <f>SUM(P13:P14)*Contigency</f>
        <v>11.503500000000003</v>
      </c>
      <c r="Q15" s="103">
        <f t="shared" si="5"/>
        <v>11.831250000000001</v>
      </c>
      <c r="R15" s="103">
        <f>SUM(R13:R14)*Contigency</f>
        <v>5.6790000000000003</v>
      </c>
      <c r="S15" s="103">
        <f t="shared" si="5"/>
        <v>2.8395000000000001</v>
      </c>
      <c r="T15" s="103">
        <f t="shared" si="5"/>
        <v>0</v>
      </c>
      <c r="U15" s="103">
        <f t="shared" si="5"/>
        <v>0</v>
      </c>
      <c r="V15" s="103">
        <f t="shared" si="5"/>
        <v>0</v>
      </c>
      <c r="W15" s="103">
        <f t="shared" si="5"/>
        <v>0</v>
      </c>
      <c r="X15" s="103">
        <f t="shared" si="5"/>
        <v>0</v>
      </c>
      <c r="Y15" s="103">
        <f t="shared" si="5"/>
        <v>0</v>
      </c>
      <c r="Z15" s="103">
        <f t="shared" si="5"/>
        <v>0</v>
      </c>
    </row>
    <row r="16" spans="2:26" outlineLevel="1" x14ac:dyDescent="0.2">
      <c r="B16" s="6"/>
      <c r="C16" s="9" t="s">
        <v>396</v>
      </c>
      <c r="D16" s="21" t="s">
        <v>126</v>
      </c>
      <c r="E16" s="103">
        <f ca="1">SUM(G16:Z16)</f>
        <v>60.613921606013371</v>
      </c>
      <c r="F16" s="6"/>
      <c r="G16" s="103">
        <f ca="1">IF(G5&lt;=Debt_Refinance_Date,IRR_Revenue_Model!G114,0)</f>
        <v>0</v>
      </c>
      <c r="H16" s="103">
        <f ca="1">IF(H5&lt;=Debt_Refinance_Date,IRR_Revenue_Model!H114,0)</f>
        <v>0</v>
      </c>
      <c r="I16" s="103">
        <f ca="1">IF(I5&lt;=Debt_Refinance_Date,IRR_Revenue_Model!I114,0)</f>
        <v>0</v>
      </c>
      <c r="J16" s="103">
        <f ca="1">IF(J5&lt;=Debt_Refinance_Date,IRR_Revenue_Model!J114,0)</f>
        <v>0</v>
      </c>
      <c r="K16" s="103">
        <f ca="1">IF(K5&lt;=Debt_Refinance_Date,IRR_Revenue_Model!K114,0)</f>
        <v>0</v>
      </c>
      <c r="L16" s="103">
        <f ca="1">IF(L5&lt;=Debt_Refinance_Date,IRR_Revenue_Model!L114,0)</f>
        <v>0</v>
      </c>
      <c r="M16" s="103">
        <f ca="1">IF(M5&lt;=Debt_Refinance_Date,IRR_Revenue_Model!M114,0)</f>
        <v>0</v>
      </c>
      <c r="N16" s="103">
        <f ca="1">IF(N5&lt;=Debt_Refinance_Date,IRR_Revenue_Model!N114,0)</f>
        <v>0</v>
      </c>
      <c r="O16" s="103">
        <f ca="1">IF(O5&lt;=Debt_Refinance_Date,IRR_Revenue_Model!O114,0)</f>
        <v>0</v>
      </c>
      <c r="P16" s="103">
        <f ca="1">IF(P5&lt;=Debt_Refinance_Date,IRR_Revenue_Model!P114,0)</f>
        <v>0</v>
      </c>
      <c r="Q16" s="103">
        <f ca="1">IF(Q5&lt;=Debt_Refinance_Date,IRR_Revenue_Model!Q114,0)</f>
        <v>0</v>
      </c>
      <c r="R16" s="103">
        <f ca="1">IF(R5&lt;=Debt_Refinance_Date,IRR_Revenue_Model!R114,0)</f>
        <v>0</v>
      </c>
      <c r="S16" s="103">
        <f ca="1">IF(S5&lt;=Debt_Refinance_Date,IRR_Revenue_Model!S114,0)</f>
        <v>0</v>
      </c>
      <c r="T16" s="103">
        <f ca="1">IF(T5&lt;=Debt_Refinance_Date,IRR_Revenue_Model!T114,0)</f>
        <v>0</v>
      </c>
      <c r="U16" s="103">
        <f ca="1">IF(U5&lt;=Debt_Refinance_Date,IRR_Revenue_Model!U114,0)</f>
        <v>0</v>
      </c>
      <c r="V16" s="103">
        <f ca="1">IF(V5&lt;=Debt_Refinance_Date,IRR_Revenue_Model!V114,0)</f>
        <v>30.961047262086112</v>
      </c>
      <c r="W16" s="103">
        <f ca="1">IF(W5&lt;=Debt_Refinance_Date,IRR_Revenue_Model!W114-IRR_Revenue_Model!V114,0)</f>
        <v>29.652874343927259</v>
      </c>
      <c r="X16" s="103">
        <f>IF(X5&lt;=Debt_Refinance_Date,IRR_Revenue_Model!X114,0)</f>
        <v>0</v>
      </c>
      <c r="Y16" s="103">
        <f>IF(Y5&lt;=Debt_Refinance_Date,IRR_Revenue_Model!Y114,0)</f>
        <v>0</v>
      </c>
      <c r="Z16" s="103">
        <f>IF(Z5&lt;=Debt_Refinance_Date,IRR_Revenue_Model!Z114,0)</f>
        <v>0</v>
      </c>
    </row>
    <row r="17" spans="2:99" outlineLevel="1" x14ac:dyDescent="0.2">
      <c r="C17" s="206" t="s">
        <v>294</v>
      </c>
      <c r="D17" s="64" t="s">
        <v>126</v>
      </c>
      <c r="E17" s="207">
        <f ca="1">SUM(G17:Z17)</f>
        <v>2494.6455466060133</v>
      </c>
      <c r="F17" s="208"/>
      <c r="G17" s="207">
        <f ca="1">SUM(G13:G16)</f>
        <v>0</v>
      </c>
      <c r="H17" s="207">
        <f t="shared" ref="H17:Z17" ca="1" si="6">SUM(H13:H16)</f>
        <v>0</v>
      </c>
      <c r="I17" s="207">
        <f t="shared" ca="1" si="6"/>
        <v>25.368749999999999</v>
      </c>
      <c r="J17" s="207">
        <f t="shared" ca="1" si="6"/>
        <v>67.650000000000006</v>
      </c>
      <c r="K17" s="207">
        <f t="shared" ca="1" si="6"/>
        <v>33.825000000000003</v>
      </c>
      <c r="L17" s="207">
        <f t="shared" ca="1" si="6"/>
        <v>146.01637499999998</v>
      </c>
      <c r="M17" s="207">
        <f t="shared" ca="1" si="6"/>
        <v>407.69887499999999</v>
      </c>
      <c r="N17" s="207">
        <f t="shared" ca="1" si="6"/>
        <v>260.929125</v>
      </c>
      <c r="O17" s="207">
        <f t="shared" ca="1" si="6"/>
        <v>186.56025</v>
      </c>
      <c r="P17" s="207">
        <f t="shared" ca="1" si="6"/>
        <v>471.64350000000002</v>
      </c>
      <c r="Q17" s="207">
        <f t="shared" ca="1" si="6"/>
        <v>485.08125000000001</v>
      </c>
      <c r="R17" s="207">
        <f t="shared" ca="1" si="6"/>
        <v>232.839</v>
      </c>
      <c r="S17" s="207">
        <f t="shared" ca="1" si="6"/>
        <v>116.4195</v>
      </c>
      <c r="T17" s="207">
        <f t="shared" ca="1" si="6"/>
        <v>0</v>
      </c>
      <c r="U17" s="207">
        <f t="shared" ca="1" si="6"/>
        <v>0</v>
      </c>
      <c r="V17" s="207">
        <f t="shared" ca="1" si="6"/>
        <v>30.961047262086112</v>
      </c>
      <c r="W17" s="207">
        <f t="shared" ca="1" si="6"/>
        <v>29.652874343927259</v>
      </c>
      <c r="X17" s="207">
        <f t="shared" si="6"/>
        <v>0</v>
      </c>
      <c r="Y17" s="207">
        <f t="shared" si="6"/>
        <v>0</v>
      </c>
      <c r="Z17" s="207">
        <f t="shared" si="6"/>
        <v>0</v>
      </c>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row>
    <row r="18" spans="2:99" outlineLevel="1" x14ac:dyDescent="0.2">
      <c r="B18" s="6"/>
      <c r="C18" s="9"/>
      <c r="D18" s="21"/>
      <c r="E18" s="103"/>
      <c r="F18" s="6"/>
      <c r="G18" s="103"/>
      <c r="H18" s="103"/>
      <c r="I18" s="103"/>
      <c r="J18" s="103"/>
      <c r="K18" s="103"/>
      <c r="L18" s="103"/>
      <c r="M18" s="103"/>
      <c r="N18" s="103"/>
      <c r="O18" s="103"/>
      <c r="P18" s="103"/>
      <c r="Q18" s="103"/>
      <c r="R18" s="103"/>
      <c r="S18" s="103"/>
      <c r="T18" s="103"/>
      <c r="U18" s="103"/>
      <c r="V18" s="103"/>
      <c r="W18" s="103"/>
      <c r="X18" s="103"/>
      <c r="Y18" s="103"/>
      <c r="Z18" s="103"/>
    </row>
    <row r="19" spans="2:99" outlineLevel="1" x14ac:dyDescent="0.2">
      <c r="B19" s="6"/>
      <c r="C19" s="9" t="s">
        <v>49</v>
      </c>
      <c r="D19" s="21" t="s">
        <v>126</v>
      </c>
      <c r="E19" s="103">
        <f ca="1">SUM(G19:Z19)</f>
        <v>149.30938452501755</v>
      </c>
      <c r="F19" s="6"/>
      <c r="G19" s="104">
        <f>IF(AND(G5&gt;FID_Date,G5&lt;Debt_Refinance_Date),G31*Inputs_Assumptions!$E$164,0)</f>
        <v>0</v>
      </c>
      <c r="H19" s="104">
        <f>IF(AND(H5&gt;FID_Date,H5&lt;Debt_Refinance_Date),H31*Inputs_Assumptions!$E$164,0)</f>
        <v>0</v>
      </c>
      <c r="I19" s="104">
        <f ca="1">IF(AND(I5&gt;FID_Date,I5&lt;Debt_Refinance_Date),I31*Inputs_Assumptions!$E$164,0)</f>
        <v>0</v>
      </c>
      <c r="J19" s="104">
        <f ca="1">IF(AND(J5&gt;FID_Date,J5&lt;Debt_Refinance_Date),J31*Inputs_Assumptions!$E$164,0)</f>
        <v>0.46221677921844867</v>
      </c>
      <c r="K19" s="104">
        <f ca="1">IF(AND(K5&gt;FID_Date,K5&lt;Debt_Refinance_Date),K31*Inputs_Assumptions!$E$164,0)</f>
        <v>1.1328000790522856</v>
      </c>
      <c r="L19" s="104">
        <f ca="1">IF(AND(L5&gt;FID_Date,L5&lt;Debt_Refinance_Date),L31*Inputs_Assumptions!$E$164,0)</f>
        <v>1.4938108500501728</v>
      </c>
      <c r="M19" s="104">
        <f ca="1">IF(AND(M5&gt;FID_Date,M5&lt;Debt_Refinance_Date),M31*Inputs_Assumptions!$E$164,0)</f>
        <v>2.9014863504927217</v>
      </c>
      <c r="N19" s="104">
        <f ca="1">IF(AND(N5&gt;FID_Date,N5&lt;Debt_Refinance_Date),N31*Inputs_Assumptions!$E$164,0)</f>
        <v>6.7045939180401719</v>
      </c>
      <c r="O19" s="104">
        <f ca="1">IF(AND(O5&gt;FID_Date,O5&lt;Debt_Refinance_Date),O31*Inputs_Assumptions!$E$164,0)</f>
        <v>9.0031664434400902</v>
      </c>
      <c r="P19" s="104">
        <f ca="1">IF(AND(P5&gt;FID_Date,P5&lt;Debt_Refinance_Date),P31*Inputs_Assumptions!$E$164,0)</f>
        <v>10.54337047194398</v>
      </c>
      <c r="Q19" s="104">
        <f ca="1">IF(AND(Q5&gt;FID_Date,Q5&lt;Debt_Refinance_Date),Q31*Inputs_Assumptions!$E$164,0)</f>
        <v>14.800967806072316</v>
      </c>
      <c r="R19" s="104">
        <f ca="1">IF(AND(R5&gt;FID_Date,R5&lt;Debt_Refinance_Date),R31*Inputs_Assumptions!$E$164,0)</f>
        <v>19.146981394563834</v>
      </c>
      <c r="S19" s="104">
        <f ca="1">IF(AND(S5&gt;FID_Date,S5&lt;Debt_Refinance_Date),S31*Inputs_Assumptions!$E$164,0)</f>
        <v>20.746700393689576</v>
      </c>
      <c r="T19" s="104">
        <f ca="1">IF(AND(T5&gt;FID_Date,T5&lt;Debt_Refinance_Date),T31*Inputs_Assumptions!$E$164,0)</f>
        <v>21.120721993907928</v>
      </c>
      <c r="U19" s="104">
        <f ca="1">IF(AND(U5&gt;FID_Date,U5&lt;Debt_Refinance_Date),U31*Inputs_Assumptions!$E$164,0)</f>
        <v>20.755914070981639</v>
      </c>
      <c r="V19" s="104">
        <f ca="1">IF(AND(V5&gt;FID_Date,V5&lt;Debt_Refinance_Date),V31*Inputs_Assumptions!$E$164,0)</f>
        <v>20.496653973564381</v>
      </c>
      <c r="W19" s="104">
        <f>IF(AND(W5&gt;FID_Date,W5&lt;Debt_Refinance_Date),W31*Inputs_Assumptions!$E$164,0)</f>
        <v>0</v>
      </c>
      <c r="X19" s="104">
        <f>IF(AND(X5&gt;FID_Date,X5&lt;Debt_Refinance_Date),X31*Inputs_Assumptions!$E$164,0)</f>
        <v>0</v>
      </c>
      <c r="Y19" s="104">
        <f>IF(AND(Y5&gt;FID_Date,Y5&lt;Debt_Refinance_Date),Y31*Inputs_Assumptions!$E$164,0)</f>
        <v>0</v>
      </c>
      <c r="Z19" s="104">
        <f>IF(AND(Z5&gt;FID_Date,Z5&lt;Debt_Refinance_Date),Z31*Inputs_Assumptions!$E$164,0)</f>
        <v>0</v>
      </c>
    </row>
    <row r="20" spans="2:99" outlineLevel="1" x14ac:dyDescent="0.2">
      <c r="B20" s="6"/>
      <c r="C20" s="9" t="s">
        <v>61</v>
      </c>
      <c r="D20" s="21" t="s">
        <v>126</v>
      </c>
      <c r="E20" s="103">
        <f ca="1">SUM(G20:Z20)</f>
        <v>20.268995066173858</v>
      </c>
      <c r="F20" s="6"/>
      <c r="G20" s="104">
        <f t="shared" ref="G20:Z20" si="7">IF(AND(F7&lt;&gt;1,G7=1),Max_Debt_Draw*Loan_Upfront_Fee_Pct,0)</f>
        <v>0</v>
      </c>
      <c r="H20" s="104">
        <f t="shared" si="7"/>
        <v>0</v>
      </c>
      <c r="I20" s="104">
        <f t="shared" ca="1" si="7"/>
        <v>20.268995066173858</v>
      </c>
      <c r="J20" s="104">
        <f t="shared" si="7"/>
        <v>0</v>
      </c>
      <c r="K20" s="104">
        <f t="shared" si="7"/>
        <v>0</v>
      </c>
      <c r="L20" s="104">
        <f t="shared" si="7"/>
        <v>0</v>
      </c>
      <c r="M20" s="104">
        <f t="shared" si="7"/>
        <v>0</v>
      </c>
      <c r="N20" s="104">
        <f t="shared" si="7"/>
        <v>0</v>
      </c>
      <c r="O20" s="104">
        <f t="shared" si="7"/>
        <v>0</v>
      </c>
      <c r="P20" s="104">
        <f t="shared" si="7"/>
        <v>0</v>
      </c>
      <c r="Q20" s="104">
        <f t="shared" si="7"/>
        <v>0</v>
      </c>
      <c r="R20" s="104">
        <f t="shared" si="7"/>
        <v>0</v>
      </c>
      <c r="S20" s="104">
        <f t="shared" si="7"/>
        <v>0</v>
      </c>
      <c r="T20" s="104">
        <f t="shared" si="7"/>
        <v>0</v>
      </c>
      <c r="U20" s="104">
        <f t="shared" si="7"/>
        <v>0</v>
      </c>
      <c r="V20" s="104">
        <f t="shared" si="7"/>
        <v>0</v>
      </c>
      <c r="W20" s="104">
        <f t="shared" si="7"/>
        <v>0</v>
      </c>
      <c r="X20" s="104">
        <f t="shared" si="7"/>
        <v>0</v>
      </c>
      <c r="Y20" s="104">
        <f t="shared" si="7"/>
        <v>0</v>
      </c>
      <c r="Z20" s="104">
        <f t="shared" si="7"/>
        <v>0</v>
      </c>
    </row>
    <row r="21" spans="2:99" outlineLevel="1" x14ac:dyDescent="0.2">
      <c r="B21" s="6"/>
      <c r="C21" s="9" t="s">
        <v>62</v>
      </c>
      <c r="D21" s="32" t="s">
        <v>126</v>
      </c>
      <c r="E21" s="103">
        <f ca="1">SUM(G21:Z21)</f>
        <v>30.562563634417785</v>
      </c>
      <c r="F21" s="89"/>
      <c r="G21" s="105">
        <f>IF(AND(G5&gt;FID_Date,G5&lt;Debt_Refinance_Date),G28*Inputs_Assumptions!$E$169,0)</f>
        <v>0</v>
      </c>
      <c r="H21" s="105">
        <f>IF(AND(H5&gt;FID_Date,H5&lt;Debt_Refinance_Date),H28*Inputs_Assumptions!$E$169,0)</f>
        <v>0</v>
      </c>
      <c r="I21" s="105">
        <f ca="1">IF(AND(I5&gt;FID_Date,I5&lt;Debt_Refinance_Date),I28*Inputs_Assumptions!$E$169,0)</f>
        <v>4.0386853386716863</v>
      </c>
      <c r="J21" s="105">
        <f ca="1">IF(AND(J5&gt;FID_Date,J5&lt;Debt_Refinance_Date),J28*Inputs_Assumptions!$E$169,0)</f>
        <v>3.9582621012195558</v>
      </c>
      <c r="K21" s="105">
        <f ca="1">IF(AND(K5&gt;FID_Date,K5&lt;Debt_Refinance_Date),K28*Inputs_Assumptions!$E$169,0)</f>
        <v>3.8415842081210854</v>
      </c>
      <c r="L21" s="105">
        <f ca="1">IF(AND(L5&gt;FID_Date,L5&lt;Debt_Refinance_Date),L28*Inputs_Assumptions!$E$169,0)</f>
        <v>3.7787702726169869</v>
      </c>
      <c r="M21" s="105">
        <f ca="1">IF(AND(M5&gt;FID_Date,M5&lt;Debt_Refinance_Date),M28*Inputs_Assumptions!$E$169,0)</f>
        <v>3.5338422948420116</v>
      </c>
      <c r="N21" s="105">
        <f ca="1">IF(AND(N5&gt;FID_Date,N5&lt;Debt_Refinance_Date),N28*Inputs_Assumptions!$E$169,0)</f>
        <v>2.87212200100493</v>
      </c>
      <c r="O21" s="105">
        <f ca="1">IF(AND(O5&gt;FID_Date,O5&lt;Debt_Refinance_Date),O28*Inputs_Assumptions!$E$169,0)</f>
        <v>2.472182725057932</v>
      </c>
      <c r="P21" s="105">
        <f ca="1">IF(AND(P5&gt;FID_Date,P5&lt;Debt_Refinance_Date),P28*Inputs_Assumptions!$E$169,0)</f>
        <v>2.2041954950864429</v>
      </c>
      <c r="Q21" s="105">
        <f ca="1">IF(AND(Q5&gt;FID_Date,Q5&lt;Debt_Refinance_Date),Q28*Inputs_Assumptions!$E$169,0)</f>
        <v>1.4633964225016451</v>
      </c>
      <c r="R21" s="105">
        <f ca="1">IF(AND(R5&gt;FID_Date,R5&lt;Debt_Refinance_Date),R28*Inputs_Assumptions!$E$169,0)</f>
        <v>0.70721339645825299</v>
      </c>
      <c r="S21" s="105">
        <f ca="1">IF(AND(S5&gt;FID_Date,S5&lt;Debt_Refinance_Date),S28*Inputs_Assumptions!$E$169,0)</f>
        <v>0.4288708811975297</v>
      </c>
      <c r="T21" s="105">
        <f ca="1">IF(AND(T5&gt;FID_Date,T5&lt;Debt_Refinance_Date),T28*Inputs_Assumptions!$E$169,0)</f>
        <v>0.36379313127800583</v>
      </c>
      <c r="U21" s="105">
        <f ca="1">IF(AND(U5&gt;FID_Date,U5&lt;Debt_Refinance_Date),U28*Inputs_Assumptions!$E$169,0)</f>
        <v>0.42726775082671137</v>
      </c>
      <c r="V21" s="105">
        <f ca="1">IF(AND(V5&gt;FID_Date,V5&lt;Debt_Refinance_Date),V28*Inputs_Assumptions!$E$169,0)</f>
        <v>0.47237761553501201</v>
      </c>
      <c r="W21" s="105">
        <f>IF(AND(W5&gt;FID_Date,W5&lt;Debt_Refinance_Date),W28*Inputs_Assumptions!$E$169,0)</f>
        <v>0</v>
      </c>
      <c r="X21" s="105">
        <f>IF(AND(X5&gt;FID_Date,X5&lt;Debt_Refinance_Date),X28*Inputs_Assumptions!$E$169,0)</f>
        <v>0</v>
      </c>
      <c r="Y21" s="105">
        <f>IF(AND(Y5&gt;FID_Date,Y5&lt;Debt_Refinance_Date),Y28*Inputs_Assumptions!$E$169,0)</f>
        <v>0</v>
      </c>
      <c r="Z21" s="105">
        <f>IF(AND(Z5&gt;FID_Date,Z5&lt;Debt_Refinance_Date),Z28*Inputs_Assumptions!$E$169,0)</f>
        <v>0</v>
      </c>
    </row>
    <row r="22" spans="2:99" outlineLevel="1" x14ac:dyDescent="0.2">
      <c r="C22" s="63" t="s">
        <v>70</v>
      </c>
      <c r="D22" s="64" t="s">
        <v>126</v>
      </c>
      <c r="E22" s="210">
        <f ca="1">SUM(G22:Z22)</f>
        <v>2694.7864898316229</v>
      </c>
      <c r="F22" s="106"/>
      <c r="G22" s="106">
        <f t="shared" ref="G22:H22" ca="1" si="8">SUM(G13:G16)+SUM(G19:G21)</f>
        <v>0</v>
      </c>
      <c r="H22" s="106">
        <f t="shared" ca="1" si="8"/>
        <v>0</v>
      </c>
      <c r="I22" s="106">
        <f ca="1">SUM(I13:I16)+SUM(I19:I21)</f>
        <v>49.676430404845547</v>
      </c>
      <c r="J22" s="106">
        <f t="shared" ref="J22:W22" ca="1" si="9">SUM(J13:J16)+SUM(J19:J21)</f>
        <v>72.070478880438003</v>
      </c>
      <c r="K22" s="106">
        <f t="shared" ca="1" si="9"/>
        <v>38.799384287173375</v>
      </c>
      <c r="L22" s="106">
        <f t="shared" ca="1" si="9"/>
        <v>151.28895612266714</v>
      </c>
      <c r="M22" s="106">
        <f t="shared" ca="1" si="9"/>
        <v>414.13420364533471</v>
      </c>
      <c r="N22" s="106">
        <f t="shared" ca="1" si="9"/>
        <v>270.50584091904511</v>
      </c>
      <c r="O22" s="106">
        <f t="shared" ca="1" si="9"/>
        <v>198.03559916849801</v>
      </c>
      <c r="P22" s="106">
        <f t="shared" ca="1" si="9"/>
        <v>484.39106596703044</v>
      </c>
      <c r="Q22" s="106">
        <f t="shared" ca="1" si="9"/>
        <v>501.34561422857399</v>
      </c>
      <c r="R22" s="106">
        <f t="shared" ca="1" si="9"/>
        <v>252.69319479102208</v>
      </c>
      <c r="S22" s="106">
        <f t="shared" ca="1" si="9"/>
        <v>137.59507127488712</v>
      </c>
      <c r="T22" s="106">
        <f t="shared" ca="1" si="9"/>
        <v>21.484515125185933</v>
      </c>
      <c r="U22" s="106">
        <f t="shared" ca="1" si="9"/>
        <v>21.183181821808351</v>
      </c>
      <c r="V22" s="106">
        <f t="shared" ca="1" si="9"/>
        <v>51.930078851185506</v>
      </c>
      <c r="W22" s="106">
        <f t="shared" ca="1" si="9"/>
        <v>29.652874343927259</v>
      </c>
      <c r="X22" s="106">
        <f t="shared" ref="X22" si="10">SUM(X13:X16)+SUM(X19:X21)</f>
        <v>0</v>
      </c>
      <c r="Y22" s="106">
        <f t="shared" ref="Y22" si="11">SUM(Y13:Y16)+SUM(Y19:Y21)</f>
        <v>0</v>
      </c>
      <c r="Z22" s="106">
        <f t="shared" ref="Z22" si="12">SUM(Z13:Z16)+SUM(Z19:Z21)</f>
        <v>0</v>
      </c>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row>
    <row r="23" spans="2:99" outlineLevel="1" x14ac:dyDescent="0.2">
      <c r="G23" s="3"/>
      <c r="H23" s="3"/>
      <c r="I23" s="3"/>
      <c r="J23" s="3"/>
      <c r="K23" s="3"/>
      <c r="L23" s="3"/>
      <c r="M23" s="3"/>
      <c r="N23" s="3"/>
      <c r="O23" s="3"/>
      <c r="P23" s="3"/>
      <c r="Q23" s="3"/>
      <c r="R23" s="3"/>
      <c r="S23" s="3"/>
      <c r="T23" s="3"/>
      <c r="U23" s="3"/>
      <c r="V23" s="3"/>
      <c r="W23" s="3"/>
      <c r="X23" s="3"/>
      <c r="Y23" s="3"/>
      <c r="Z23" s="3"/>
    </row>
    <row r="24" spans="2:99" outlineLevel="1" x14ac:dyDescent="0.2">
      <c r="C24" t="s">
        <v>5</v>
      </c>
      <c r="D24" s="21" t="s">
        <v>126</v>
      </c>
      <c r="E24" s="103">
        <f ca="1">SUM(G24:Z24)</f>
        <v>921.96039887896325</v>
      </c>
      <c r="F24" s="44"/>
      <c r="G24" s="104">
        <f t="shared" ref="G24:Z24" si="13">IF(AND(G5&gt;FID_Date,G5&lt;Debt_Refinance_Date),IF(G16&gt;0,(G22-G16)*(1-Constr_Debt_Pct),G22*(1-Constr_Debt_Pct)),0)</f>
        <v>0</v>
      </c>
      <c r="H24" s="104">
        <f t="shared" si="13"/>
        <v>0</v>
      </c>
      <c r="I24" s="104">
        <f t="shared" ca="1" si="13"/>
        <v>17.38675064169594</v>
      </c>
      <c r="J24" s="104">
        <f t="shared" ca="1" si="13"/>
        <v>25.2246676081533</v>
      </c>
      <c r="K24" s="104">
        <f t="shared" ca="1" si="13"/>
        <v>13.57978450051068</v>
      </c>
      <c r="L24" s="104">
        <f t="shared" ca="1" si="13"/>
        <v>52.951134642933496</v>
      </c>
      <c r="M24" s="104">
        <f t="shared" ca="1" si="13"/>
        <v>144.94697127586713</v>
      </c>
      <c r="N24" s="104">
        <f t="shared" ca="1" si="13"/>
        <v>94.67704432166579</v>
      </c>
      <c r="O24" s="104">
        <f t="shared" ca="1" si="13"/>
        <v>69.312459708974302</v>
      </c>
      <c r="P24" s="104">
        <f t="shared" ca="1" si="13"/>
        <v>169.53687308846065</v>
      </c>
      <c r="Q24" s="104">
        <f t="shared" ca="1" si="13"/>
        <v>175.4709649800009</v>
      </c>
      <c r="R24" s="104">
        <f t="shared" ca="1" si="13"/>
        <v>88.442618176857721</v>
      </c>
      <c r="S24" s="104">
        <f t="shared" ca="1" si="13"/>
        <v>48.15827494621049</v>
      </c>
      <c r="T24" s="104">
        <f t="shared" ca="1" si="13"/>
        <v>7.5195802938150758</v>
      </c>
      <c r="U24" s="104">
        <f t="shared" ca="1" si="13"/>
        <v>7.414113637632922</v>
      </c>
      <c r="V24" s="104">
        <f t="shared" ca="1" si="13"/>
        <v>7.3391610561847873</v>
      </c>
      <c r="W24" s="104">
        <f t="shared" si="13"/>
        <v>0</v>
      </c>
      <c r="X24" s="104">
        <f t="shared" si="13"/>
        <v>0</v>
      </c>
      <c r="Y24" s="104">
        <f t="shared" si="13"/>
        <v>0</v>
      </c>
      <c r="Z24" s="104">
        <f t="shared" si="13"/>
        <v>0</v>
      </c>
    </row>
    <row r="25" spans="2:99" ht="51" outlineLevel="1" x14ac:dyDescent="0.2">
      <c r="C25" s="291" t="s">
        <v>420</v>
      </c>
      <c r="D25" s="21" t="s">
        <v>126</v>
      </c>
      <c r="E25" s="103">
        <f ca="1">SUM(G25:Z25)</f>
        <v>1772.8260909526596</v>
      </c>
      <c r="F25" s="16"/>
      <c r="G25" s="104">
        <f ca="1">G22-G24</f>
        <v>0</v>
      </c>
      <c r="H25" s="104">
        <f t="shared" ref="H25:W25" ca="1" si="14">H22-H24</f>
        <v>0</v>
      </c>
      <c r="I25" s="104">
        <f ca="1">I22-I24</f>
        <v>32.289679763149607</v>
      </c>
      <c r="J25" s="104">
        <f t="shared" ca="1" si="14"/>
        <v>46.845811272284706</v>
      </c>
      <c r="K25" s="104">
        <f t="shared" ca="1" si="14"/>
        <v>25.219599786662695</v>
      </c>
      <c r="L25" s="104">
        <f t="shared" ca="1" si="14"/>
        <v>98.337821479733648</v>
      </c>
      <c r="M25" s="104">
        <f t="shared" ca="1" si="14"/>
        <v>269.18723236946755</v>
      </c>
      <c r="N25" s="104">
        <f t="shared" ca="1" si="14"/>
        <v>175.82879659737932</v>
      </c>
      <c r="O25" s="104">
        <f t="shared" ca="1" si="14"/>
        <v>128.72313945952371</v>
      </c>
      <c r="P25" s="104">
        <f t="shared" ca="1" si="14"/>
        <v>314.85419287856979</v>
      </c>
      <c r="Q25" s="104">
        <f t="shared" ca="1" si="14"/>
        <v>325.87464924857306</v>
      </c>
      <c r="R25" s="104">
        <f t="shared" ca="1" si="14"/>
        <v>164.25057661416434</v>
      </c>
      <c r="S25" s="104">
        <f t="shared" ca="1" si="14"/>
        <v>89.436796328676621</v>
      </c>
      <c r="T25" s="104">
        <f t="shared" ca="1" si="14"/>
        <v>13.964934831370858</v>
      </c>
      <c r="U25" s="104">
        <f t="shared" ca="1" si="14"/>
        <v>13.769068184175428</v>
      </c>
      <c r="V25" s="104">
        <f t="shared" ca="1" si="14"/>
        <v>44.590917795000721</v>
      </c>
      <c r="W25" s="104">
        <f t="shared" ca="1" si="14"/>
        <v>29.652874343927259</v>
      </c>
      <c r="X25" s="104">
        <f t="shared" ref="X25" si="15">X22-X24</f>
        <v>0</v>
      </c>
      <c r="Y25" s="104">
        <f t="shared" ref="Y25" si="16">Y22-Y24</f>
        <v>0</v>
      </c>
      <c r="Z25" s="104">
        <f t="shared" ref="Z25" si="17">Z22-Z24</f>
        <v>0</v>
      </c>
    </row>
    <row r="26" spans="2:99" ht="34" outlineLevel="1" x14ac:dyDescent="0.2">
      <c r="C26" s="291" t="s">
        <v>421</v>
      </c>
      <c r="D26" s="21" t="s">
        <v>126</v>
      </c>
      <c r="E26" s="103">
        <f ca="1">SUM(G26:Z26)</f>
        <v>1381.2446043452082</v>
      </c>
      <c r="F26" s="16"/>
      <c r="G26" s="104">
        <f ca="1">IF(G5&lt;=Debt_Refinance_Date,G25-IRR_Revenue_Model!G89,0)</f>
        <v>0</v>
      </c>
      <c r="H26" s="104">
        <f ca="1">IF(H5&lt;=Debt_Refinance_Date,H25-IRR_Revenue_Model!H89,0)</f>
        <v>0</v>
      </c>
      <c r="I26" s="104">
        <f ca="1">IF(I5&lt;=Debt_Refinance_Date,I25-IRR_Revenue_Model!I89,0)</f>
        <v>32.289679763149607</v>
      </c>
      <c r="J26" s="104">
        <f ca="1">IF(J5&lt;=Debt_Refinance_Date,J25-IRR_Revenue_Model!J89,0)</f>
        <v>46.845811272284706</v>
      </c>
      <c r="K26" s="104">
        <f ca="1">IF(K5&lt;=Debt_Refinance_Date,K25-IRR_Revenue_Model!K89,0)</f>
        <v>25.219599786662695</v>
      </c>
      <c r="L26" s="104">
        <f ca="1">IF(L5&lt;=Debt_Refinance_Date,L25-IRR_Revenue_Model!L89,0)</f>
        <v>98.337821479733648</v>
      </c>
      <c r="M26" s="104">
        <f ca="1">IF(M5&lt;=Debt_Refinance_Date,M25-IRR_Revenue_Model!M89,0)</f>
        <v>265.67864037424073</v>
      </c>
      <c r="N26" s="104">
        <f ca="1">IF(N5&lt;=Debt_Refinance_Date,N25-IRR_Revenue_Model!N89,0)</f>
        <v>160.57437569236356</v>
      </c>
      <c r="O26" s="104">
        <f ca="1">IF(O5&lt;=Debt_Refinance_Date,O25-IRR_Revenue_Model!O89,0)</f>
        <v>107.59603953451317</v>
      </c>
      <c r="P26" s="104">
        <f ca="1">IF(P5&lt;=Debt_Refinance_Date,P25-IRR_Revenue_Model!P89,0)</f>
        <v>297.4285241481262</v>
      </c>
      <c r="Q26" s="104">
        <f ca="1">IF(Q5&lt;=Debt_Refinance_Date,Q25-IRR_Revenue_Model!Q89,0)</f>
        <v>303.60513362576501</v>
      </c>
      <c r="R26" s="104">
        <f ca="1">IF(R5&lt;=Debt_Refinance_Date,R25-IRR_Revenue_Model!R89,0)</f>
        <v>111.75365437866114</v>
      </c>
      <c r="S26" s="104">
        <f ca="1">IF(S5&lt;=Debt_Refinance_Date,S25-IRR_Revenue_Model!S89,0)</f>
        <v>26.128514235186415</v>
      </c>
      <c r="T26" s="104">
        <f ca="1">IF(T5&lt;=Debt_Refinance_Date,T25-IRR_Revenue_Model!T89,0)</f>
        <v>-25.48486237619333</v>
      </c>
      <c r="U26" s="104">
        <f ca="1">IF(U5&lt;=Debt_Refinance_Date,U25-IRR_Revenue_Model!U89,0)</f>
        <v>-18.111470412479182</v>
      </c>
      <c r="V26" s="104">
        <f ca="1">IF(V5&lt;=Debt_Refinance_Date,V25-IRR_Revenue_Model!V89,0)</f>
        <v>-14.202725796488345</v>
      </c>
      <c r="W26" s="104">
        <f ca="1">IF(W5&lt;=Debt_Refinance_Date,W25-IRR_Revenue_Model!W89,0)</f>
        <v>-36.414131360317633</v>
      </c>
      <c r="X26" s="104">
        <f>IF(X5&lt;=Debt_Refinance_Date,X25-IRR_Revenue_Model!X89,0)</f>
        <v>0</v>
      </c>
      <c r="Y26" s="104">
        <f>IF(Y5&lt;=Debt_Refinance_Date,Y25-IRR_Revenue_Model!Y89,0)</f>
        <v>0</v>
      </c>
      <c r="Z26" s="104">
        <f>IF(Z5&lt;=Debt_Refinance_Date,Z25-IRR_Revenue_Model!Z89,0)</f>
        <v>0</v>
      </c>
    </row>
    <row r="27" spans="2:99" outlineLevel="1" x14ac:dyDescent="0.2">
      <c r="E27" s="15"/>
      <c r="G27" s="104"/>
      <c r="H27" s="3"/>
      <c r="I27" s="3"/>
      <c r="J27" s="3"/>
      <c r="K27" s="3"/>
      <c r="L27" s="3"/>
      <c r="M27" s="3"/>
      <c r="N27" s="3"/>
      <c r="O27" s="3"/>
      <c r="P27" s="3"/>
      <c r="Q27" s="3"/>
      <c r="R27" s="3"/>
      <c r="S27" s="3"/>
      <c r="T27" s="3"/>
      <c r="U27" s="3"/>
      <c r="V27" s="3"/>
      <c r="W27" s="3"/>
      <c r="X27" s="3"/>
      <c r="Y27" s="3"/>
      <c r="Z27" s="3"/>
    </row>
    <row r="28" spans="2:99" outlineLevel="1" x14ac:dyDescent="0.2">
      <c r="C28" t="s">
        <v>114</v>
      </c>
      <c r="D28" s="21" t="s">
        <v>126</v>
      </c>
      <c r="E28" s="15"/>
      <c r="G28" s="104">
        <f t="shared" ref="G28:Z28" si="18">IF(AND(G5&gt;Constr_Start_Date,G5&lt;Debt_Refinance_Date),Max_Debt_Draw-G31,0)</f>
        <v>0</v>
      </c>
      <c r="H28" s="104">
        <f t="shared" si="18"/>
        <v>0</v>
      </c>
      <c r="I28" s="104">
        <f t="shared" ca="1" si="18"/>
        <v>1621.5196052939086</v>
      </c>
      <c r="J28" s="104">
        <f t="shared" ca="1" si="18"/>
        <v>1589.2299255307589</v>
      </c>
      <c r="K28" s="104">
        <f t="shared" ca="1" si="18"/>
        <v>1542.3841142584743</v>
      </c>
      <c r="L28" s="104">
        <f t="shared" ca="1" si="18"/>
        <v>1517.1645144718116</v>
      </c>
      <c r="M28" s="104">
        <f t="shared" ca="1" si="18"/>
        <v>1418.8266929920781</v>
      </c>
      <c r="N28" s="104">
        <f t="shared" ca="1" si="18"/>
        <v>1153.1480526178373</v>
      </c>
      <c r="O28" s="104">
        <f t="shared" ca="1" si="18"/>
        <v>992.57367692547371</v>
      </c>
      <c r="P28" s="104">
        <f t="shared" ca="1" si="18"/>
        <v>884.97763739096058</v>
      </c>
      <c r="Q28" s="104">
        <f t="shared" ca="1" si="18"/>
        <v>587.54911324283444</v>
      </c>
      <c r="R28" s="104">
        <f t="shared" ca="1" si="18"/>
        <v>283.94397961706954</v>
      </c>
      <c r="S28" s="104">
        <f t="shared" ca="1" si="18"/>
        <v>172.19032523840838</v>
      </c>
      <c r="T28" s="104">
        <f t="shared" ca="1" si="18"/>
        <v>146.06181100322192</v>
      </c>
      <c r="U28" s="104">
        <f t="shared" ca="1" si="18"/>
        <v>171.54667337941532</v>
      </c>
      <c r="V28" s="104">
        <f t="shared" ca="1" si="18"/>
        <v>189.65814379189442</v>
      </c>
      <c r="W28" s="104">
        <f t="shared" si="18"/>
        <v>0</v>
      </c>
      <c r="X28" s="104">
        <f t="shared" si="18"/>
        <v>0</v>
      </c>
      <c r="Y28" s="104">
        <f t="shared" si="18"/>
        <v>0</v>
      </c>
      <c r="Z28" s="104">
        <f t="shared" si="18"/>
        <v>0</v>
      </c>
      <c r="AA28" s="299"/>
    </row>
    <row r="29" spans="2:99" outlineLevel="1" x14ac:dyDescent="0.2">
      <c r="G29" s="3"/>
      <c r="H29" s="3"/>
      <c r="I29" s="3"/>
      <c r="J29" s="3"/>
      <c r="K29" s="3"/>
      <c r="L29" s="3"/>
      <c r="M29" s="3"/>
      <c r="N29" s="3"/>
      <c r="O29" s="3"/>
      <c r="P29" s="3"/>
      <c r="Q29" s="3"/>
      <c r="R29" s="3"/>
      <c r="S29" s="3"/>
      <c r="T29" s="3"/>
      <c r="U29" s="3"/>
      <c r="V29" s="3"/>
      <c r="W29" s="3"/>
      <c r="X29" s="3"/>
      <c r="Y29" s="3"/>
      <c r="Z29" s="3"/>
    </row>
    <row r="30" spans="2:99" outlineLevel="1" x14ac:dyDescent="0.2">
      <c r="C30" s="10" t="s">
        <v>1</v>
      </c>
      <c r="D30" s="10"/>
      <c r="E30" s="10"/>
      <c r="F30" s="10"/>
      <c r="G30" s="10"/>
      <c r="H30" s="10"/>
      <c r="I30" s="10"/>
      <c r="J30" s="10"/>
      <c r="K30" s="10"/>
      <c r="L30" s="10"/>
      <c r="M30" s="10"/>
      <c r="N30" s="10"/>
      <c r="O30" s="10"/>
      <c r="P30" s="10"/>
      <c r="Q30" s="10"/>
      <c r="R30" s="10"/>
      <c r="S30" s="10"/>
      <c r="T30" s="10"/>
      <c r="U30" s="10"/>
      <c r="V30" s="10"/>
      <c r="W30" s="10"/>
      <c r="X30" s="10"/>
      <c r="Y30" s="10"/>
      <c r="Z30" s="10"/>
    </row>
    <row r="31" spans="2:99" outlineLevel="1" x14ac:dyDescent="0.2">
      <c r="C31" t="s">
        <v>20</v>
      </c>
      <c r="D31" s="21" t="s">
        <v>126</v>
      </c>
      <c r="E31" s="67"/>
      <c r="F31" s="66"/>
      <c r="G31" s="114">
        <v>0</v>
      </c>
      <c r="H31" s="109">
        <f ca="1">G33</f>
        <v>0</v>
      </c>
      <c r="I31" s="109">
        <f t="shared" ref="I31:Z31" ca="1" si="19">H33</f>
        <v>0</v>
      </c>
      <c r="J31" s="109">
        <f t="shared" ca="1" si="19"/>
        <v>32.289679763149607</v>
      </c>
      <c r="K31" s="109">
        <f t="shared" ca="1" si="19"/>
        <v>79.135491035434313</v>
      </c>
      <c r="L31" s="109">
        <f t="shared" ca="1" si="19"/>
        <v>104.35509082209701</v>
      </c>
      <c r="M31" s="109">
        <f t="shared" ca="1" si="19"/>
        <v>202.69291230183066</v>
      </c>
      <c r="N31" s="109">
        <f t="shared" ca="1" si="19"/>
        <v>468.37155267607136</v>
      </c>
      <c r="O31" s="109">
        <f t="shared" ca="1" si="19"/>
        <v>628.94592836843492</v>
      </c>
      <c r="P31" s="109">
        <f t="shared" ca="1" si="19"/>
        <v>736.54196790294804</v>
      </c>
      <c r="Q31" s="109">
        <f t="shared" ca="1" si="19"/>
        <v>1033.9704920510742</v>
      </c>
      <c r="R31" s="109">
        <f t="shared" ca="1" si="19"/>
        <v>1337.5756256768391</v>
      </c>
      <c r="S31" s="109">
        <f t="shared" ca="1" si="19"/>
        <v>1449.3292800555002</v>
      </c>
      <c r="T31" s="109">
        <f t="shared" ca="1" si="19"/>
        <v>1475.4577942906867</v>
      </c>
      <c r="U31" s="109">
        <f t="shared" ca="1" si="19"/>
        <v>1449.9729319144933</v>
      </c>
      <c r="V31" s="109">
        <f t="shared" ca="1" si="19"/>
        <v>1431.8614615020142</v>
      </c>
      <c r="W31" s="109">
        <f t="shared" ca="1" si="19"/>
        <v>1417.6587357055259</v>
      </c>
      <c r="X31" s="109">
        <f t="shared" ca="1" si="19"/>
        <v>1381.2446043452082</v>
      </c>
      <c r="Y31" s="109">
        <f t="shared" ca="1" si="19"/>
        <v>1381.2446043452082</v>
      </c>
      <c r="Z31" s="109">
        <f t="shared" ca="1" si="19"/>
        <v>1381.2446043452082</v>
      </c>
    </row>
    <row r="32" spans="2:99" outlineLevel="1" x14ac:dyDescent="0.2">
      <c r="C32" s="11" t="s">
        <v>29</v>
      </c>
      <c r="D32" s="32" t="s">
        <v>126</v>
      </c>
      <c r="E32" s="14"/>
      <c r="F32" s="14"/>
      <c r="G32" s="112">
        <f ca="1">G26</f>
        <v>0</v>
      </c>
      <c r="H32" s="112">
        <f t="shared" ref="H32:Z32" ca="1" si="20">H26</f>
        <v>0</v>
      </c>
      <c r="I32" s="112">
        <f t="shared" ca="1" si="20"/>
        <v>32.289679763149607</v>
      </c>
      <c r="J32" s="112">
        <f t="shared" ca="1" si="20"/>
        <v>46.845811272284706</v>
      </c>
      <c r="K32" s="112">
        <f t="shared" ca="1" si="20"/>
        <v>25.219599786662695</v>
      </c>
      <c r="L32" s="112">
        <f t="shared" ca="1" si="20"/>
        <v>98.337821479733648</v>
      </c>
      <c r="M32" s="112">
        <f t="shared" ca="1" si="20"/>
        <v>265.67864037424073</v>
      </c>
      <c r="N32" s="112">
        <f t="shared" ca="1" si="20"/>
        <v>160.57437569236356</v>
      </c>
      <c r="O32" s="112">
        <f t="shared" ca="1" si="20"/>
        <v>107.59603953451317</v>
      </c>
      <c r="P32" s="112">
        <f t="shared" ca="1" si="20"/>
        <v>297.4285241481262</v>
      </c>
      <c r="Q32" s="112">
        <f t="shared" ca="1" si="20"/>
        <v>303.60513362576501</v>
      </c>
      <c r="R32" s="112">
        <f t="shared" ca="1" si="20"/>
        <v>111.75365437866114</v>
      </c>
      <c r="S32" s="112">
        <f t="shared" ca="1" si="20"/>
        <v>26.128514235186415</v>
      </c>
      <c r="T32" s="112">
        <f t="shared" ca="1" si="20"/>
        <v>-25.48486237619333</v>
      </c>
      <c r="U32" s="112">
        <f t="shared" ca="1" si="20"/>
        <v>-18.111470412479182</v>
      </c>
      <c r="V32" s="112">
        <f t="shared" ca="1" si="20"/>
        <v>-14.202725796488345</v>
      </c>
      <c r="W32" s="112">
        <f t="shared" ca="1" si="20"/>
        <v>-36.414131360317633</v>
      </c>
      <c r="X32" s="112">
        <f t="shared" si="20"/>
        <v>0</v>
      </c>
      <c r="Y32" s="112">
        <f t="shared" si="20"/>
        <v>0</v>
      </c>
      <c r="Z32" s="112">
        <f t="shared" si="20"/>
        <v>0</v>
      </c>
    </row>
    <row r="33" spans="3:26" outlineLevel="1" x14ac:dyDescent="0.2">
      <c r="C33" s="2" t="s">
        <v>21</v>
      </c>
      <c r="D33" s="64" t="s">
        <v>126</v>
      </c>
      <c r="E33" s="18"/>
      <c r="F33" s="18"/>
      <c r="G33" s="108">
        <f ca="1">SUM(G31:G32)</f>
        <v>0</v>
      </c>
      <c r="H33" s="108">
        <f ca="1">SUM(H31:H32)</f>
        <v>0</v>
      </c>
      <c r="I33" s="108">
        <f t="shared" ref="I33:Z33" ca="1" si="21">SUM(I31:I32)</f>
        <v>32.289679763149607</v>
      </c>
      <c r="J33" s="108">
        <f t="shared" ca="1" si="21"/>
        <v>79.135491035434313</v>
      </c>
      <c r="K33" s="108">
        <f t="shared" ca="1" si="21"/>
        <v>104.35509082209701</v>
      </c>
      <c r="L33" s="108">
        <f t="shared" ca="1" si="21"/>
        <v>202.69291230183066</v>
      </c>
      <c r="M33" s="108">
        <f t="shared" ca="1" si="21"/>
        <v>468.37155267607136</v>
      </c>
      <c r="N33" s="108">
        <f t="shared" ca="1" si="21"/>
        <v>628.94592836843492</v>
      </c>
      <c r="O33" s="108">
        <f t="shared" ca="1" si="21"/>
        <v>736.54196790294804</v>
      </c>
      <c r="P33" s="108">
        <f t="shared" ca="1" si="21"/>
        <v>1033.9704920510742</v>
      </c>
      <c r="Q33" s="108">
        <f t="shared" ca="1" si="21"/>
        <v>1337.5756256768391</v>
      </c>
      <c r="R33" s="108">
        <f t="shared" ca="1" si="21"/>
        <v>1449.3292800555002</v>
      </c>
      <c r="S33" s="108">
        <f t="shared" ca="1" si="21"/>
        <v>1475.4577942906867</v>
      </c>
      <c r="T33" s="108">
        <f t="shared" ca="1" si="21"/>
        <v>1449.9729319144933</v>
      </c>
      <c r="U33" s="108">
        <f t="shared" ca="1" si="21"/>
        <v>1431.8614615020142</v>
      </c>
      <c r="V33" s="108">
        <f t="shared" ca="1" si="21"/>
        <v>1417.6587357055259</v>
      </c>
      <c r="W33" s="108">
        <f t="shared" ca="1" si="21"/>
        <v>1381.2446043452082</v>
      </c>
      <c r="X33" s="108">
        <f t="shared" ca="1" si="21"/>
        <v>1381.2446043452082</v>
      </c>
      <c r="Y33" s="108">
        <f t="shared" ca="1" si="21"/>
        <v>1381.2446043452082</v>
      </c>
      <c r="Z33" s="108">
        <f t="shared" ca="1" si="21"/>
        <v>1381.2446043452082</v>
      </c>
    </row>
    <row r="34" spans="3:26" outlineLevel="1" x14ac:dyDescent="0.2">
      <c r="G34" s="3"/>
      <c r="H34" s="3"/>
      <c r="I34" s="3"/>
      <c r="J34" s="3"/>
      <c r="K34" s="3"/>
      <c r="L34" s="3"/>
      <c r="M34" s="3"/>
      <c r="N34" s="3"/>
      <c r="O34" s="3"/>
      <c r="P34" s="3"/>
      <c r="Q34" s="3"/>
      <c r="R34" s="3"/>
      <c r="S34" s="3"/>
      <c r="T34" s="3"/>
      <c r="U34" s="3"/>
      <c r="V34" s="3"/>
      <c r="W34" s="3"/>
      <c r="X34" s="3"/>
      <c r="Y34" s="3"/>
      <c r="Z34" s="3"/>
    </row>
    <row r="35" spans="3:26" x14ac:dyDescent="0.2">
      <c r="G35" s="3"/>
      <c r="H35" s="3"/>
      <c r="I35" s="3"/>
      <c r="J35" s="3"/>
      <c r="K35" s="3"/>
      <c r="L35" s="3"/>
      <c r="M35" s="3"/>
      <c r="N35" s="3"/>
      <c r="O35" s="3"/>
      <c r="P35" s="3"/>
      <c r="Q35" s="3"/>
      <c r="R35" s="3"/>
      <c r="S35" s="3"/>
      <c r="T35" s="3"/>
      <c r="U35" s="3"/>
      <c r="V35" s="3"/>
      <c r="W35" s="3"/>
      <c r="X35" s="3"/>
      <c r="Y35" s="3"/>
      <c r="Z35" s="3"/>
    </row>
    <row r="38" spans="3:26" x14ac:dyDescent="0.2">
      <c r="E38" s="298"/>
      <c r="G38" s="297"/>
      <c r="H38" s="297"/>
      <c r="I38" s="297"/>
      <c r="J38" s="297"/>
      <c r="K38" s="297"/>
      <c r="L38" s="297"/>
      <c r="M38" s="297"/>
      <c r="N38" s="297"/>
      <c r="O38" s="297"/>
      <c r="P38" s="297"/>
      <c r="Q38" s="297"/>
      <c r="R38" s="297"/>
      <c r="S38" s="297"/>
      <c r="T38" s="297"/>
      <c r="U38" s="297"/>
      <c r="V38" s="297"/>
      <c r="W38" s="297"/>
      <c r="X38" s="297"/>
      <c r="Y38" s="297"/>
      <c r="Z38" s="297"/>
    </row>
    <row r="39" spans="3:26" x14ac:dyDescent="0.2">
      <c r="E39" s="298"/>
    </row>
    <row r="41" spans="3:26" x14ac:dyDescent="0.2">
      <c r="I41" s="297"/>
    </row>
    <row r="42" spans="3:26" x14ac:dyDescent="0.2">
      <c r="W42" s="297"/>
    </row>
  </sheetData>
  <pageMargins left="0.7" right="0.7" top="0.75" bottom="0.75" header="0.3" footer="0.3"/>
  <pageSetup scale="20"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pageSetUpPr autoPageBreaks="0"/>
  </sheetPr>
  <dimension ref="A1:FA227"/>
  <sheetViews>
    <sheetView showGridLines="0" zoomScale="93" zoomScaleNormal="55" workbookViewId="0">
      <pane xSplit="4" ySplit="5" topLeftCell="E6" activePane="bottomRight" state="frozen"/>
      <selection pane="topRight" activeCell="E1" sqref="E1"/>
      <selection pane="bottomLeft" activeCell="A6" sqref="A6"/>
      <selection pane="bottomRight" activeCell="J219" sqref="J219"/>
    </sheetView>
  </sheetViews>
  <sheetFormatPr baseColWidth="10" defaultColWidth="11" defaultRowHeight="16" outlineLevelRow="1" outlineLevelCol="1" x14ac:dyDescent="0.2"/>
  <cols>
    <col min="1" max="2" width="2.6640625" customWidth="1"/>
    <col min="3" max="3" width="62.33203125" customWidth="1"/>
    <col min="4" max="4" width="16.6640625" customWidth="1"/>
    <col min="5" max="6" width="14.6640625" customWidth="1"/>
    <col min="7" max="13" width="14.6640625" customWidth="1" outlineLevel="1"/>
    <col min="14" max="98" width="14.6640625" customWidth="1"/>
    <col min="99" max="99" width="14.6640625" style="236" customWidth="1"/>
    <col min="100" max="136" width="14.6640625" customWidth="1"/>
    <col min="137" max="139" width="13.83203125" bestFit="1" customWidth="1"/>
    <col min="140" max="157" width="11.6640625" bestFit="1" customWidth="1"/>
  </cols>
  <sheetData>
    <row r="1" spans="2:157" x14ac:dyDescent="0.2">
      <c r="C1" s="1"/>
      <c r="D1" s="1"/>
      <c r="E1" s="1"/>
      <c r="F1" s="1"/>
      <c r="G1" s="1"/>
      <c r="H1" s="1"/>
      <c r="I1" s="1"/>
      <c r="J1" s="1"/>
      <c r="K1" s="1"/>
      <c r="L1" s="1"/>
    </row>
    <row r="2" spans="2:157" ht="19" x14ac:dyDescent="0.25">
      <c r="B2" s="8" t="s">
        <v>149</v>
      </c>
    </row>
    <row r="3" spans="2:157" x14ac:dyDescent="0.2">
      <c r="B3" s="1"/>
      <c r="C3" s="1"/>
      <c r="D3" s="1"/>
      <c r="E3" s="1"/>
      <c r="F3" s="1"/>
      <c r="G3" s="1"/>
      <c r="H3" s="1"/>
      <c r="I3" s="1"/>
      <c r="J3" s="1"/>
      <c r="K3" s="1"/>
      <c r="L3" s="1"/>
    </row>
    <row r="4" spans="2:157" x14ac:dyDescent="0.2">
      <c r="B4" s="23"/>
      <c r="C4" s="23"/>
      <c r="D4" s="24"/>
      <c r="E4" s="24"/>
      <c r="F4" s="24"/>
      <c r="G4" s="52" t="s">
        <v>116</v>
      </c>
      <c r="H4" s="53"/>
      <c r="I4" s="53"/>
      <c r="J4" s="53"/>
      <c r="K4" s="53"/>
      <c r="L4" s="53"/>
      <c r="M4" s="53"/>
      <c r="N4" s="53"/>
      <c r="O4" s="53"/>
      <c r="P4" s="53"/>
      <c r="Q4" s="25"/>
      <c r="R4" s="25"/>
      <c r="S4" s="25"/>
      <c r="T4" s="25"/>
      <c r="U4" s="25"/>
      <c r="V4" s="25"/>
      <c r="W4" s="25"/>
      <c r="X4" s="25"/>
      <c r="Y4" s="25"/>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237"/>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row>
    <row r="5" spans="2:157" x14ac:dyDescent="0.2">
      <c r="B5" s="26" t="s">
        <v>76</v>
      </c>
      <c r="C5" s="26"/>
      <c r="D5" s="19" t="str">
        <f>Inputs_Assumptions!$D$4</f>
        <v>Units:</v>
      </c>
      <c r="E5" s="19"/>
      <c r="F5" s="19"/>
      <c r="G5" s="77">
        <f>DATE(YEAR(Constr_Start_Date),3,31)</f>
        <v>46112</v>
      </c>
      <c r="H5" s="77">
        <f t="shared" ref="H5:AM5" si="0">EOMONTH(G5,Months_in_Quarter)</f>
        <v>46203</v>
      </c>
      <c r="I5" s="77">
        <f t="shared" si="0"/>
        <v>46295</v>
      </c>
      <c r="J5" s="77">
        <f t="shared" si="0"/>
        <v>46387</v>
      </c>
      <c r="K5" s="77">
        <f t="shared" si="0"/>
        <v>46477</v>
      </c>
      <c r="L5" s="77">
        <f t="shared" si="0"/>
        <v>46568</v>
      </c>
      <c r="M5" s="77">
        <f t="shared" si="0"/>
        <v>46660</v>
      </c>
      <c r="N5" s="77">
        <f t="shared" si="0"/>
        <v>46752</v>
      </c>
      <c r="O5" s="77">
        <f t="shared" si="0"/>
        <v>46843</v>
      </c>
      <c r="P5" s="77">
        <f t="shared" si="0"/>
        <v>46934</v>
      </c>
      <c r="Q5" s="77">
        <f t="shared" si="0"/>
        <v>47026</v>
      </c>
      <c r="R5" s="77">
        <f t="shared" si="0"/>
        <v>47118</v>
      </c>
      <c r="S5" s="77">
        <f t="shared" si="0"/>
        <v>47208</v>
      </c>
      <c r="T5" s="77">
        <f t="shared" si="0"/>
        <v>47299</v>
      </c>
      <c r="U5" s="77">
        <f t="shared" si="0"/>
        <v>47391</v>
      </c>
      <c r="V5" s="77">
        <f t="shared" si="0"/>
        <v>47483</v>
      </c>
      <c r="W5" s="77">
        <f t="shared" si="0"/>
        <v>47573</v>
      </c>
      <c r="X5" s="77">
        <f t="shared" si="0"/>
        <v>47664</v>
      </c>
      <c r="Y5" s="77">
        <f t="shared" si="0"/>
        <v>47756</v>
      </c>
      <c r="Z5" s="77">
        <f t="shared" si="0"/>
        <v>47848</v>
      </c>
      <c r="AA5" s="77">
        <f t="shared" si="0"/>
        <v>47938</v>
      </c>
      <c r="AB5" s="77">
        <f t="shared" si="0"/>
        <v>48029</v>
      </c>
      <c r="AC5" s="77">
        <f t="shared" si="0"/>
        <v>48121</v>
      </c>
      <c r="AD5" s="77">
        <f t="shared" si="0"/>
        <v>48213</v>
      </c>
      <c r="AE5" s="77">
        <f t="shared" si="0"/>
        <v>48304</v>
      </c>
      <c r="AF5" s="77">
        <f t="shared" si="0"/>
        <v>48395</v>
      </c>
      <c r="AG5" s="77">
        <f t="shared" si="0"/>
        <v>48487</v>
      </c>
      <c r="AH5" s="77">
        <f t="shared" si="0"/>
        <v>48579</v>
      </c>
      <c r="AI5" s="77">
        <f t="shared" si="0"/>
        <v>48669</v>
      </c>
      <c r="AJ5" s="77">
        <f t="shared" si="0"/>
        <v>48760</v>
      </c>
      <c r="AK5" s="77">
        <f t="shared" si="0"/>
        <v>48852</v>
      </c>
      <c r="AL5" s="77">
        <f t="shared" si="0"/>
        <v>48944</v>
      </c>
      <c r="AM5" s="77">
        <f t="shared" si="0"/>
        <v>49034</v>
      </c>
      <c r="AN5" s="77">
        <f t="shared" ref="AN5:BS5" si="1">EOMONTH(AM5,Months_in_Quarter)</f>
        <v>49125</v>
      </c>
      <c r="AO5" s="77">
        <f t="shared" si="1"/>
        <v>49217</v>
      </c>
      <c r="AP5" s="77">
        <f t="shared" si="1"/>
        <v>49309</v>
      </c>
      <c r="AQ5" s="77">
        <f t="shared" si="1"/>
        <v>49399</v>
      </c>
      <c r="AR5" s="77">
        <f t="shared" si="1"/>
        <v>49490</v>
      </c>
      <c r="AS5" s="77">
        <f t="shared" si="1"/>
        <v>49582</v>
      </c>
      <c r="AT5" s="77">
        <f t="shared" si="1"/>
        <v>49674</v>
      </c>
      <c r="AU5" s="77">
        <f t="shared" si="1"/>
        <v>49765</v>
      </c>
      <c r="AV5" s="77">
        <f t="shared" si="1"/>
        <v>49856</v>
      </c>
      <c r="AW5" s="77">
        <f t="shared" si="1"/>
        <v>49948</v>
      </c>
      <c r="AX5" s="77">
        <f t="shared" si="1"/>
        <v>50040</v>
      </c>
      <c r="AY5" s="77">
        <f t="shared" si="1"/>
        <v>50130</v>
      </c>
      <c r="AZ5" s="77">
        <f t="shared" si="1"/>
        <v>50221</v>
      </c>
      <c r="BA5" s="77">
        <f t="shared" si="1"/>
        <v>50313</v>
      </c>
      <c r="BB5" s="77">
        <f t="shared" si="1"/>
        <v>50405</v>
      </c>
      <c r="BC5" s="77">
        <f t="shared" si="1"/>
        <v>50495</v>
      </c>
      <c r="BD5" s="77">
        <f t="shared" si="1"/>
        <v>50586</v>
      </c>
      <c r="BE5" s="77">
        <f t="shared" si="1"/>
        <v>50678</v>
      </c>
      <c r="BF5" s="77">
        <f t="shared" si="1"/>
        <v>50770</v>
      </c>
      <c r="BG5" s="77">
        <f t="shared" si="1"/>
        <v>50860</v>
      </c>
      <c r="BH5" s="77">
        <f t="shared" si="1"/>
        <v>50951</v>
      </c>
      <c r="BI5" s="77">
        <f t="shared" si="1"/>
        <v>51043</v>
      </c>
      <c r="BJ5" s="77">
        <f t="shared" si="1"/>
        <v>51135</v>
      </c>
      <c r="BK5" s="77">
        <f t="shared" si="1"/>
        <v>51226</v>
      </c>
      <c r="BL5" s="77">
        <f t="shared" si="1"/>
        <v>51317</v>
      </c>
      <c r="BM5" s="77">
        <f t="shared" si="1"/>
        <v>51409</v>
      </c>
      <c r="BN5" s="77">
        <f t="shared" si="1"/>
        <v>51501</v>
      </c>
      <c r="BO5" s="77">
        <f t="shared" si="1"/>
        <v>51591</v>
      </c>
      <c r="BP5" s="77">
        <f t="shared" si="1"/>
        <v>51682</v>
      </c>
      <c r="BQ5" s="77">
        <f t="shared" si="1"/>
        <v>51774</v>
      </c>
      <c r="BR5" s="77">
        <f t="shared" si="1"/>
        <v>51866</v>
      </c>
      <c r="BS5" s="77">
        <f t="shared" si="1"/>
        <v>51956</v>
      </c>
      <c r="BT5" s="77">
        <f t="shared" ref="BT5:CY5" si="2">EOMONTH(BS5,Months_in_Quarter)</f>
        <v>52047</v>
      </c>
      <c r="BU5" s="77">
        <f t="shared" si="2"/>
        <v>52139</v>
      </c>
      <c r="BV5" s="77">
        <f t="shared" si="2"/>
        <v>52231</v>
      </c>
      <c r="BW5" s="77">
        <f t="shared" si="2"/>
        <v>52321</v>
      </c>
      <c r="BX5" s="77">
        <f t="shared" si="2"/>
        <v>52412</v>
      </c>
      <c r="BY5" s="77">
        <f t="shared" si="2"/>
        <v>52504</v>
      </c>
      <c r="BZ5" s="77">
        <f t="shared" si="2"/>
        <v>52596</v>
      </c>
      <c r="CA5" s="77">
        <f t="shared" si="2"/>
        <v>52687</v>
      </c>
      <c r="CB5" s="77">
        <f t="shared" si="2"/>
        <v>52778</v>
      </c>
      <c r="CC5" s="77">
        <f t="shared" si="2"/>
        <v>52870</v>
      </c>
      <c r="CD5" s="77">
        <f t="shared" si="2"/>
        <v>52962</v>
      </c>
      <c r="CE5" s="77">
        <f t="shared" si="2"/>
        <v>53052</v>
      </c>
      <c r="CF5" s="77">
        <f t="shared" si="2"/>
        <v>53143</v>
      </c>
      <c r="CG5" s="77">
        <f t="shared" si="2"/>
        <v>53235</v>
      </c>
      <c r="CH5" s="77">
        <f t="shared" si="2"/>
        <v>53327</v>
      </c>
      <c r="CI5" s="77">
        <f t="shared" si="2"/>
        <v>53417</v>
      </c>
      <c r="CJ5" s="77">
        <f t="shared" si="2"/>
        <v>53508</v>
      </c>
      <c r="CK5" s="77">
        <f t="shared" si="2"/>
        <v>53600</v>
      </c>
      <c r="CL5" s="77">
        <f t="shared" si="2"/>
        <v>53692</v>
      </c>
      <c r="CM5" s="77">
        <f t="shared" si="2"/>
        <v>53782</v>
      </c>
      <c r="CN5" s="77">
        <f t="shared" si="2"/>
        <v>53873</v>
      </c>
      <c r="CO5" s="77">
        <f t="shared" si="2"/>
        <v>53965</v>
      </c>
      <c r="CP5" s="77">
        <f t="shared" si="2"/>
        <v>54057</v>
      </c>
      <c r="CQ5" s="77">
        <f t="shared" si="2"/>
        <v>54148</v>
      </c>
      <c r="CR5" s="77">
        <f t="shared" si="2"/>
        <v>54239</v>
      </c>
      <c r="CS5" s="77">
        <f t="shared" si="2"/>
        <v>54331</v>
      </c>
      <c r="CT5" s="77">
        <f t="shared" si="2"/>
        <v>54423</v>
      </c>
      <c r="CU5" s="238">
        <f t="shared" si="2"/>
        <v>54513</v>
      </c>
      <c r="CV5" s="77">
        <f t="shared" si="2"/>
        <v>54604</v>
      </c>
      <c r="CW5" s="77">
        <f t="shared" si="2"/>
        <v>54696</v>
      </c>
      <c r="CX5" s="77">
        <f t="shared" si="2"/>
        <v>54788</v>
      </c>
      <c r="CY5" s="77">
        <f t="shared" si="2"/>
        <v>54878</v>
      </c>
      <c r="CZ5" s="77">
        <f t="shared" ref="CZ5:EK5" si="3">EOMONTH(CY5,Months_in_Quarter)</f>
        <v>54969</v>
      </c>
      <c r="DA5" s="77">
        <f t="shared" si="3"/>
        <v>55061</v>
      </c>
      <c r="DB5" s="77">
        <f t="shared" si="3"/>
        <v>55153</v>
      </c>
      <c r="DC5" s="77">
        <f t="shared" si="3"/>
        <v>55243</v>
      </c>
      <c r="DD5" s="77">
        <f t="shared" si="3"/>
        <v>55334</v>
      </c>
      <c r="DE5" s="77">
        <f t="shared" si="3"/>
        <v>55426</v>
      </c>
      <c r="DF5" s="77">
        <f t="shared" si="3"/>
        <v>55518</v>
      </c>
      <c r="DG5" s="77">
        <f t="shared" si="3"/>
        <v>55609</v>
      </c>
      <c r="DH5" s="77">
        <f t="shared" si="3"/>
        <v>55700</v>
      </c>
      <c r="DI5" s="77">
        <f t="shared" si="3"/>
        <v>55792</v>
      </c>
      <c r="DJ5" s="77">
        <f t="shared" si="3"/>
        <v>55884</v>
      </c>
      <c r="DK5" s="77">
        <f t="shared" si="3"/>
        <v>55974</v>
      </c>
      <c r="DL5" s="77">
        <f t="shared" si="3"/>
        <v>56065</v>
      </c>
      <c r="DM5" s="77">
        <f t="shared" si="3"/>
        <v>56157</v>
      </c>
      <c r="DN5" s="77">
        <f t="shared" si="3"/>
        <v>56249</v>
      </c>
      <c r="DO5" s="77">
        <f t="shared" si="3"/>
        <v>56339</v>
      </c>
      <c r="DP5" s="77">
        <f t="shared" si="3"/>
        <v>56430</v>
      </c>
      <c r="DQ5" s="77">
        <f t="shared" si="3"/>
        <v>56522</v>
      </c>
      <c r="DR5" s="77">
        <f t="shared" si="3"/>
        <v>56614</v>
      </c>
      <c r="DS5" s="77">
        <f t="shared" si="3"/>
        <v>56704</v>
      </c>
      <c r="DT5" s="77">
        <f t="shared" si="3"/>
        <v>56795</v>
      </c>
      <c r="DU5" s="77">
        <f t="shared" si="3"/>
        <v>56887</v>
      </c>
      <c r="DV5" s="77">
        <f t="shared" si="3"/>
        <v>56979</v>
      </c>
      <c r="DW5" s="77">
        <f t="shared" si="3"/>
        <v>57070</v>
      </c>
      <c r="DX5" s="77">
        <f t="shared" si="3"/>
        <v>57161</v>
      </c>
      <c r="DY5" s="77">
        <f t="shared" si="3"/>
        <v>57253</v>
      </c>
      <c r="DZ5" s="77">
        <f t="shared" si="3"/>
        <v>57345</v>
      </c>
      <c r="EA5" s="77">
        <f t="shared" si="3"/>
        <v>57435</v>
      </c>
      <c r="EB5" s="77">
        <f t="shared" si="3"/>
        <v>57526</v>
      </c>
      <c r="EC5" s="77">
        <f t="shared" si="3"/>
        <v>57618</v>
      </c>
      <c r="ED5" s="77">
        <f t="shared" si="3"/>
        <v>57710</v>
      </c>
      <c r="EE5" s="77">
        <f t="shared" si="3"/>
        <v>57800</v>
      </c>
      <c r="EF5" s="77">
        <f t="shared" si="3"/>
        <v>57891</v>
      </c>
      <c r="EG5" s="77">
        <f t="shared" si="3"/>
        <v>57983</v>
      </c>
      <c r="EH5" s="77">
        <f t="shared" si="3"/>
        <v>58075</v>
      </c>
      <c r="EI5" s="77">
        <f t="shared" si="3"/>
        <v>58165</v>
      </c>
      <c r="EJ5" s="77">
        <f t="shared" si="3"/>
        <v>58256</v>
      </c>
      <c r="EK5" s="77">
        <f t="shared" si="3"/>
        <v>58348</v>
      </c>
      <c r="EL5" s="77">
        <f t="shared" ref="EL5" si="4">EOMONTH(EK5,Months_in_Quarter)</f>
        <v>58440</v>
      </c>
      <c r="EM5" s="77">
        <f t="shared" ref="EM5" si="5">EOMONTH(EL5,Months_in_Quarter)</f>
        <v>58531</v>
      </c>
      <c r="EN5" s="77">
        <f t="shared" ref="EN5" si="6">EOMONTH(EM5,Months_in_Quarter)</f>
        <v>58622</v>
      </c>
      <c r="EO5" s="77">
        <f t="shared" ref="EO5" si="7">EOMONTH(EN5,Months_in_Quarter)</f>
        <v>58714</v>
      </c>
      <c r="EP5" s="77">
        <f t="shared" ref="EP5" si="8">EOMONTH(EO5,Months_in_Quarter)</f>
        <v>58806</v>
      </c>
      <c r="EQ5" s="77">
        <f t="shared" ref="EQ5" si="9">EOMONTH(EP5,Months_in_Quarter)</f>
        <v>58896</v>
      </c>
      <c r="ER5" s="77">
        <f t="shared" ref="ER5" si="10">EOMONTH(EQ5,Months_in_Quarter)</f>
        <v>58987</v>
      </c>
      <c r="ES5" s="77">
        <f t="shared" ref="ES5" si="11">EOMONTH(ER5,Months_in_Quarter)</f>
        <v>59079</v>
      </c>
      <c r="ET5" s="77">
        <f t="shared" ref="ET5" si="12">EOMONTH(ES5,Months_in_Quarter)</f>
        <v>59171</v>
      </c>
      <c r="EU5" s="77">
        <f t="shared" ref="EU5" si="13">EOMONTH(ET5,Months_in_Quarter)</f>
        <v>59261</v>
      </c>
      <c r="EV5" s="77">
        <f t="shared" ref="EV5" si="14">EOMONTH(EU5,Months_in_Quarter)</f>
        <v>59352</v>
      </c>
      <c r="EW5" s="77">
        <f t="shared" ref="EW5" si="15">EOMONTH(EV5,Months_in_Quarter)</f>
        <v>59444</v>
      </c>
      <c r="EX5" s="77">
        <f t="shared" ref="EX5" si="16">EOMONTH(EW5,Months_in_Quarter)</f>
        <v>59536</v>
      </c>
      <c r="EY5" s="77">
        <f t="shared" ref="EY5" si="17">EOMONTH(EX5,Months_in_Quarter)</f>
        <v>59626</v>
      </c>
      <c r="EZ5" s="77">
        <f t="shared" ref="EZ5" si="18">EOMONTH(EY5,Months_in_Quarter)</f>
        <v>59717</v>
      </c>
      <c r="FA5" s="77">
        <f t="shared" ref="FA5" si="19">EOMONTH(EZ5,Months_in_Quarter)</f>
        <v>59809</v>
      </c>
    </row>
    <row r="6" spans="2:157" outlineLevel="1" x14ac:dyDescent="0.2">
      <c r="B6" s="1"/>
      <c r="C6" s="1"/>
      <c r="D6" s="1"/>
      <c r="E6" s="1"/>
      <c r="F6" s="1"/>
      <c r="G6" s="1"/>
      <c r="H6" s="1"/>
      <c r="I6" s="1"/>
      <c r="J6" s="1"/>
      <c r="K6" s="1"/>
      <c r="L6" s="1"/>
    </row>
    <row r="7" spans="2:157" outlineLevel="1" x14ac:dyDescent="0.2">
      <c r="B7" s="1"/>
      <c r="C7" s="12" t="s">
        <v>102</v>
      </c>
      <c r="D7" s="21" t="s">
        <v>103</v>
      </c>
      <c r="E7" s="21"/>
      <c r="F7" s="21"/>
      <c r="G7" s="92">
        <f>YEAR(G5)</f>
        <v>2026</v>
      </c>
      <c r="H7" s="92">
        <f t="shared" ref="H7:BS7" si="20">YEAR(H5)</f>
        <v>2026</v>
      </c>
      <c r="I7" s="92">
        <f t="shared" si="20"/>
        <v>2026</v>
      </c>
      <c r="J7" s="92">
        <f t="shared" si="20"/>
        <v>2026</v>
      </c>
      <c r="K7" s="92">
        <f t="shared" si="20"/>
        <v>2027</v>
      </c>
      <c r="L7" s="92">
        <f t="shared" si="20"/>
        <v>2027</v>
      </c>
      <c r="M7" s="92">
        <f t="shared" si="20"/>
        <v>2027</v>
      </c>
      <c r="N7" s="92">
        <f t="shared" si="20"/>
        <v>2027</v>
      </c>
      <c r="O7" s="92">
        <f t="shared" si="20"/>
        <v>2028</v>
      </c>
      <c r="P7" s="92">
        <f t="shared" si="20"/>
        <v>2028</v>
      </c>
      <c r="Q7" s="92">
        <f t="shared" si="20"/>
        <v>2028</v>
      </c>
      <c r="R7" s="92">
        <f t="shared" si="20"/>
        <v>2028</v>
      </c>
      <c r="S7" s="92">
        <f t="shared" si="20"/>
        <v>2029</v>
      </c>
      <c r="T7" s="92">
        <f t="shared" si="20"/>
        <v>2029</v>
      </c>
      <c r="U7" s="92">
        <f t="shared" si="20"/>
        <v>2029</v>
      </c>
      <c r="V7" s="92">
        <f t="shared" si="20"/>
        <v>2029</v>
      </c>
      <c r="W7" s="92">
        <f t="shared" si="20"/>
        <v>2030</v>
      </c>
      <c r="X7" s="92">
        <f t="shared" si="20"/>
        <v>2030</v>
      </c>
      <c r="Y7" s="92">
        <f t="shared" si="20"/>
        <v>2030</v>
      </c>
      <c r="Z7" s="92">
        <f t="shared" si="20"/>
        <v>2030</v>
      </c>
      <c r="AA7" s="92">
        <f t="shared" si="20"/>
        <v>2031</v>
      </c>
      <c r="AB7" s="92">
        <f t="shared" si="20"/>
        <v>2031</v>
      </c>
      <c r="AC7" s="92">
        <f t="shared" si="20"/>
        <v>2031</v>
      </c>
      <c r="AD7" s="92">
        <f t="shared" si="20"/>
        <v>2031</v>
      </c>
      <c r="AE7" s="92">
        <f t="shared" si="20"/>
        <v>2032</v>
      </c>
      <c r="AF7" s="92">
        <f t="shared" si="20"/>
        <v>2032</v>
      </c>
      <c r="AG7" s="92">
        <f t="shared" si="20"/>
        <v>2032</v>
      </c>
      <c r="AH7" s="92">
        <f t="shared" si="20"/>
        <v>2032</v>
      </c>
      <c r="AI7" s="92">
        <f t="shared" si="20"/>
        <v>2033</v>
      </c>
      <c r="AJ7" s="92">
        <f t="shared" si="20"/>
        <v>2033</v>
      </c>
      <c r="AK7" s="92">
        <f t="shared" si="20"/>
        <v>2033</v>
      </c>
      <c r="AL7" s="92">
        <f t="shared" si="20"/>
        <v>2033</v>
      </c>
      <c r="AM7" s="92">
        <f t="shared" si="20"/>
        <v>2034</v>
      </c>
      <c r="AN7" s="92">
        <f t="shared" si="20"/>
        <v>2034</v>
      </c>
      <c r="AO7" s="92">
        <f t="shared" si="20"/>
        <v>2034</v>
      </c>
      <c r="AP7" s="92">
        <f t="shared" si="20"/>
        <v>2034</v>
      </c>
      <c r="AQ7" s="92">
        <f t="shared" si="20"/>
        <v>2035</v>
      </c>
      <c r="AR7" s="92">
        <f t="shared" si="20"/>
        <v>2035</v>
      </c>
      <c r="AS7" s="92">
        <f t="shared" si="20"/>
        <v>2035</v>
      </c>
      <c r="AT7" s="92">
        <f t="shared" si="20"/>
        <v>2035</v>
      </c>
      <c r="AU7" s="92">
        <f t="shared" si="20"/>
        <v>2036</v>
      </c>
      <c r="AV7" s="92">
        <f t="shared" si="20"/>
        <v>2036</v>
      </c>
      <c r="AW7" s="92">
        <f t="shared" si="20"/>
        <v>2036</v>
      </c>
      <c r="AX7" s="92">
        <f t="shared" si="20"/>
        <v>2036</v>
      </c>
      <c r="AY7" s="92">
        <f t="shared" si="20"/>
        <v>2037</v>
      </c>
      <c r="AZ7" s="92">
        <f t="shared" si="20"/>
        <v>2037</v>
      </c>
      <c r="BA7" s="92">
        <f t="shared" si="20"/>
        <v>2037</v>
      </c>
      <c r="BB7" s="92">
        <f t="shared" si="20"/>
        <v>2037</v>
      </c>
      <c r="BC7" s="92">
        <f t="shared" si="20"/>
        <v>2038</v>
      </c>
      <c r="BD7" s="92">
        <f t="shared" si="20"/>
        <v>2038</v>
      </c>
      <c r="BE7" s="92">
        <f t="shared" si="20"/>
        <v>2038</v>
      </c>
      <c r="BF7" s="92">
        <f t="shared" si="20"/>
        <v>2038</v>
      </c>
      <c r="BG7" s="92">
        <f t="shared" si="20"/>
        <v>2039</v>
      </c>
      <c r="BH7" s="92">
        <f t="shared" si="20"/>
        <v>2039</v>
      </c>
      <c r="BI7" s="92">
        <f t="shared" si="20"/>
        <v>2039</v>
      </c>
      <c r="BJ7" s="92">
        <f t="shared" si="20"/>
        <v>2039</v>
      </c>
      <c r="BK7" s="92">
        <f t="shared" si="20"/>
        <v>2040</v>
      </c>
      <c r="BL7" s="92">
        <f t="shared" si="20"/>
        <v>2040</v>
      </c>
      <c r="BM7" s="92">
        <f t="shared" si="20"/>
        <v>2040</v>
      </c>
      <c r="BN7" s="92">
        <f t="shared" si="20"/>
        <v>2040</v>
      </c>
      <c r="BO7" s="92">
        <f t="shared" si="20"/>
        <v>2041</v>
      </c>
      <c r="BP7" s="92">
        <f t="shared" si="20"/>
        <v>2041</v>
      </c>
      <c r="BQ7" s="92">
        <f t="shared" si="20"/>
        <v>2041</v>
      </c>
      <c r="BR7" s="92">
        <f t="shared" si="20"/>
        <v>2041</v>
      </c>
      <c r="BS7" s="92">
        <f t="shared" si="20"/>
        <v>2042</v>
      </c>
      <c r="BT7" s="92">
        <f t="shared" ref="BT7:EE7" si="21">YEAR(BT5)</f>
        <v>2042</v>
      </c>
      <c r="BU7" s="92">
        <f t="shared" si="21"/>
        <v>2042</v>
      </c>
      <c r="BV7" s="92">
        <f t="shared" si="21"/>
        <v>2042</v>
      </c>
      <c r="BW7" s="92">
        <f t="shared" si="21"/>
        <v>2043</v>
      </c>
      <c r="BX7" s="92">
        <f t="shared" si="21"/>
        <v>2043</v>
      </c>
      <c r="BY7" s="92">
        <f t="shared" si="21"/>
        <v>2043</v>
      </c>
      <c r="BZ7" s="92">
        <f t="shared" si="21"/>
        <v>2043</v>
      </c>
      <c r="CA7" s="92">
        <f t="shared" si="21"/>
        <v>2044</v>
      </c>
      <c r="CB7" s="92">
        <f t="shared" si="21"/>
        <v>2044</v>
      </c>
      <c r="CC7" s="92">
        <f t="shared" si="21"/>
        <v>2044</v>
      </c>
      <c r="CD7" s="92">
        <f t="shared" si="21"/>
        <v>2044</v>
      </c>
      <c r="CE7" s="92">
        <f t="shared" si="21"/>
        <v>2045</v>
      </c>
      <c r="CF7" s="92">
        <f t="shared" si="21"/>
        <v>2045</v>
      </c>
      <c r="CG7" s="92">
        <f t="shared" si="21"/>
        <v>2045</v>
      </c>
      <c r="CH7" s="92">
        <f t="shared" si="21"/>
        <v>2045</v>
      </c>
      <c r="CI7" s="92">
        <f t="shared" si="21"/>
        <v>2046</v>
      </c>
      <c r="CJ7" s="92">
        <f t="shared" si="21"/>
        <v>2046</v>
      </c>
      <c r="CK7" s="92">
        <f t="shared" si="21"/>
        <v>2046</v>
      </c>
      <c r="CL7" s="92">
        <f t="shared" si="21"/>
        <v>2046</v>
      </c>
      <c r="CM7" s="92">
        <f t="shared" si="21"/>
        <v>2047</v>
      </c>
      <c r="CN7" s="92">
        <f t="shared" si="21"/>
        <v>2047</v>
      </c>
      <c r="CO7" s="92">
        <f t="shared" si="21"/>
        <v>2047</v>
      </c>
      <c r="CP7" s="92">
        <f t="shared" si="21"/>
        <v>2047</v>
      </c>
      <c r="CQ7" s="92">
        <f t="shared" si="21"/>
        <v>2048</v>
      </c>
      <c r="CR7" s="92">
        <f t="shared" si="21"/>
        <v>2048</v>
      </c>
      <c r="CS7" s="92">
        <f t="shared" si="21"/>
        <v>2048</v>
      </c>
      <c r="CT7" s="92">
        <f t="shared" si="21"/>
        <v>2048</v>
      </c>
      <c r="CU7" s="239">
        <f t="shared" si="21"/>
        <v>2049</v>
      </c>
      <c r="CV7" s="92">
        <f t="shared" si="21"/>
        <v>2049</v>
      </c>
      <c r="CW7" s="92">
        <f t="shared" si="21"/>
        <v>2049</v>
      </c>
      <c r="CX7" s="92">
        <f t="shared" si="21"/>
        <v>2049</v>
      </c>
      <c r="CY7" s="92">
        <f t="shared" si="21"/>
        <v>2050</v>
      </c>
      <c r="CZ7" s="92">
        <f t="shared" si="21"/>
        <v>2050</v>
      </c>
      <c r="DA7" s="92">
        <f t="shared" si="21"/>
        <v>2050</v>
      </c>
      <c r="DB7" s="92">
        <f t="shared" si="21"/>
        <v>2050</v>
      </c>
      <c r="DC7" s="92">
        <f t="shared" si="21"/>
        <v>2051</v>
      </c>
      <c r="DD7" s="92">
        <f t="shared" si="21"/>
        <v>2051</v>
      </c>
      <c r="DE7" s="92">
        <f t="shared" si="21"/>
        <v>2051</v>
      </c>
      <c r="DF7" s="92">
        <f t="shared" si="21"/>
        <v>2051</v>
      </c>
      <c r="DG7" s="92">
        <f t="shared" si="21"/>
        <v>2052</v>
      </c>
      <c r="DH7" s="92">
        <f t="shared" si="21"/>
        <v>2052</v>
      </c>
      <c r="DI7" s="92">
        <f t="shared" si="21"/>
        <v>2052</v>
      </c>
      <c r="DJ7" s="92">
        <f t="shared" si="21"/>
        <v>2052</v>
      </c>
      <c r="DK7" s="92">
        <f t="shared" si="21"/>
        <v>2053</v>
      </c>
      <c r="DL7" s="92">
        <f t="shared" si="21"/>
        <v>2053</v>
      </c>
      <c r="DM7" s="92">
        <f t="shared" si="21"/>
        <v>2053</v>
      </c>
      <c r="DN7" s="92">
        <f t="shared" si="21"/>
        <v>2053</v>
      </c>
      <c r="DO7" s="92">
        <f t="shared" si="21"/>
        <v>2054</v>
      </c>
      <c r="DP7" s="92">
        <f t="shared" si="21"/>
        <v>2054</v>
      </c>
      <c r="DQ7" s="92">
        <f t="shared" si="21"/>
        <v>2054</v>
      </c>
      <c r="DR7" s="92">
        <f t="shared" si="21"/>
        <v>2054</v>
      </c>
      <c r="DS7" s="92">
        <f t="shared" si="21"/>
        <v>2055</v>
      </c>
      <c r="DT7" s="92">
        <f t="shared" si="21"/>
        <v>2055</v>
      </c>
      <c r="DU7" s="92">
        <f t="shared" si="21"/>
        <v>2055</v>
      </c>
      <c r="DV7" s="92">
        <f t="shared" si="21"/>
        <v>2055</v>
      </c>
      <c r="DW7" s="92">
        <f t="shared" si="21"/>
        <v>2056</v>
      </c>
      <c r="DX7" s="92">
        <f t="shared" si="21"/>
        <v>2056</v>
      </c>
      <c r="DY7" s="92">
        <f t="shared" si="21"/>
        <v>2056</v>
      </c>
      <c r="DZ7" s="92">
        <f t="shared" si="21"/>
        <v>2056</v>
      </c>
      <c r="EA7" s="92">
        <f t="shared" si="21"/>
        <v>2057</v>
      </c>
      <c r="EB7" s="92">
        <f t="shared" si="21"/>
        <v>2057</v>
      </c>
      <c r="EC7" s="92">
        <f t="shared" si="21"/>
        <v>2057</v>
      </c>
      <c r="ED7" s="92">
        <f t="shared" si="21"/>
        <v>2057</v>
      </c>
      <c r="EE7" s="92">
        <f t="shared" si="21"/>
        <v>2058</v>
      </c>
      <c r="EF7" s="92">
        <f t="shared" ref="EF7:EI7" si="22">YEAR(EF5)</f>
        <v>2058</v>
      </c>
      <c r="EG7" s="92">
        <f t="shared" si="22"/>
        <v>2058</v>
      </c>
      <c r="EH7" s="92">
        <f t="shared" si="22"/>
        <v>2058</v>
      </c>
      <c r="EI7" s="92">
        <f t="shared" si="22"/>
        <v>2059</v>
      </c>
      <c r="EJ7" s="92">
        <f t="shared" ref="EJ7:FA7" si="23">YEAR(EJ5)</f>
        <v>2059</v>
      </c>
      <c r="EK7" s="92">
        <f t="shared" si="23"/>
        <v>2059</v>
      </c>
      <c r="EL7" s="92">
        <f t="shared" si="23"/>
        <v>2059</v>
      </c>
      <c r="EM7" s="92">
        <f t="shared" si="23"/>
        <v>2060</v>
      </c>
      <c r="EN7" s="92">
        <f t="shared" si="23"/>
        <v>2060</v>
      </c>
      <c r="EO7" s="92">
        <f t="shared" si="23"/>
        <v>2060</v>
      </c>
      <c r="EP7" s="92">
        <f t="shared" si="23"/>
        <v>2060</v>
      </c>
      <c r="EQ7" s="92">
        <f t="shared" si="23"/>
        <v>2061</v>
      </c>
      <c r="ER7" s="92">
        <f t="shared" si="23"/>
        <v>2061</v>
      </c>
      <c r="ES7" s="92">
        <f t="shared" si="23"/>
        <v>2061</v>
      </c>
      <c r="ET7" s="92">
        <f t="shared" si="23"/>
        <v>2061</v>
      </c>
      <c r="EU7" s="92">
        <f t="shared" si="23"/>
        <v>2062</v>
      </c>
      <c r="EV7" s="92">
        <f t="shared" si="23"/>
        <v>2062</v>
      </c>
      <c r="EW7" s="92">
        <f t="shared" si="23"/>
        <v>2062</v>
      </c>
      <c r="EX7" s="92">
        <f t="shared" si="23"/>
        <v>2062</v>
      </c>
      <c r="EY7" s="92">
        <f t="shared" si="23"/>
        <v>2063</v>
      </c>
      <c r="EZ7" s="92">
        <f t="shared" si="23"/>
        <v>2063</v>
      </c>
      <c r="FA7" s="92">
        <f t="shared" si="23"/>
        <v>2063</v>
      </c>
    </row>
    <row r="8" spans="2:157" outlineLevel="1" x14ac:dyDescent="0.2">
      <c r="B8" s="1"/>
      <c r="C8" s="30" t="s">
        <v>104</v>
      </c>
      <c r="D8" s="21" t="s">
        <v>16</v>
      </c>
      <c r="E8" s="5"/>
      <c r="F8" s="21"/>
      <c r="G8" s="95">
        <v>1</v>
      </c>
      <c r="H8" s="62">
        <f t="shared" ref="H8:AE8" si="24">IF(AND(ISNUMBER(G7),G7&lt;&gt;H7),1,0)</f>
        <v>0</v>
      </c>
      <c r="I8" s="62">
        <f t="shared" si="24"/>
        <v>0</v>
      </c>
      <c r="J8" s="62">
        <f t="shared" si="24"/>
        <v>0</v>
      </c>
      <c r="K8" s="62">
        <f t="shared" si="24"/>
        <v>1</v>
      </c>
      <c r="L8" s="62">
        <f t="shared" si="24"/>
        <v>0</v>
      </c>
      <c r="M8" s="62">
        <f t="shared" si="24"/>
        <v>0</v>
      </c>
      <c r="N8" s="62">
        <f t="shared" si="24"/>
        <v>0</v>
      </c>
      <c r="O8" s="62">
        <f t="shared" si="24"/>
        <v>1</v>
      </c>
      <c r="P8" s="62">
        <f t="shared" si="24"/>
        <v>0</v>
      </c>
      <c r="Q8" s="62">
        <f t="shared" si="24"/>
        <v>0</v>
      </c>
      <c r="R8" s="62">
        <f t="shared" si="24"/>
        <v>0</v>
      </c>
      <c r="S8" s="62">
        <f t="shared" si="24"/>
        <v>1</v>
      </c>
      <c r="T8" s="62">
        <f t="shared" si="24"/>
        <v>0</v>
      </c>
      <c r="U8" s="62">
        <f t="shared" si="24"/>
        <v>0</v>
      </c>
      <c r="V8" s="62">
        <f t="shared" si="24"/>
        <v>0</v>
      </c>
      <c r="W8" s="62">
        <f t="shared" si="24"/>
        <v>1</v>
      </c>
      <c r="X8" s="62">
        <f t="shared" si="24"/>
        <v>0</v>
      </c>
      <c r="Y8" s="62">
        <f t="shared" si="24"/>
        <v>0</v>
      </c>
      <c r="Z8" s="62">
        <f t="shared" si="24"/>
        <v>0</v>
      </c>
      <c r="AA8" s="62">
        <f t="shared" si="24"/>
        <v>1</v>
      </c>
      <c r="AB8" s="62">
        <f t="shared" si="24"/>
        <v>0</v>
      </c>
      <c r="AC8" s="62">
        <f t="shared" si="24"/>
        <v>0</v>
      </c>
      <c r="AD8" s="62">
        <f t="shared" si="24"/>
        <v>0</v>
      </c>
      <c r="AE8" s="62">
        <f t="shared" si="24"/>
        <v>1</v>
      </c>
      <c r="AF8" s="62">
        <f t="shared" ref="AF8" si="25">IF(AND(ISNUMBER(AE7),AE7&lt;&gt;AF7),1,0)</f>
        <v>0</v>
      </c>
      <c r="AG8" s="62">
        <f t="shared" ref="AG8" si="26">IF(AND(ISNUMBER(AF7),AF7&lt;&gt;AG7),1,0)</f>
        <v>0</v>
      </c>
      <c r="AH8" s="62">
        <f t="shared" ref="AH8" si="27">IF(AND(ISNUMBER(AG7),AG7&lt;&gt;AH7),1,0)</f>
        <v>0</v>
      </c>
      <c r="AI8" s="62">
        <f t="shared" ref="AI8" si="28">IF(AND(ISNUMBER(AH7),AH7&lt;&gt;AI7),1,0)</f>
        <v>1</v>
      </c>
      <c r="AJ8" s="62">
        <f t="shared" ref="AJ8" si="29">IF(AND(ISNUMBER(AI7),AI7&lt;&gt;AJ7),1,0)</f>
        <v>0</v>
      </c>
      <c r="AK8" s="62">
        <f t="shared" ref="AK8" si="30">IF(AND(ISNUMBER(AJ7),AJ7&lt;&gt;AK7),1,0)</f>
        <v>0</v>
      </c>
      <c r="AL8" s="62">
        <f t="shared" ref="AL8" si="31">IF(AND(ISNUMBER(AK7),AK7&lt;&gt;AL7),1,0)</f>
        <v>0</v>
      </c>
      <c r="AM8" s="62">
        <f t="shared" ref="AM8" si="32">IF(AND(ISNUMBER(AL7),AL7&lt;&gt;AM7),1,0)</f>
        <v>1</v>
      </c>
      <c r="AN8" s="62">
        <f t="shared" ref="AN8" si="33">IF(AND(ISNUMBER(AM7),AM7&lt;&gt;AN7),1,0)</f>
        <v>0</v>
      </c>
      <c r="AO8" s="62">
        <f t="shared" ref="AO8" si="34">IF(AND(ISNUMBER(AN7),AN7&lt;&gt;AO7),1,0)</f>
        <v>0</v>
      </c>
      <c r="AP8" s="62">
        <f t="shared" ref="AP8" si="35">IF(AND(ISNUMBER(AO7),AO7&lt;&gt;AP7),1,0)</f>
        <v>0</v>
      </c>
      <c r="AQ8" s="62">
        <f t="shared" ref="AQ8" si="36">IF(AND(ISNUMBER(AP7),AP7&lt;&gt;AQ7),1,0)</f>
        <v>1</v>
      </c>
      <c r="AR8" s="62">
        <f t="shared" ref="AR8" si="37">IF(AND(ISNUMBER(AQ7),AQ7&lt;&gt;AR7),1,0)</f>
        <v>0</v>
      </c>
      <c r="AS8" s="62">
        <f t="shared" ref="AS8" si="38">IF(AND(ISNUMBER(AR7),AR7&lt;&gt;AS7),1,0)</f>
        <v>0</v>
      </c>
      <c r="AT8" s="62">
        <f t="shared" ref="AT8" si="39">IF(AND(ISNUMBER(AS7),AS7&lt;&gt;AT7),1,0)</f>
        <v>0</v>
      </c>
      <c r="AU8" s="62">
        <f t="shared" ref="AU8" si="40">IF(AND(ISNUMBER(AT7),AT7&lt;&gt;AU7),1,0)</f>
        <v>1</v>
      </c>
      <c r="AV8" s="62">
        <f t="shared" ref="AV8" si="41">IF(AND(ISNUMBER(AU7),AU7&lt;&gt;AV7),1,0)</f>
        <v>0</v>
      </c>
      <c r="AW8" s="62">
        <f t="shared" ref="AW8" si="42">IF(AND(ISNUMBER(AV7),AV7&lt;&gt;AW7),1,0)</f>
        <v>0</v>
      </c>
      <c r="AX8" s="62">
        <f t="shared" ref="AX8" si="43">IF(AND(ISNUMBER(AW7),AW7&lt;&gt;AX7),1,0)</f>
        <v>0</v>
      </c>
      <c r="AY8" s="62">
        <f t="shared" ref="AY8" si="44">IF(AND(ISNUMBER(AX7),AX7&lt;&gt;AY7),1,0)</f>
        <v>1</v>
      </c>
      <c r="AZ8" s="62">
        <f t="shared" ref="AZ8" si="45">IF(AND(ISNUMBER(AY7),AY7&lt;&gt;AZ7),1,0)</f>
        <v>0</v>
      </c>
      <c r="BA8" s="62">
        <f t="shared" ref="BA8" si="46">IF(AND(ISNUMBER(AZ7),AZ7&lt;&gt;BA7),1,0)</f>
        <v>0</v>
      </c>
      <c r="BB8" s="62">
        <f t="shared" ref="BB8" si="47">IF(AND(ISNUMBER(BA7),BA7&lt;&gt;BB7),1,0)</f>
        <v>0</v>
      </c>
      <c r="BC8" s="62">
        <f t="shared" ref="BC8" si="48">IF(AND(ISNUMBER(BB7),BB7&lt;&gt;BC7),1,0)</f>
        <v>1</v>
      </c>
      <c r="BD8" s="62">
        <f t="shared" ref="BD8" si="49">IF(AND(ISNUMBER(BC7),BC7&lt;&gt;BD7),1,0)</f>
        <v>0</v>
      </c>
      <c r="BE8" s="62">
        <f t="shared" ref="BE8" si="50">IF(AND(ISNUMBER(BD7),BD7&lt;&gt;BE7),1,0)</f>
        <v>0</v>
      </c>
      <c r="BF8" s="62">
        <f t="shared" ref="BF8" si="51">IF(AND(ISNUMBER(BE7),BE7&lt;&gt;BF7),1,0)</f>
        <v>0</v>
      </c>
      <c r="BG8" s="62">
        <f t="shared" ref="BG8" si="52">IF(AND(ISNUMBER(BF7),BF7&lt;&gt;BG7),1,0)</f>
        <v>1</v>
      </c>
      <c r="BH8" s="62">
        <f t="shared" ref="BH8" si="53">IF(AND(ISNUMBER(BG7),BG7&lt;&gt;BH7),1,0)</f>
        <v>0</v>
      </c>
      <c r="BI8" s="62">
        <f t="shared" ref="BI8" si="54">IF(AND(ISNUMBER(BH7),BH7&lt;&gt;BI7),1,0)</f>
        <v>0</v>
      </c>
      <c r="BJ8" s="62">
        <f t="shared" ref="BJ8" si="55">IF(AND(ISNUMBER(BI7),BI7&lt;&gt;BJ7),1,0)</f>
        <v>0</v>
      </c>
      <c r="BK8" s="62">
        <f t="shared" ref="BK8" si="56">IF(AND(ISNUMBER(BJ7),BJ7&lt;&gt;BK7),1,0)</f>
        <v>1</v>
      </c>
      <c r="BL8" s="62">
        <f t="shared" ref="BL8" si="57">IF(AND(ISNUMBER(BK7),BK7&lt;&gt;BL7),1,0)</f>
        <v>0</v>
      </c>
      <c r="BM8" s="62">
        <f t="shared" ref="BM8" si="58">IF(AND(ISNUMBER(BL7),BL7&lt;&gt;BM7),1,0)</f>
        <v>0</v>
      </c>
      <c r="BN8" s="62">
        <f t="shared" ref="BN8" si="59">IF(AND(ISNUMBER(BM7),BM7&lt;&gt;BN7),1,0)</f>
        <v>0</v>
      </c>
      <c r="BO8" s="62">
        <f t="shared" ref="BO8" si="60">IF(AND(ISNUMBER(BN7),BN7&lt;&gt;BO7),1,0)</f>
        <v>1</v>
      </c>
      <c r="BP8" s="62">
        <f t="shared" ref="BP8" si="61">IF(AND(ISNUMBER(BO7),BO7&lt;&gt;BP7),1,0)</f>
        <v>0</v>
      </c>
      <c r="BQ8" s="62">
        <f t="shared" ref="BQ8" si="62">IF(AND(ISNUMBER(BP7),BP7&lt;&gt;BQ7),1,0)</f>
        <v>0</v>
      </c>
      <c r="BR8" s="62">
        <f t="shared" ref="BR8" si="63">IF(AND(ISNUMBER(BQ7),BQ7&lt;&gt;BR7),1,0)</f>
        <v>0</v>
      </c>
      <c r="BS8" s="62">
        <f t="shared" ref="BS8" si="64">IF(AND(ISNUMBER(BR7),BR7&lt;&gt;BS7),1,0)</f>
        <v>1</v>
      </c>
      <c r="BT8" s="62">
        <f t="shared" ref="BT8" si="65">IF(AND(ISNUMBER(BS7),BS7&lt;&gt;BT7),1,0)</f>
        <v>0</v>
      </c>
      <c r="BU8" s="62">
        <f t="shared" ref="BU8" si="66">IF(AND(ISNUMBER(BT7),BT7&lt;&gt;BU7),1,0)</f>
        <v>0</v>
      </c>
      <c r="BV8" s="62">
        <f t="shared" ref="BV8" si="67">IF(AND(ISNUMBER(BU7),BU7&lt;&gt;BV7),1,0)</f>
        <v>0</v>
      </c>
      <c r="BW8" s="62">
        <f t="shared" ref="BW8" si="68">IF(AND(ISNUMBER(BV7),BV7&lt;&gt;BW7),1,0)</f>
        <v>1</v>
      </c>
      <c r="BX8" s="62">
        <f t="shared" ref="BX8" si="69">IF(AND(ISNUMBER(BW7),BW7&lt;&gt;BX7),1,0)</f>
        <v>0</v>
      </c>
      <c r="BY8" s="62">
        <f t="shared" ref="BY8" si="70">IF(AND(ISNUMBER(BX7),BX7&lt;&gt;BY7),1,0)</f>
        <v>0</v>
      </c>
      <c r="BZ8" s="62">
        <f t="shared" ref="BZ8" si="71">IF(AND(ISNUMBER(BY7),BY7&lt;&gt;BZ7),1,0)</f>
        <v>0</v>
      </c>
      <c r="CA8" s="62">
        <f t="shared" ref="CA8" si="72">IF(AND(ISNUMBER(BZ7),BZ7&lt;&gt;CA7),1,0)</f>
        <v>1</v>
      </c>
      <c r="CB8" s="62">
        <f t="shared" ref="CB8" si="73">IF(AND(ISNUMBER(CA7),CA7&lt;&gt;CB7),1,0)</f>
        <v>0</v>
      </c>
      <c r="CC8" s="62">
        <f t="shared" ref="CC8" si="74">IF(AND(ISNUMBER(CB7),CB7&lt;&gt;CC7),1,0)</f>
        <v>0</v>
      </c>
      <c r="CD8" s="62">
        <f t="shared" ref="CD8" si="75">IF(AND(ISNUMBER(CC7),CC7&lt;&gt;CD7),1,0)</f>
        <v>0</v>
      </c>
      <c r="CE8" s="62">
        <f t="shared" ref="CE8" si="76">IF(AND(ISNUMBER(CD7),CD7&lt;&gt;CE7),1,0)</f>
        <v>1</v>
      </c>
      <c r="CF8" s="62">
        <f t="shared" ref="CF8" si="77">IF(AND(ISNUMBER(CE7),CE7&lt;&gt;CF7),1,0)</f>
        <v>0</v>
      </c>
      <c r="CG8" s="62">
        <f t="shared" ref="CG8" si="78">IF(AND(ISNUMBER(CF7),CF7&lt;&gt;CG7),1,0)</f>
        <v>0</v>
      </c>
      <c r="CH8" s="62">
        <f t="shared" ref="CH8" si="79">IF(AND(ISNUMBER(CG7),CG7&lt;&gt;CH7),1,0)</f>
        <v>0</v>
      </c>
      <c r="CI8" s="62">
        <f t="shared" ref="CI8" si="80">IF(AND(ISNUMBER(CH7),CH7&lt;&gt;CI7),1,0)</f>
        <v>1</v>
      </c>
      <c r="CJ8" s="62">
        <f t="shared" ref="CJ8" si="81">IF(AND(ISNUMBER(CI7),CI7&lt;&gt;CJ7),1,0)</f>
        <v>0</v>
      </c>
      <c r="CK8" s="62">
        <f t="shared" ref="CK8" si="82">IF(AND(ISNUMBER(CJ7),CJ7&lt;&gt;CK7),1,0)</f>
        <v>0</v>
      </c>
      <c r="CL8" s="62">
        <f t="shared" ref="CL8" si="83">IF(AND(ISNUMBER(CK7),CK7&lt;&gt;CL7),1,0)</f>
        <v>0</v>
      </c>
      <c r="CM8" s="62">
        <f t="shared" ref="CM8" si="84">IF(AND(ISNUMBER(CL7),CL7&lt;&gt;CM7),1,0)</f>
        <v>1</v>
      </c>
      <c r="CN8" s="62">
        <f t="shared" ref="CN8" si="85">IF(AND(ISNUMBER(CM7),CM7&lt;&gt;CN7),1,0)</f>
        <v>0</v>
      </c>
      <c r="CO8" s="62">
        <f t="shared" ref="CO8" si="86">IF(AND(ISNUMBER(CN7),CN7&lt;&gt;CO7),1,0)</f>
        <v>0</v>
      </c>
      <c r="CP8" s="62">
        <f t="shared" ref="CP8" si="87">IF(AND(ISNUMBER(CO7),CO7&lt;&gt;CP7),1,0)</f>
        <v>0</v>
      </c>
      <c r="CQ8" s="62">
        <f t="shared" ref="CQ8" si="88">IF(AND(ISNUMBER(CP7),CP7&lt;&gt;CQ7),1,0)</f>
        <v>1</v>
      </c>
      <c r="CR8" s="62">
        <f t="shared" ref="CR8" si="89">IF(AND(ISNUMBER(CQ7),CQ7&lt;&gt;CR7),1,0)</f>
        <v>0</v>
      </c>
      <c r="CS8" s="62">
        <f t="shared" ref="CS8" si="90">IF(AND(ISNUMBER(CR7),CR7&lt;&gt;CS7),1,0)</f>
        <v>0</v>
      </c>
      <c r="CT8" s="62">
        <f t="shared" ref="CT8" si="91">IF(AND(ISNUMBER(CS7),CS7&lt;&gt;CT7),1,0)</f>
        <v>0</v>
      </c>
      <c r="CU8" s="240">
        <f t="shared" ref="CU8" si="92">IF(AND(ISNUMBER(CT7),CT7&lt;&gt;CU7),1,0)</f>
        <v>1</v>
      </c>
      <c r="CV8" s="62">
        <f t="shared" ref="CV8" si="93">IF(AND(ISNUMBER(CU7),CU7&lt;&gt;CV7),1,0)</f>
        <v>0</v>
      </c>
      <c r="CW8" s="62">
        <f t="shared" ref="CW8" si="94">IF(AND(ISNUMBER(CV7),CV7&lt;&gt;CW7),1,0)</f>
        <v>0</v>
      </c>
      <c r="CX8" s="62">
        <f t="shared" ref="CX8" si="95">IF(AND(ISNUMBER(CW7),CW7&lt;&gt;CX7),1,0)</f>
        <v>0</v>
      </c>
      <c r="CY8" s="62">
        <f t="shared" ref="CY8" si="96">IF(AND(ISNUMBER(CX7),CX7&lt;&gt;CY7),1,0)</f>
        <v>1</v>
      </c>
      <c r="CZ8" s="62">
        <f t="shared" ref="CZ8" si="97">IF(AND(ISNUMBER(CY7),CY7&lt;&gt;CZ7),1,0)</f>
        <v>0</v>
      </c>
      <c r="DA8" s="62">
        <f t="shared" ref="DA8" si="98">IF(AND(ISNUMBER(CZ7),CZ7&lt;&gt;DA7),1,0)</f>
        <v>0</v>
      </c>
      <c r="DB8" s="62">
        <f t="shared" ref="DB8" si="99">IF(AND(ISNUMBER(DA7),DA7&lt;&gt;DB7),1,0)</f>
        <v>0</v>
      </c>
      <c r="DC8" s="62">
        <f t="shared" ref="DC8" si="100">IF(AND(ISNUMBER(DB7),DB7&lt;&gt;DC7),1,0)</f>
        <v>1</v>
      </c>
      <c r="DD8" s="62">
        <f t="shared" ref="DD8" si="101">IF(AND(ISNUMBER(DC7),DC7&lt;&gt;DD7),1,0)</f>
        <v>0</v>
      </c>
      <c r="DE8" s="62">
        <f t="shared" ref="DE8" si="102">IF(AND(ISNUMBER(DD7),DD7&lt;&gt;DE7),1,0)</f>
        <v>0</v>
      </c>
      <c r="DF8" s="62">
        <f t="shared" ref="DF8" si="103">IF(AND(ISNUMBER(DE7),DE7&lt;&gt;DF7),1,0)</f>
        <v>0</v>
      </c>
      <c r="DG8" s="62">
        <f t="shared" ref="DG8" si="104">IF(AND(ISNUMBER(DF7),DF7&lt;&gt;DG7),1,0)</f>
        <v>1</v>
      </c>
      <c r="DH8" s="62">
        <f t="shared" ref="DH8" si="105">IF(AND(ISNUMBER(DG7),DG7&lt;&gt;DH7),1,0)</f>
        <v>0</v>
      </c>
      <c r="DI8" s="62">
        <f t="shared" ref="DI8" si="106">IF(AND(ISNUMBER(DH7),DH7&lt;&gt;DI7),1,0)</f>
        <v>0</v>
      </c>
      <c r="DJ8" s="62">
        <f t="shared" ref="DJ8" si="107">IF(AND(ISNUMBER(DI7),DI7&lt;&gt;DJ7),1,0)</f>
        <v>0</v>
      </c>
      <c r="DK8" s="62">
        <f t="shared" ref="DK8" si="108">IF(AND(ISNUMBER(DJ7),DJ7&lt;&gt;DK7),1,0)</f>
        <v>1</v>
      </c>
      <c r="DL8" s="62">
        <f t="shared" ref="DL8" si="109">IF(AND(ISNUMBER(DK7),DK7&lt;&gt;DL7),1,0)</f>
        <v>0</v>
      </c>
      <c r="DM8" s="62">
        <f t="shared" ref="DM8" si="110">IF(AND(ISNUMBER(DL7),DL7&lt;&gt;DM7),1,0)</f>
        <v>0</v>
      </c>
      <c r="DN8" s="62">
        <f t="shared" ref="DN8" si="111">IF(AND(ISNUMBER(DM7),DM7&lt;&gt;DN7),1,0)</f>
        <v>0</v>
      </c>
      <c r="DO8" s="62">
        <f t="shared" ref="DO8" si="112">IF(AND(ISNUMBER(DN7),DN7&lt;&gt;DO7),1,0)</f>
        <v>1</v>
      </c>
      <c r="DP8" s="62">
        <f t="shared" ref="DP8" si="113">IF(AND(ISNUMBER(DO7),DO7&lt;&gt;DP7),1,0)</f>
        <v>0</v>
      </c>
      <c r="DQ8" s="62">
        <f t="shared" ref="DQ8" si="114">IF(AND(ISNUMBER(DP7),DP7&lt;&gt;DQ7),1,0)</f>
        <v>0</v>
      </c>
      <c r="DR8" s="62">
        <f t="shared" ref="DR8" si="115">IF(AND(ISNUMBER(DQ7),DQ7&lt;&gt;DR7),1,0)</f>
        <v>0</v>
      </c>
      <c r="DS8" s="62">
        <f t="shared" ref="DS8" si="116">IF(AND(ISNUMBER(DR7),DR7&lt;&gt;DS7),1,0)</f>
        <v>1</v>
      </c>
      <c r="DT8" s="62">
        <f t="shared" ref="DT8" si="117">IF(AND(ISNUMBER(DS7),DS7&lt;&gt;DT7),1,0)</f>
        <v>0</v>
      </c>
      <c r="DU8" s="62">
        <f t="shared" ref="DU8" si="118">IF(AND(ISNUMBER(DT7),DT7&lt;&gt;DU7),1,0)</f>
        <v>0</v>
      </c>
      <c r="DV8" s="62">
        <f t="shared" ref="DV8" si="119">IF(AND(ISNUMBER(DU7),DU7&lt;&gt;DV7),1,0)</f>
        <v>0</v>
      </c>
      <c r="DW8" s="62">
        <f t="shared" ref="DW8" si="120">IF(AND(ISNUMBER(DV7),DV7&lt;&gt;DW7),1,0)</f>
        <v>1</v>
      </c>
      <c r="DX8" s="62">
        <f t="shared" ref="DX8" si="121">IF(AND(ISNUMBER(DW7),DW7&lt;&gt;DX7),1,0)</f>
        <v>0</v>
      </c>
      <c r="DY8" s="62">
        <f t="shared" ref="DY8" si="122">IF(AND(ISNUMBER(DX7),DX7&lt;&gt;DY7),1,0)</f>
        <v>0</v>
      </c>
      <c r="DZ8" s="62">
        <f t="shared" ref="DZ8" si="123">IF(AND(ISNUMBER(DY7),DY7&lt;&gt;DZ7),1,0)</f>
        <v>0</v>
      </c>
      <c r="EA8" s="62">
        <f t="shared" ref="EA8" si="124">IF(AND(ISNUMBER(DZ7),DZ7&lt;&gt;EA7),1,0)</f>
        <v>1</v>
      </c>
      <c r="EB8" s="62">
        <f t="shared" ref="EB8" si="125">IF(AND(ISNUMBER(EA7),EA7&lt;&gt;EB7),1,0)</f>
        <v>0</v>
      </c>
      <c r="EC8" s="62">
        <f t="shared" ref="EC8" si="126">IF(AND(ISNUMBER(EB7),EB7&lt;&gt;EC7),1,0)</f>
        <v>0</v>
      </c>
      <c r="ED8" s="62">
        <f t="shared" ref="ED8" si="127">IF(AND(ISNUMBER(EC7),EC7&lt;&gt;ED7),1,0)</f>
        <v>0</v>
      </c>
      <c r="EE8" s="62">
        <f t="shared" ref="EE8" si="128">IF(AND(ISNUMBER(ED7),ED7&lt;&gt;EE7),1,0)</f>
        <v>1</v>
      </c>
      <c r="EF8" s="62">
        <f t="shared" ref="EF8" si="129">IF(AND(ISNUMBER(EE7),EE7&lt;&gt;EF7),1,0)</f>
        <v>0</v>
      </c>
      <c r="EG8" s="62">
        <f t="shared" ref="EG8" si="130">IF(AND(ISNUMBER(EF7),EF7&lt;&gt;EG7),1,0)</f>
        <v>0</v>
      </c>
      <c r="EH8" s="62">
        <f t="shared" ref="EH8" si="131">IF(AND(ISNUMBER(EG7),EG7&lt;&gt;EH7),1,0)</f>
        <v>0</v>
      </c>
      <c r="EI8" s="62">
        <f t="shared" ref="EI8" si="132">IF(AND(ISNUMBER(EH7),EH7&lt;&gt;EI7),1,0)</f>
        <v>1</v>
      </c>
      <c r="EJ8" s="62">
        <f t="shared" ref="EJ8" si="133">IF(AND(ISNUMBER(EI7),EI7&lt;&gt;EJ7),1,0)</f>
        <v>0</v>
      </c>
      <c r="EK8" s="62">
        <f t="shared" ref="EK8" si="134">IF(AND(ISNUMBER(EJ7),EJ7&lt;&gt;EK7),1,0)</f>
        <v>0</v>
      </c>
      <c r="EL8" s="62">
        <f t="shared" ref="EL8" si="135">IF(AND(ISNUMBER(EK7),EK7&lt;&gt;EL7),1,0)</f>
        <v>0</v>
      </c>
      <c r="EM8" s="62">
        <f t="shared" ref="EM8" si="136">IF(AND(ISNUMBER(EL7),EL7&lt;&gt;EM7),1,0)</f>
        <v>1</v>
      </c>
      <c r="EN8" s="62">
        <f t="shared" ref="EN8" si="137">IF(AND(ISNUMBER(EM7),EM7&lt;&gt;EN7),1,0)</f>
        <v>0</v>
      </c>
      <c r="EO8" s="62">
        <f t="shared" ref="EO8" si="138">IF(AND(ISNUMBER(EN7),EN7&lt;&gt;EO7),1,0)</f>
        <v>0</v>
      </c>
      <c r="EP8" s="62">
        <f t="shared" ref="EP8" si="139">IF(AND(ISNUMBER(EO7),EO7&lt;&gt;EP7),1,0)</f>
        <v>0</v>
      </c>
      <c r="EQ8" s="62">
        <f t="shared" ref="EQ8" si="140">IF(AND(ISNUMBER(EP7),EP7&lt;&gt;EQ7),1,0)</f>
        <v>1</v>
      </c>
      <c r="ER8" s="62">
        <f t="shared" ref="ER8" si="141">IF(AND(ISNUMBER(EQ7),EQ7&lt;&gt;ER7),1,0)</f>
        <v>0</v>
      </c>
      <c r="ES8" s="62">
        <f t="shared" ref="ES8" si="142">IF(AND(ISNUMBER(ER7),ER7&lt;&gt;ES7),1,0)</f>
        <v>0</v>
      </c>
      <c r="ET8" s="62">
        <f t="shared" ref="ET8" si="143">IF(AND(ISNUMBER(ES7),ES7&lt;&gt;ET7),1,0)</f>
        <v>0</v>
      </c>
      <c r="EU8" s="62">
        <f t="shared" ref="EU8" si="144">IF(AND(ISNUMBER(ET7),ET7&lt;&gt;EU7),1,0)</f>
        <v>1</v>
      </c>
      <c r="EV8" s="62">
        <f t="shared" ref="EV8" si="145">IF(AND(ISNUMBER(EU7),EU7&lt;&gt;EV7),1,0)</f>
        <v>0</v>
      </c>
      <c r="EW8" s="62">
        <f t="shared" ref="EW8" si="146">IF(AND(ISNUMBER(EV7),EV7&lt;&gt;EW7),1,0)</f>
        <v>0</v>
      </c>
      <c r="EX8" s="62">
        <f t="shared" ref="EX8" si="147">IF(AND(ISNUMBER(EW7),EW7&lt;&gt;EX7),1,0)</f>
        <v>0</v>
      </c>
      <c r="EY8" s="62">
        <f t="shared" ref="EY8" si="148">IF(AND(ISNUMBER(EX7),EX7&lt;&gt;EY7),1,0)</f>
        <v>1</v>
      </c>
      <c r="EZ8" s="62">
        <f t="shared" ref="EZ8" si="149">IF(AND(ISNUMBER(EY7),EY7&lt;&gt;EZ7),1,0)</f>
        <v>0</v>
      </c>
      <c r="FA8" s="62">
        <f t="shared" ref="FA8" si="150">IF(AND(ISNUMBER(EZ7),EZ7&lt;&gt;FA7),1,0)</f>
        <v>0</v>
      </c>
    </row>
    <row r="9" spans="2:157" outlineLevel="1" x14ac:dyDescent="0.2">
      <c r="B9" s="1"/>
      <c r="C9" s="30" t="s">
        <v>105</v>
      </c>
      <c r="D9" s="21" t="s">
        <v>16</v>
      </c>
      <c r="E9" s="5"/>
      <c r="F9" s="21"/>
      <c r="G9" s="95">
        <v>1</v>
      </c>
      <c r="H9" s="62">
        <f>IF(H8=1,1,G9+1)</f>
        <v>2</v>
      </c>
      <c r="I9" s="62">
        <f t="shared" ref="I9:M9" si="151">IF(I8=1,1,H9+1)</f>
        <v>3</v>
      </c>
      <c r="J9" s="62">
        <f t="shared" si="151"/>
        <v>4</v>
      </c>
      <c r="K9" s="62">
        <f t="shared" si="151"/>
        <v>1</v>
      </c>
      <c r="L9" s="62">
        <f t="shared" si="151"/>
        <v>2</v>
      </c>
      <c r="M9" s="62">
        <f t="shared" si="151"/>
        <v>3</v>
      </c>
      <c r="N9" s="62">
        <f t="shared" ref="N9" si="152">IF(N8=1,1,M9+1)</f>
        <v>4</v>
      </c>
      <c r="O9" s="62">
        <f t="shared" ref="O9" si="153">IF(O8=1,1,N9+1)</f>
        <v>1</v>
      </c>
      <c r="P9" s="62">
        <f t="shared" ref="P9" si="154">IF(P8=1,1,O9+1)</f>
        <v>2</v>
      </c>
      <c r="Q9" s="62">
        <f t="shared" ref="Q9" si="155">IF(Q8=1,1,P9+1)</f>
        <v>3</v>
      </c>
      <c r="R9" s="62">
        <f t="shared" ref="R9" si="156">IF(R8=1,1,Q9+1)</f>
        <v>4</v>
      </c>
      <c r="S9" s="62">
        <f t="shared" ref="S9" si="157">IF(S8=1,1,R9+1)</f>
        <v>1</v>
      </c>
      <c r="T9" s="62">
        <f t="shared" ref="T9" si="158">IF(T8=1,1,S9+1)</f>
        <v>2</v>
      </c>
      <c r="U9" s="62">
        <f t="shared" ref="U9" si="159">IF(U8=1,1,T9+1)</f>
        <v>3</v>
      </c>
      <c r="V9" s="62">
        <f t="shared" ref="V9" si="160">IF(V8=1,1,U9+1)</f>
        <v>4</v>
      </c>
      <c r="W9" s="62">
        <f t="shared" ref="W9" si="161">IF(W8=1,1,V9+1)</f>
        <v>1</v>
      </c>
      <c r="X9" s="62">
        <f t="shared" ref="X9" si="162">IF(X8=1,1,W9+1)</f>
        <v>2</v>
      </c>
      <c r="Y9" s="62">
        <f t="shared" ref="Y9" si="163">IF(Y8=1,1,X9+1)</f>
        <v>3</v>
      </c>
      <c r="Z9" s="62">
        <f t="shared" ref="Z9" si="164">IF(Z8=1,1,Y9+1)</f>
        <v>4</v>
      </c>
      <c r="AA9" s="62">
        <f t="shared" ref="AA9" si="165">IF(AA8=1,1,Z9+1)</f>
        <v>1</v>
      </c>
      <c r="AB9" s="62">
        <f t="shared" ref="AB9" si="166">IF(AB8=1,1,AA9+1)</f>
        <v>2</v>
      </c>
      <c r="AC9" s="62">
        <f t="shared" ref="AC9" si="167">IF(AC8=1,1,AB9+1)</f>
        <v>3</v>
      </c>
      <c r="AD9" s="62">
        <f t="shared" ref="AD9" si="168">IF(AD8=1,1,AC9+1)</f>
        <v>4</v>
      </c>
      <c r="AE9" s="62">
        <f t="shared" ref="AE9" si="169">IF(AE8=1,1,AD9+1)</f>
        <v>1</v>
      </c>
      <c r="AF9" s="62">
        <f t="shared" ref="AF9" si="170">IF(AF8=1,1,AE9+1)</f>
        <v>2</v>
      </c>
      <c r="AG9" s="62">
        <f t="shared" ref="AG9" si="171">IF(AG8=1,1,AF9+1)</f>
        <v>3</v>
      </c>
      <c r="AH9" s="62">
        <f t="shared" ref="AH9" si="172">IF(AH8=1,1,AG9+1)</f>
        <v>4</v>
      </c>
      <c r="AI9" s="62">
        <f t="shared" ref="AI9" si="173">IF(AI8=1,1,AH9+1)</f>
        <v>1</v>
      </c>
      <c r="AJ9" s="62">
        <f t="shared" ref="AJ9" si="174">IF(AJ8=1,1,AI9+1)</f>
        <v>2</v>
      </c>
      <c r="AK9" s="62">
        <f t="shared" ref="AK9" si="175">IF(AK8=1,1,AJ9+1)</f>
        <v>3</v>
      </c>
      <c r="AL9" s="62">
        <f t="shared" ref="AL9" si="176">IF(AL8=1,1,AK9+1)</f>
        <v>4</v>
      </c>
      <c r="AM9" s="62">
        <f t="shared" ref="AM9" si="177">IF(AM8=1,1,AL9+1)</f>
        <v>1</v>
      </c>
      <c r="AN9" s="62">
        <f t="shared" ref="AN9" si="178">IF(AN8=1,1,AM9+1)</f>
        <v>2</v>
      </c>
      <c r="AO9" s="62">
        <f t="shared" ref="AO9" si="179">IF(AO8=1,1,AN9+1)</f>
        <v>3</v>
      </c>
      <c r="AP9" s="62">
        <f t="shared" ref="AP9" si="180">IF(AP8=1,1,AO9+1)</f>
        <v>4</v>
      </c>
      <c r="AQ9" s="62">
        <f t="shared" ref="AQ9" si="181">IF(AQ8=1,1,AP9+1)</f>
        <v>1</v>
      </c>
      <c r="AR9" s="62">
        <f t="shared" ref="AR9" si="182">IF(AR8=1,1,AQ9+1)</f>
        <v>2</v>
      </c>
      <c r="AS9" s="62">
        <f t="shared" ref="AS9" si="183">IF(AS8=1,1,AR9+1)</f>
        <v>3</v>
      </c>
      <c r="AT9" s="62">
        <f t="shared" ref="AT9" si="184">IF(AT8=1,1,AS9+1)</f>
        <v>4</v>
      </c>
      <c r="AU9" s="62">
        <f t="shared" ref="AU9" si="185">IF(AU8=1,1,AT9+1)</f>
        <v>1</v>
      </c>
      <c r="AV9" s="62">
        <f t="shared" ref="AV9" si="186">IF(AV8=1,1,AU9+1)</f>
        <v>2</v>
      </c>
      <c r="AW9" s="62">
        <f t="shared" ref="AW9" si="187">IF(AW8=1,1,AV9+1)</f>
        <v>3</v>
      </c>
      <c r="AX9" s="62">
        <f t="shared" ref="AX9" si="188">IF(AX8=1,1,AW9+1)</f>
        <v>4</v>
      </c>
      <c r="AY9" s="62">
        <f t="shared" ref="AY9" si="189">IF(AY8=1,1,AX9+1)</f>
        <v>1</v>
      </c>
      <c r="AZ9" s="62">
        <f t="shared" ref="AZ9" si="190">IF(AZ8=1,1,AY9+1)</f>
        <v>2</v>
      </c>
      <c r="BA9" s="62">
        <f t="shared" ref="BA9" si="191">IF(BA8=1,1,AZ9+1)</f>
        <v>3</v>
      </c>
      <c r="BB9" s="62">
        <f t="shared" ref="BB9" si="192">IF(BB8=1,1,BA9+1)</f>
        <v>4</v>
      </c>
      <c r="BC9" s="62">
        <f t="shared" ref="BC9" si="193">IF(BC8=1,1,BB9+1)</f>
        <v>1</v>
      </c>
      <c r="BD9" s="62">
        <f t="shared" ref="BD9" si="194">IF(BD8=1,1,BC9+1)</f>
        <v>2</v>
      </c>
      <c r="BE9" s="62">
        <f t="shared" ref="BE9" si="195">IF(BE8=1,1,BD9+1)</f>
        <v>3</v>
      </c>
      <c r="BF9" s="62">
        <f t="shared" ref="BF9" si="196">IF(BF8=1,1,BE9+1)</f>
        <v>4</v>
      </c>
      <c r="BG9" s="62">
        <f t="shared" ref="BG9" si="197">IF(BG8=1,1,BF9+1)</f>
        <v>1</v>
      </c>
      <c r="BH9" s="62">
        <f t="shared" ref="BH9" si="198">IF(BH8=1,1,BG9+1)</f>
        <v>2</v>
      </c>
      <c r="BI9" s="62">
        <f t="shared" ref="BI9" si="199">IF(BI8=1,1,BH9+1)</f>
        <v>3</v>
      </c>
      <c r="BJ9" s="62">
        <f t="shared" ref="BJ9" si="200">IF(BJ8=1,1,BI9+1)</f>
        <v>4</v>
      </c>
      <c r="BK9" s="62">
        <f t="shared" ref="BK9" si="201">IF(BK8=1,1,BJ9+1)</f>
        <v>1</v>
      </c>
      <c r="BL9" s="62">
        <f t="shared" ref="BL9" si="202">IF(BL8=1,1,BK9+1)</f>
        <v>2</v>
      </c>
      <c r="BM9" s="62">
        <f t="shared" ref="BM9" si="203">IF(BM8=1,1,BL9+1)</f>
        <v>3</v>
      </c>
      <c r="BN9" s="62">
        <f t="shared" ref="BN9" si="204">IF(BN8=1,1,BM9+1)</f>
        <v>4</v>
      </c>
      <c r="BO9" s="62">
        <f t="shared" ref="BO9" si="205">IF(BO8=1,1,BN9+1)</f>
        <v>1</v>
      </c>
      <c r="BP9" s="62">
        <f t="shared" ref="BP9" si="206">IF(BP8=1,1,BO9+1)</f>
        <v>2</v>
      </c>
      <c r="BQ9" s="62">
        <f t="shared" ref="BQ9" si="207">IF(BQ8=1,1,BP9+1)</f>
        <v>3</v>
      </c>
      <c r="BR9" s="62">
        <f t="shared" ref="BR9" si="208">IF(BR8=1,1,BQ9+1)</f>
        <v>4</v>
      </c>
      <c r="BS9" s="62">
        <f t="shared" ref="BS9" si="209">IF(BS8=1,1,BR9+1)</f>
        <v>1</v>
      </c>
      <c r="BT9" s="62">
        <f t="shared" ref="BT9" si="210">IF(BT8=1,1,BS9+1)</f>
        <v>2</v>
      </c>
      <c r="BU9" s="62">
        <f t="shared" ref="BU9" si="211">IF(BU8=1,1,BT9+1)</f>
        <v>3</v>
      </c>
      <c r="BV9" s="62">
        <f t="shared" ref="BV9" si="212">IF(BV8=1,1,BU9+1)</f>
        <v>4</v>
      </c>
      <c r="BW9" s="62">
        <f t="shared" ref="BW9" si="213">IF(BW8=1,1,BV9+1)</f>
        <v>1</v>
      </c>
      <c r="BX9" s="62">
        <f t="shared" ref="BX9" si="214">IF(BX8=1,1,BW9+1)</f>
        <v>2</v>
      </c>
      <c r="BY9" s="62">
        <f t="shared" ref="BY9" si="215">IF(BY8=1,1,BX9+1)</f>
        <v>3</v>
      </c>
      <c r="BZ9" s="62">
        <f t="shared" ref="BZ9" si="216">IF(BZ8=1,1,BY9+1)</f>
        <v>4</v>
      </c>
      <c r="CA9" s="62">
        <f t="shared" ref="CA9" si="217">IF(CA8=1,1,BZ9+1)</f>
        <v>1</v>
      </c>
      <c r="CB9" s="62">
        <f t="shared" ref="CB9" si="218">IF(CB8=1,1,CA9+1)</f>
        <v>2</v>
      </c>
      <c r="CC9" s="62">
        <f t="shared" ref="CC9" si="219">IF(CC8=1,1,CB9+1)</f>
        <v>3</v>
      </c>
      <c r="CD9" s="62">
        <f t="shared" ref="CD9" si="220">IF(CD8=1,1,CC9+1)</f>
        <v>4</v>
      </c>
      <c r="CE9" s="62">
        <f t="shared" ref="CE9" si="221">IF(CE8=1,1,CD9+1)</f>
        <v>1</v>
      </c>
      <c r="CF9" s="62">
        <f t="shared" ref="CF9" si="222">IF(CF8=1,1,CE9+1)</f>
        <v>2</v>
      </c>
      <c r="CG9" s="62">
        <f t="shared" ref="CG9" si="223">IF(CG8=1,1,CF9+1)</f>
        <v>3</v>
      </c>
      <c r="CH9" s="62">
        <f t="shared" ref="CH9" si="224">IF(CH8=1,1,CG9+1)</f>
        <v>4</v>
      </c>
      <c r="CI9" s="62">
        <f t="shared" ref="CI9" si="225">IF(CI8=1,1,CH9+1)</f>
        <v>1</v>
      </c>
      <c r="CJ9" s="62">
        <f t="shared" ref="CJ9" si="226">IF(CJ8=1,1,CI9+1)</f>
        <v>2</v>
      </c>
      <c r="CK9" s="62">
        <f t="shared" ref="CK9" si="227">IF(CK8=1,1,CJ9+1)</f>
        <v>3</v>
      </c>
      <c r="CL9" s="62">
        <f t="shared" ref="CL9" si="228">IF(CL8=1,1,CK9+1)</f>
        <v>4</v>
      </c>
      <c r="CM9" s="62">
        <f t="shared" ref="CM9" si="229">IF(CM8=1,1,CL9+1)</f>
        <v>1</v>
      </c>
      <c r="CN9" s="62">
        <f t="shared" ref="CN9" si="230">IF(CN8=1,1,CM9+1)</f>
        <v>2</v>
      </c>
      <c r="CO9" s="62">
        <f t="shared" ref="CO9" si="231">IF(CO8=1,1,CN9+1)</f>
        <v>3</v>
      </c>
      <c r="CP9" s="62">
        <f t="shared" ref="CP9" si="232">IF(CP8=1,1,CO9+1)</f>
        <v>4</v>
      </c>
      <c r="CQ9" s="62">
        <f t="shared" ref="CQ9" si="233">IF(CQ8=1,1,CP9+1)</f>
        <v>1</v>
      </c>
      <c r="CR9" s="62">
        <f t="shared" ref="CR9" si="234">IF(CR8=1,1,CQ9+1)</f>
        <v>2</v>
      </c>
      <c r="CS9" s="62">
        <f t="shared" ref="CS9" si="235">IF(CS8=1,1,CR9+1)</f>
        <v>3</v>
      </c>
      <c r="CT9" s="62">
        <f t="shared" ref="CT9" si="236">IF(CT8=1,1,CS9+1)</f>
        <v>4</v>
      </c>
      <c r="CU9" s="240">
        <f t="shared" ref="CU9" si="237">IF(CU8=1,1,CT9+1)</f>
        <v>1</v>
      </c>
      <c r="CV9" s="62">
        <f t="shared" ref="CV9" si="238">IF(CV8=1,1,CU9+1)</f>
        <v>2</v>
      </c>
      <c r="CW9" s="62">
        <f t="shared" ref="CW9" si="239">IF(CW8=1,1,CV9+1)</f>
        <v>3</v>
      </c>
      <c r="CX9" s="62">
        <f t="shared" ref="CX9" si="240">IF(CX8=1,1,CW9+1)</f>
        <v>4</v>
      </c>
      <c r="CY9" s="62">
        <f t="shared" ref="CY9" si="241">IF(CY8=1,1,CX9+1)</f>
        <v>1</v>
      </c>
      <c r="CZ9" s="62">
        <f t="shared" ref="CZ9" si="242">IF(CZ8=1,1,CY9+1)</f>
        <v>2</v>
      </c>
      <c r="DA9" s="62">
        <f t="shared" ref="DA9" si="243">IF(DA8=1,1,CZ9+1)</f>
        <v>3</v>
      </c>
      <c r="DB9" s="62">
        <f t="shared" ref="DB9" si="244">IF(DB8=1,1,DA9+1)</f>
        <v>4</v>
      </c>
      <c r="DC9" s="62">
        <f t="shared" ref="DC9" si="245">IF(DC8=1,1,DB9+1)</f>
        <v>1</v>
      </c>
      <c r="DD9" s="62">
        <f t="shared" ref="DD9" si="246">IF(DD8=1,1,DC9+1)</f>
        <v>2</v>
      </c>
      <c r="DE9" s="62">
        <f t="shared" ref="DE9" si="247">IF(DE8=1,1,DD9+1)</f>
        <v>3</v>
      </c>
      <c r="DF9" s="62">
        <f t="shared" ref="DF9" si="248">IF(DF8=1,1,DE9+1)</f>
        <v>4</v>
      </c>
      <c r="DG9" s="62">
        <f t="shared" ref="DG9" si="249">IF(DG8=1,1,DF9+1)</f>
        <v>1</v>
      </c>
      <c r="DH9" s="62">
        <f t="shared" ref="DH9" si="250">IF(DH8=1,1,DG9+1)</f>
        <v>2</v>
      </c>
      <c r="DI9" s="62">
        <f t="shared" ref="DI9" si="251">IF(DI8=1,1,DH9+1)</f>
        <v>3</v>
      </c>
      <c r="DJ9" s="62">
        <f t="shared" ref="DJ9" si="252">IF(DJ8=1,1,DI9+1)</f>
        <v>4</v>
      </c>
      <c r="DK9" s="62">
        <f t="shared" ref="DK9" si="253">IF(DK8=1,1,DJ9+1)</f>
        <v>1</v>
      </c>
      <c r="DL9" s="62">
        <f t="shared" ref="DL9" si="254">IF(DL8=1,1,DK9+1)</f>
        <v>2</v>
      </c>
      <c r="DM9" s="62">
        <f t="shared" ref="DM9" si="255">IF(DM8=1,1,DL9+1)</f>
        <v>3</v>
      </c>
      <c r="DN9" s="62">
        <f t="shared" ref="DN9" si="256">IF(DN8=1,1,DM9+1)</f>
        <v>4</v>
      </c>
      <c r="DO9" s="62">
        <f t="shared" ref="DO9" si="257">IF(DO8=1,1,DN9+1)</f>
        <v>1</v>
      </c>
      <c r="DP9" s="62">
        <f t="shared" ref="DP9" si="258">IF(DP8=1,1,DO9+1)</f>
        <v>2</v>
      </c>
      <c r="DQ9" s="62">
        <f t="shared" ref="DQ9" si="259">IF(DQ8=1,1,DP9+1)</f>
        <v>3</v>
      </c>
      <c r="DR9" s="62">
        <f t="shared" ref="DR9" si="260">IF(DR8=1,1,DQ9+1)</f>
        <v>4</v>
      </c>
      <c r="DS9" s="62">
        <f t="shared" ref="DS9" si="261">IF(DS8=1,1,DR9+1)</f>
        <v>1</v>
      </c>
      <c r="DT9" s="62">
        <f t="shared" ref="DT9" si="262">IF(DT8=1,1,DS9+1)</f>
        <v>2</v>
      </c>
      <c r="DU9" s="62">
        <f t="shared" ref="DU9" si="263">IF(DU8=1,1,DT9+1)</f>
        <v>3</v>
      </c>
      <c r="DV9" s="62">
        <f t="shared" ref="DV9" si="264">IF(DV8=1,1,DU9+1)</f>
        <v>4</v>
      </c>
      <c r="DW9" s="62">
        <f t="shared" ref="DW9" si="265">IF(DW8=1,1,DV9+1)</f>
        <v>1</v>
      </c>
      <c r="DX9" s="62">
        <f t="shared" ref="DX9" si="266">IF(DX8=1,1,DW9+1)</f>
        <v>2</v>
      </c>
      <c r="DY9" s="62">
        <f t="shared" ref="DY9" si="267">IF(DY8=1,1,DX9+1)</f>
        <v>3</v>
      </c>
      <c r="DZ9" s="62">
        <f t="shared" ref="DZ9" si="268">IF(DZ8=1,1,DY9+1)</f>
        <v>4</v>
      </c>
      <c r="EA9" s="62">
        <f t="shared" ref="EA9" si="269">IF(EA8=1,1,DZ9+1)</f>
        <v>1</v>
      </c>
      <c r="EB9" s="62">
        <f t="shared" ref="EB9" si="270">IF(EB8=1,1,EA9+1)</f>
        <v>2</v>
      </c>
      <c r="EC9" s="62">
        <f t="shared" ref="EC9" si="271">IF(EC8=1,1,EB9+1)</f>
        <v>3</v>
      </c>
      <c r="ED9" s="62">
        <f t="shared" ref="ED9" si="272">IF(ED8=1,1,EC9+1)</f>
        <v>4</v>
      </c>
      <c r="EE9" s="62">
        <f t="shared" ref="EE9" si="273">IF(EE8=1,1,ED9+1)</f>
        <v>1</v>
      </c>
      <c r="EF9" s="62">
        <f t="shared" ref="EF9" si="274">IF(EF8=1,1,EE9+1)</f>
        <v>2</v>
      </c>
      <c r="EG9" s="62">
        <f t="shared" ref="EG9" si="275">IF(EG8=1,1,EF9+1)</f>
        <v>3</v>
      </c>
      <c r="EH9" s="62">
        <f t="shared" ref="EH9" si="276">IF(EH8=1,1,EG9+1)</f>
        <v>4</v>
      </c>
      <c r="EI9" s="62">
        <f t="shared" ref="EI9" si="277">IF(EI8=1,1,EH9+1)</f>
        <v>1</v>
      </c>
      <c r="EJ9" s="62">
        <f t="shared" ref="EJ9" si="278">IF(EJ8=1,1,EI9+1)</f>
        <v>2</v>
      </c>
      <c r="EK9" s="62">
        <f t="shared" ref="EK9" si="279">IF(EK8=1,1,EJ9+1)</f>
        <v>3</v>
      </c>
      <c r="EL9" s="62">
        <f t="shared" ref="EL9" si="280">IF(EL8=1,1,EK9+1)</f>
        <v>4</v>
      </c>
      <c r="EM9" s="62">
        <f t="shared" ref="EM9" si="281">IF(EM8=1,1,EL9+1)</f>
        <v>1</v>
      </c>
      <c r="EN9" s="62">
        <f t="shared" ref="EN9" si="282">IF(EN8=1,1,EM9+1)</f>
        <v>2</v>
      </c>
      <c r="EO9" s="62">
        <f t="shared" ref="EO9" si="283">IF(EO8=1,1,EN9+1)</f>
        <v>3</v>
      </c>
      <c r="EP9" s="62">
        <f t="shared" ref="EP9" si="284">IF(EP8=1,1,EO9+1)</f>
        <v>4</v>
      </c>
      <c r="EQ9" s="62">
        <f t="shared" ref="EQ9" si="285">IF(EQ8=1,1,EP9+1)</f>
        <v>1</v>
      </c>
      <c r="ER9" s="62">
        <f t="shared" ref="ER9" si="286">IF(ER8=1,1,EQ9+1)</f>
        <v>2</v>
      </c>
      <c r="ES9" s="62">
        <f t="shared" ref="ES9" si="287">IF(ES8=1,1,ER9+1)</f>
        <v>3</v>
      </c>
      <c r="ET9" s="62">
        <f t="shared" ref="ET9" si="288">IF(ET8=1,1,ES9+1)</f>
        <v>4</v>
      </c>
      <c r="EU9" s="62">
        <f t="shared" ref="EU9" si="289">IF(EU8=1,1,ET9+1)</f>
        <v>1</v>
      </c>
      <c r="EV9" s="62">
        <f t="shared" ref="EV9" si="290">IF(EV8=1,1,EU9+1)</f>
        <v>2</v>
      </c>
      <c r="EW9" s="62">
        <f t="shared" ref="EW9" si="291">IF(EW8=1,1,EV9+1)</f>
        <v>3</v>
      </c>
      <c r="EX9" s="62">
        <f t="shared" ref="EX9" si="292">IF(EX8=1,1,EW9+1)</f>
        <v>4</v>
      </c>
      <c r="EY9" s="62">
        <f t="shared" ref="EY9" si="293">IF(EY8=1,1,EX9+1)</f>
        <v>1</v>
      </c>
      <c r="EZ9" s="62">
        <f t="shared" ref="EZ9" si="294">IF(EZ8=1,1,EY9+1)</f>
        <v>2</v>
      </c>
      <c r="FA9" s="62">
        <f t="shared" ref="FA9" si="295">IF(FA8=1,1,EZ9+1)</f>
        <v>3</v>
      </c>
    </row>
    <row r="10" spans="2:157" outlineLevel="1" x14ac:dyDescent="0.2">
      <c r="B10" s="1"/>
      <c r="C10" s="1"/>
      <c r="D10" s="1"/>
      <c r="E10" s="1"/>
      <c r="F10" s="1"/>
      <c r="G10" s="1"/>
      <c r="H10" s="1"/>
      <c r="I10" s="1"/>
      <c r="J10" s="1"/>
      <c r="K10" s="1"/>
      <c r="L10" s="1"/>
    </row>
    <row r="11" spans="2:157" s="34" customFormat="1" ht="15.5" customHeight="1" outlineLevel="1" x14ac:dyDescent="0.2">
      <c r="C11" s="12" t="s">
        <v>106</v>
      </c>
      <c r="D11" s="21" t="s">
        <v>16</v>
      </c>
      <c r="E11" s="5">
        <f>SUM(G11:EI11)</f>
        <v>11</v>
      </c>
      <c r="F11" s="21"/>
      <c r="G11" s="79">
        <f t="shared" ref="G11:AL11" si="296">IF(AND(G5&gt;Constr_Start_Date,G5&lt;=Constr_End_Date),1,0)</f>
        <v>0</v>
      </c>
      <c r="H11" s="79">
        <f t="shared" si="296"/>
        <v>0</v>
      </c>
      <c r="I11" s="79">
        <f t="shared" si="296"/>
        <v>1</v>
      </c>
      <c r="J11" s="79">
        <f t="shared" si="296"/>
        <v>1</v>
      </c>
      <c r="K11" s="79">
        <f t="shared" si="296"/>
        <v>1</v>
      </c>
      <c r="L11" s="79">
        <f t="shared" si="296"/>
        <v>1</v>
      </c>
      <c r="M11" s="79">
        <f t="shared" si="296"/>
        <v>1</v>
      </c>
      <c r="N11" s="79">
        <f t="shared" si="296"/>
        <v>1</v>
      </c>
      <c r="O11" s="79">
        <f t="shared" si="296"/>
        <v>1</v>
      </c>
      <c r="P11" s="79">
        <f t="shared" si="296"/>
        <v>1</v>
      </c>
      <c r="Q11" s="79">
        <f t="shared" si="296"/>
        <v>1</v>
      </c>
      <c r="R11" s="79">
        <f t="shared" si="296"/>
        <v>1</v>
      </c>
      <c r="S11" s="79">
        <f t="shared" si="296"/>
        <v>1</v>
      </c>
      <c r="T11" s="79">
        <f t="shared" si="296"/>
        <v>0</v>
      </c>
      <c r="U11" s="79">
        <f t="shared" si="296"/>
        <v>0</v>
      </c>
      <c r="V11" s="79">
        <f t="shared" si="296"/>
        <v>0</v>
      </c>
      <c r="W11" s="79">
        <f t="shared" si="296"/>
        <v>0</v>
      </c>
      <c r="X11" s="79">
        <f t="shared" si="296"/>
        <v>0</v>
      </c>
      <c r="Y11" s="79">
        <f t="shared" si="296"/>
        <v>0</v>
      </c>
      <c r="Z11" s="79">
        <f t="shared" si="296"/>
        <v>0</v>
      </c>
      <c r="AA11" s="79">
        <f t="shared" si="296"/>
        <v>0</v>
      </c>
      <c r="AB11" s="79">
        <f t="shared" si="296"/>
        <v>0</v>
      </c>
      <c r="AC11" s="79">
        <f t="shared" si="296"/>
        <v>0</v>
      </c>
      <c r="AD11" s="79">
        <f t="shared" si="296"/>
        <v>0</v>
      </c>
      <c r="AE11" s="79">
        <f t="shared" si="296"/>
        <v>0</v>
      </c>
      <c r="AF11" s="79">
        <f t="shared" si="296"/>
        <v>0</v>
      </c>
      <c r="AG11" s="79">
        <f t="shared" si="296"/>
        <v>0</v>
      </c>
      <c r="AH11" s="79">
        <f t="shared" si="296"/>
        <v>0</v>
      </c>
      <c r="AI11" s="79">
        <f t="shared" si="296"/>
        <v>0</v>
      </c>
      <c r="AJ11" s="79">
        <f t="shared" si="296"/>
        <v>0</v>
      </c>
      <c r="AK11" s="79">
        <f t="shared" si="296"/>
        <v>0</v>
      </c>
      <c r="AL11" s="79">
        <f t="shared" si="296"/>
        <v>0</v>
      </c>
      <c r="AM11" s="79">
        <f t="shared" ref="AM11:BR11" si="297">IF(AND(AM5&gt;Constr_Start_Date,AM5&lt;=Constr_End_Date),1,0)</f>
        <v>0</v>
      </c>
      <c r="AN11" s="79">
        <f t="shared" si="297"/>
        <v>0</v>
      </c>
      <c r="AO11" s="79">
        <f t="shared" si="297"/>
        <v>0</v>
      </c>
      <c r="AP11" s="79">
        <f t="shared" si="297"/>
        <v>0</v>
      </c>
      <c r="AQ11" s="79">
        <f t="shared" si="297"/>
        <v>0</v>
      </c>
      <c r="AR11" s="79">
        <f t="shared" si="297"/>
        <v>0</v>
      </c>
      <c r="AS11" s="79">
        <f t="shared" si="297"/>
        <v>0</v>
      </c>
      <c r="AT11" s="79">
        <f t="shared" si="297"/>
        <v>0</v>
      </c>
      <c r="AU11" s="79">
        <f t="shared" si="297"/>
        <v>0</v>
      </c>
      <c r="AV11" s="79">
        <f t="shared" si="297"/>
        <v>0</v>
      </c>
      <c r="AW11" s="79">
        <f t="shared" si="297"/>
        <v>0</v>
      </c>
      <c r="AX11" s="79">
        <f t="shared" si="297"/>
        <v>0</v>
      </c>
      <c r="AY11" s="79">
        <f t="shared" si="297"/>
        <v>0</v>
      </c>
      <c r="AZ11" s="79">
        <f t="shared" si="297"/>
        <v>0</v>
      </c>
      <c r="BA11" s="79">
        <f t="shared" si="297"/>
        <v>0</v>
      </c>
      <c r="BB11" s="79">
        <f t="shared" si="297"/>
        <v>0</v>
      </c>
      <c r="BC11" s="79">
        <f t="shared" si="297"/>
        <v>0</v>
      </c>
      <c r="BD11" s="79">
        <f t="shared" si="297"/>
        <v>0</v>
      </c>
      <c r="BE11" s="79">
        <f t="shared" si="297"/>
        <v>0</v>
      </c>
      <c r="BF11" s="79">
        <f t="shared" si="297"/>
        <v>0</v>
      </c>
      <c r="BG11" s="79">
        <f t="shared" si="297"/>
        <v>0</v>
      </c>
      <c r="BH11" s="79">
        <f t="shared" si="297"/>
        <v>0</v>
      </c>
      <c r="BI11" s="79">
        <f t="shared" si="297"/>
        <v>0</v>
      </c>
      <c r="BJ11" s="79">
        <f t="shared" si="297"/>
        <v>0</v>
      </c>
      <c r="BK11" s="79">
        <f t="shared" si="297"/>
        <v>0</v>
      </c>
      <c r="BL11" s="79">
        <f t="shared" si="297"/>
        <v>0</v>
      </c>
      <c r="BM11" s="79">
        <f t="shared" si="297"/>
        <v>0</v>
      </c>
      <c r="BN11" s="79">
        <f t="shared" si="297"/>
        <v>0</v>
      </c>
      <c r="BO11" s="79">
        <f t="shared" si="297"/>
        <v>0</v>
      </c>
      <c r="BP11" s="79">
        <f t="shared" si="297"/>
        <v>0</v>
      </c>
      <c r="BQ11" s="79">
        <f t="shared" si="297"/>
        <v>0</v>
      </c>
      <c r="BR11" s="79">
        <f t="shared" si="297"/>
        <v>0</v>
      </c>
      <c r="BS11" s="79">
        <f t="shared" ref="BS11:CX11" si="298">IF(AND(BS5&gt;Constr_Start_Date,BS5&lt;=Constr_End_Date),1,0)</f>
        <v>0</v>
      </c>
      <c r="BT11" s="79">
        <f t="shared" si="298"/>
        <v>0</v>
      </c>
      <c r="BU11" s="79">
        <f t="shared" si="298"/>
        <v>0</v>
      </c>
      <c r="BV11" s="79">
        <f t="shared" si="298"/>
        <v>0</v>
      </c>
      <c r="BW11" s="79">
        <f t="shared" si="298"/>
        <v>0</v>
      </c>
      <c r="BX11" s="79">
        <f t="shared" si="298"/>
        <v>0</v>
      </c>
      <c r="BY11" s="79">
        <f t="shared" si="298"/>
        <v>0</v>
      </c>
      <c r="BZ11" s="79">
        <f t="shared" si="298"/>
        <v>0</v>
      </c>
      <c r="CA11" s="79">
        <f t="shared" si="298"/>
        <v>0</v>
      </c>
      <c r="CB11" s="79">
        <f t="shared" si="298"/>
        <v>0</v>
      </c>
      <c r="CC11" s="79">
        <f t="shared" si="298"/>
        <v>0</v>
      </c>
      <c r="CD11" s="79">
        <f t="shared" si="298"/>
        <v>0</v>
      </c>
      <c r="CE11" s="79">
        <f t="shared" si="298"/>
        <v>0</v>
      </c>
      <c r="CF11" s="79">
        <f t="shared" si="298"/>
        <v>0</v>
      </c>
      <c r="CG11" s="79">
        <f t="shared" si="298"/>
        <v>0</v>
      </c>
      <c r="CH11" s="79">
        <f t="shared" si="298"/>
        <v>0</v>
      </c>
      <c r="CI11" s="79">
        <f t="shared" si="298"/>
        <v>0</v>
      </c>
      <c r="CJ11" s="79">
        <f t="shared" si="298"/>
        <v>0</v>
      </c>
      <c r="CK11" s="79">
        <f t="shared" si="298"/>
        <v>0</v>
      </c>
      <c r="CL11" s="79">
        <f t="shared" si="298"/>
        <v>0</v>
      </c>
      <c r="CM11" s="79">
        <f t="shared" si="298"/>
        <v>0</v>
      </c>
      <c r="CN11" s="79">
        <f t="shared" si="298"/>
        <v>0</v>
      </c>
      <c r="CO11" s="79">
        <f t="shared" si="298"/>
        <v>0</v>
      </c>
      <c r="CP11" s="79">
        <f t="shared" si="298"/>
        <v>0</v>
      </c>
      <c r="CQ11" s="79">
        <f t="shared" si="298"/>
        <v>0</v>
      </c>
      <c r="CR11" s="79">
        <f t="shared" si="298"/>
        <v>0</v>
      </c>
      <c r="CS11" s="79">
        <f t="shared" si="298"/>
        <v>0</v>
      </c>
      <c r="CT11" s="79">
        <f t="shared" si="298"/>
        <v>0</v>
      </c>
      <c r="CU11" s="241">
        <f t="shared" si="298"/>
        <v>0</v>
      </c>
      <c r="CV11" s="79">
        <f t="shared" si="298"/>
        <v>0</v>
      </c>
      <c r="CW11" s="79">
        <f t="shared" si="298"/>
        <v>0</v>
      </c>
      <c r="CX11" s="79">
        <f t="shared" si="298"/>
        <v>0</v>
      </c>
      <c r="CY11" s="79">
        <f t="shared" ref="CY11:EI11" si="299">IF(AND(CY5&gt;Constr_Start_Date,CY5&lt;=Constr_End_Date),1,0)</f>
        <v>0</v>
      </c>
      <c r="CZ11" s="79">
        <f t="shared" si="299"/>
        <v>0</v>
      </c>
      <c r="DA11" s="79">
        <f t="shared" si="299"/>
        <v>0</v>
      </c>
      <c r="DB11" s="79">
        <f t="shared" si="299"/>
        <v>0</v>
      </c>
      <c r="DC11" s="79">
        <f t="shared" si="299"/>
        <v>0</v>
      </c>
      <c r="DD11" s="79">
        <f t="shared" si="299"/>
        <v>0</v>
      </c>
      <c r="DE11" s="79">
        <f t="shared" si="299"/>
        <v>0</v>
      </c>
      <c r="DF11" s="79">
        <f t="shared" si="299"/>
        <v>0</v>
      </c>
      <c r="DG11" s="79">
        <f t="shared" si="299"/>
        <v>0</v>
      </c>
      <c r="DH11" s="79">
        <f t="shared" si="299"/>
        <v>0</v>
      </c>
      <c r="DI11" s="79">
        <f t="shared" si="299"/>
        <v>0</v>
      </c>
      <c r="DJ11" s="79">
        <f t="shared" si="299"/>
        <v>0</v>
      </c>
      <c r="DK11" s="79">
        <f t="shared" si="299"/>
        <v>0</v>
      </c>
      <c r="DL11" s="79">
        <f t="shared" si="299"/>
        <v>0</v>
      </c>
      <c r="DM11" s="79">
        <f t="shared" si="299"/>
        <v>0</v>
      </c>
      <c r="DN11" s="79">
        <f t="shared" si="299"/>
        <v>0</v>
      </c>
      <c r="DO11" s="79">
        <f t="shared" si="299"/>
        <v>0</v>
      </c>
      <c r="DP11" s="79">
        <f t="shared" si="299"/>
        <v>0</v>
      </c>
      <c r="DQ11" s="79">
        <f t="shared" si="299"/>
        <v>0</v>
      </c>
      <c r="DR11" s="79">
        <f t="shared" si="299"/>
        <v>0</v>
      </c>
      <c r="DS11" s="79">
        <f t="shared" si="299"/>
        <v>0</v>
      </c>
      <c r="DT11" s="79">
        <f t="shared" si="299"/>
        <v>0</v>
      </c>
      <c r="DU11" s="79">
        <f t="shared" si="299"/>
        <v>0</v>
      </c>
      <c r="DV11" s="79">
        <f t="shared" si="299"/>
        <v>0</v>
      </c>
      <c r="DW11" s="79">
        <f t="shared" si="299"/>
        <v>0</v>
      </c>
      <c r="DX11" s="79">
        <f t="shared" si="299"/>
        <v>0</v>
      </c>
      <c r="DY11" s="79">
        <f t="shared" si="299"/>
        <v>0</v>
      </c>
      <c r="DZ11" s="79">
        <f t="shared" si="299"/>
        <v>0</v>
      </c>
      <c r="EA11" s="79">
        <f t="shared" si="299"/>
        <v>0</v>
      </c>
      <c r="EB11" s="79">
        <f t="shared" si="299"/>
        <v>0</v>
      </c>
      <c r="EC11" s="79">
        <f t="shared" si="299"/>
        <v>0</v>
      </c>
      <c r="ED11" s="79">
        <f t="shared" si="299"/>
        <v>0</v>
      </c>
      <c r="EE11" s="79">
        <f t="shared" si="299"/>
        <v>0</v>
      </c>
      <c r="EF11" s="79">
        <f t="shared" si="299"/>
        <v>0</v>
      </c>
      <c r="EG11" s="79">
        <f t="shared" si="299"/>
        <v>0</v>
      </c>
      <c r="EH11" s="79">
        <f t="shared" si="299"/>
        <v>0</v>
      </c>
      <c r="EI11" s="79">
        <f t="shared" si="299"/>
        <v>0</v>
      </c>
      <c r="EJ11" s="79">
        <f t="shared" ref="EJ11:FA11" si="300">IF(AND(EJ5&gt;Constr_Start_Date,EJ5&lt;=Constr_End_Date),1,0)</f>
        <v>0</v>
      </c>
      <c r="EK11" s="79">
        <f t="shared" si="300"/>
        <v>0</v>
      </c>
      <c r="EL11" s="79">
        <f t="shared" si="300"/>
        <v>0</v>
      </c>
      <c r="EM11" s="79">
        <f t="shared" si="300"/>
        <v>0</v>
      </c>
      <c r="EN11" s="79">
        <f t="shared" si="300"/>
        <v>0</v>
      </c>
      <c r="EO11" s="79">
        <f t="shared" si="300"/>
        <v>0</v>
      </c>
      <c r="EP11" s="79">
        <f t="shared" si="300"/>
        <v>0</v>
      </c>
      <c r="EQ11" s="79">
        <f t="shared" si="300"/>
        <v>0</v>
      </c>
      <c r="ER11" s="79">
        <f t="shared" si="300"/>
        <v>0</v>
      </c>
      <c r="ES11" s="79">
        <f t="shared" si="300"/>
        <v>0</v>
      </c>
      <c r="ET11" s="79">
        <f t="shared" si="300"/>
        <v>0</v>
      </c>
      <c r="EU11" s="79">
        <f t="shared" si="300"/>
        <v>0</v>
      </c>
      <c r="EV11" s="79">
        <f t="shared" si="300"/>
        <v>0</v>
      </c>
      <c r="EW11" s="79">
        <f t="shared" si="300"/>
        <v>0</v>
      </c>
      <c r="EX11" s="79">
        <f t="shared" si="300"/>
        <v>0</v>
      </c>
      <c r="EY11" s="79">
        <f t="shared" si="300"/>
        <v>0</v>
      </c>
      <c r="EZ11" s="79">
        <f t="shared" si="300"/>
        <v>0</v>
      </c>
      <c r="FA11" s="79">
        <f t="shared" si="300"/>
        <v>0</v>
      </c>
    </row>
    <row r="12" spans="2:157" s="34" customFormat="1" ht="15.5" customHeight="1" outlineLevel="1" x14ac:dyDescent="0.2">
      <c r="C12" s="12" t="s">
        <v>107</v>
      </c>
      <c r="D12" s="21" t="s">
        <v>16</v>
      </c>
      <c r="E12" s="5">
        <f>SUM(G12:EI12)</f>
        <v>1</v>
      </c>
      <c r="F12" s="21"/>
      <c r="G12" s="79">
        <f t="shared" ref="G12:AL12" si="301">IF(AND(G5&gt;Constr_End_Date,G5=Debt_Refinance_Date),1,0)</f>
        <v>0</v>
      </c>
      <c r="H12" s="79">
        <f t="shared" si="301"/>
        <v>0</v>
      </c>
      <c r="I12" s="79">
        <f t="shared" si="301"/>
        <v>0</v>
      </c>
      <c r="J12" s="79">
        <f t="shared" si="301"/>
        <v>0</v>
      </c>
      <c r="K12" s="79">
        <f t="shared" si="301"/>
        <v>0</v>
      </c>
      <c r="L12" s="79">
        <f t="shared" si="301"/>
        <v>0</v>
      </c>
      <c r="M12" s="79">
        <f t="shared" si="301"/>
        <v>0</v>
      </c>
      <c r="N12" s="79">
        <f t="shared" si="301"/>
        <v>0</v>
      </c>
      <c r="O12" s="79">
        <f t="shared" si="301"/>
        <v>0</v>
      </c>
      <c r="P12" s="79">
        <f t="shared" si="301"/>
        <v>0</v>
      </c>
      <c r="Q12" s="79">
        <f t="shared" si="301"/>
        <v>0</v>
      </c>
      <c r="R12" s="79">
        <f t="shared" si="301"/>
        <v>0</v>
      </c>
      <c r="S12" s="79">
        <f t="shared" si="301"/>
        <v>0</v>
      </c>
      <c r="T12" s="79">
        <f t="shared" si="301"/>
        <v>0</v>
      </c>
      <c r="U12" s="79">
        <f t="shared" si="301"/>
        <v>0</v>
      </c>
      <c r="V12" s="79">
        <f t="shared" si="301"/>
        <v>0</v>
      </c>
      <c r="W12" s="79">
        <f t="shared" si="301"/>
        <v>1</v>
      </c>
      <c r="X12" s="79">
        <f t="shared" si="301"/>
        <v>0</v>
      </c>
      <c r="Y12" s="79">
        <f t="shared" si="301"/>
        <v>0</v>
      </c>
      <c r="Z12" s="79">
        <f t="shared" si="301"/>
        <v>0</v>
      </c>
      <c r="AA12" s="79">
        <f t="shared" si="301"/>
        <v>0</v>
      </c>
      <c r="AB12" s="79">
        <f t="shared" si="301"/>
        <v>0</v>
      </c>
      <c r="AC12" s="79">
        <f t="shared" si="301"/>
        <v>0</v>
      </c>
      <c r="AD12" s="79">
        <f t="shared" si="301"/>
        <v>0</v>
      </c>
      <c r="AE12" s="79">
        <f t="shared" si="301"/>
        <v>0</v>
      </c>
      <c r="AF12" s="79">
        <f t="shared" si="301"/>
        <v>0</v>
      </c>
      <c r="AG12" s="79">
        <f t="shared" si="301"/>
        <v>0</v>
      </c>
      <c r="AH12" s="79">
        <f t="shared" si="301"/>
        <v>0</v>
      </c>
      <c r="AI12" s="79">
        <f t="shared" si="301"/>
        <v>0</v>
      </c>
      <c r="AJ12" s="79">
        <f t="shared" si="301"/>
        <v>0</v>
      </c>
      <c r="AK12" s="79">
        <f t="shared" si="301"/>
        <v>0</v>
      </c>
      <c r="AL12" s="79">
        <f t="shared" si="301"/>
        <v>0</v>
      </c>
      <c r="AM12" s="79">
        <f t="shared" ref="AM12:BR12" si="302">IF(AND(AM5&gt;Constr_End_Date,AM5=Debt_Refinance_Date),1,0)</f>
        <v>0</v>
      </c>
      <c r="AN12" s="79">
        <f t="shared" si="302"/>
        <v>0</v>
      </c>
      <c r="AO12" s="79">
        <f t="shared" si="302"/>
        <v>0</v>
      </c>
      <c r="AP12" s="79">
        <f t="shared" si="302"/>
        <v>0</v>
      </c>
      <c r="AQ12" s="79">
        <f t="shared" si="302"/>
        <v>0</v>
      </c>
      <c r="AR12" s="79">
        <f t="shared" si="302"/>
        <v>0</v>
      </c>
      <c r="AS12" s="79">
        <f t="shared" si="302"/>
        <v>0</v>
      </c>
      <c r="AT12" s="79">
        <f t="shared" si="302"/>
        <v>0</v>
      </c>
      <c r="AU12" s="79">
        <f t="shared" si="302"/>
        <v>0</v>
      </c>
      <c r="AV12" s="79">
        <f t="shared" si="302"/>
        <v>0</v>
      </c>
      <c r="AW12" s="79">
        <f t="shared" si="302"/>
        <v>0</v>
      </c>
      <c r="AX12" s="79">
        <f t="shared" si="302"/>
        <v>0</v>
      </c>
      <c r="AY12" s="79">
        <f t="shared" si="302"/>
        <v>0</v>
      </c>
      <c r="AZ12" s="79">
        <f t="shared" si="302"/>
        <v>0</v>
      </c>
      <c r="BA12" s="79">
        <f t="shared" si="302"/>
        <v>0</v>
      </c>
      <c r="BB12" s="79">
        <f t="shared" si="302"/>
        <v>0</v>
      </c>
      <c r="BC12" s="79">
        <f t="shared" si="302"/>
        <v>0</v>
      </c>
      <c r="BD12" s="79">
        <f t="shared" si="302"/>
        <v>0</v>
      </c>
      <c r="BE12" s="79">
        <f t="shared" si="302"/>
        <v>0</v>
      </c>
      <c r="BF12" s="79">
        <f t="shared" si="302"/>
        <v>0</v>
      </c>
      <c r="BG12" s="79">
        <f t="shared" si="302"/>
        <v>0</v>
      </c>
      <c r="BH12" s="79">
        <f t="shared" si="302"/>
        <v>0</v>
      </c>
      <c r="BI12" s="79">
        <f t="shared" si="302"/>
        <v>0</v>
      </c>
      <c r="BJ12" s="79">
        <f t="shared" si="302"/>
        <v>0</v>
      </c>
      <c r="BK12" s="79">
        <f t="shared" si="302"/>
        <v>0</v>
      </c>
      <c r="BL12" s="79">
        <f t="shared" si="302"/>
        <v>0</v>
      </c>
      <c r="BM12" s="79">
        <f t="shared" si="302"/>
        <v>0</v>
      </c>
      <c r="BN12" s="79">
        <f t="shared" si="302"/>
        <v>0</v>
      </c>
      <c r="BO12" s="79">
        <f t="shared" si="302"/>
        <v>0</v>
      </c>
      <c r="BP12" s="79">
        <f t="shared" si="302"/>
        <v>0</v>
      </c>
      <c r="BQ12" s="79">
        <f t="shared" si="302"/>
        <v>0</v>
      </c>
      <c r="BR12" s="79">
        <f t="shared" si="302"/>
        <v>0</v>
      </c>
      <c r="BS12" s="79">
        <f t="shared" ref="BS12:CX12" si="303">IF(AND(BS5&gt;Constr_End_Date,BS5=Debt_Refinance_Date),1,0)</f>
        <v>0</v>
      </c>
      <c r="BT12" s="79">
        <f t="shared" si="303"/>
        <v>0</v>
      </c>
      <c r="BU12" s="79">
        <f t="shared" si="303"/>
        <v>0</v>
      </c>
      <c r="BV12" s="79">
        <f t="shared" si="303"/>
        <v>0</v>
      </c>
      <c r="BW12" s="79">
        <f t="shared" si="303"/>
        <v>0</v>
      </c>
      <c r="BX12" s="79">
        <f t="shared" si="303"/>
        <v>0</v>
      </c>
      <c r="BY12" s="79">
        <f t="shared" si="303"/>
        <v>0</v>
      </c>
      <c r="BZ12" s="79">
        <f t="shared" si="303"/>
        <v>0</v>
      </c>
      <c r="CA12" s="79">
        <f t="shared" si="303"/>
        <v>0</v>
      </c>
      <c r="CB12" s="79">
        <f t="shared" si="303"/>
        <v>0</v>
      </c>
      <c r="CC12" s="79">
        <f t="shared" si="303"/>
        <v>0</v>
      </c>
      <c r="CD12" s="79">
        <f t="shared" si="303"/>
        <v>0</v>
      </c>
      <c r="CE12" s="79">
        <f t="shared" si="303"/>
        <v>0</v>
      </c>
      <c r="CF12" s="79">
        <f t="shared" si="303"/>
        <v>0</v>
      </c>
      <c r="CG12" s="79">
        <f t="shared" si="303"/>
        <v>0</v>
      </c>
      <c r="CH12" s="79">
        <f t="shared" si="303"/>
        <v>0</v>
      </c>
      <c r="CI12" s="79">
        <f t="shared" si="303"/>
        <v>0</v>
      </c>
      <c r="CJ12" s="79">
        <f t="shared" si="303"/>
        <v>0</v>
      </c>
      <c r="CK12" s="79">
        <f t="shared" si="303"/>
        <v>0</v>
      </c>
      <c r="CL12" s="79">
        <f t="shared" si="303"/>
        <v>0</v>
      </c>
      <c r="CM12" s="79">
        <f t="shared" si="303"/>
        <v>0</v>
      </c>
      <c r="CN12" s="79">
        <f t="shared" si="303"/>
        <v>0</v>
      </c>
      <c r="CO12" s="79">
        <f t="shared" si="303"/>
        <v>0</v>
      </c>
      <c r="CP12" s="79">
        <f t="shared" si="303"/>
        <v>0</v>
      </c>
      <c r="CQ12" s="79">
        <f t="shared" si="303"/>
        <v>0</v>
      </c>
      <c r="CR12" s="79">
        <f t="shared" si="303"/>
        <v>0</v>
      </c>
      <c r="CS12" s="79">
        <f t="shared" si="303"/>
        <v>0</v>
      </c>
      <c r="CT12" s="79">
        <f t="shared" si="303"/>
        <v>0</v>
      </c>
      <c r="CU12" s="241">
        <f t="shared" si="303"/>
        <v>0</v>
      </c>
      <c r="CV12" s="79">
        <f t="shared" si="303"/>
        <v>0</v>
      </c>
      <c r="CW12" s="79">
        <f t="shared" si="303"/>
        <v>0</v>
      </c>
      <c r="CX12" s="79">
        <f t="shared" si="303"/>
        <v>0</v>
      </c>
      <c r="CY12" s="79">
        <f t="shared" ref="CY12:EI12" si="304">IF(AND(CY5&gt;Constr_End_Date,CY5=Debt_Refinance_Date),1,0)</f>
        <v>0</v>
      </c>
      <c r="CZ12" s="79">
        <f t="shared" si="304"/>
        <v>0</v>
      </c>
      <c r="DA12" s="79">
        <f t="shared" si="304"/>
        <v>0</v>
      </c>
      <c r="DB12" s="79">
        <f t="shared" si="304"/>
        <v>0</v>
      </c>
      <c r="DC12" s="79">
        <f t="shared" si="304"/>
        <v>0</v>
      </c>
      <c r="DD12" s="79">
        <f t="shared" si="304"/>
        <v>0</v>
      </c>
      <c r="DE12" s="79">
        <f t="shared" si="304"/>
        <v>0</v>
      </c>
      <c r="DF12" s="79">
        <f t="shared" si="304"/>
        <v>0</v>
      </c>
      <c r="DG12" s="79">
        <f t="shared" si="304"/>
        <v>0</v>
      </c>
      <c r="DH12" s="79">
        <f t="shared" si="304"/>
        <v>0</v>
      </c>
      <c r="DI12" s="79">
        <f t="shared" si="304"/>
        <v>0</v>
      </c>
      <c r="DJ12" s="79">
        <f t="shared" si="304"/>
        <v>0</v>
      </c>
      <c r="DK12" s="79">
        <f t="shared" si="304"/>
        <v>0</v>
      </c>
      <c r="DL12" s="79">
        <f t="shared" si="304"/>
        <v>0</v>
      </c>
      <c r="DM12" s="79">
        <f t="shared" si="304"/>
        <v>0</v>
      </c>
      <c r="DN12" s="79">
        <f t="shared" si="304"/>
        <v>0</v>
      </c>
      <c r="DO12" s="79">
        <f t="shared" si="304"/>
        <v>0</v>
      </c>
      <c r="DP12" s="79">
        <f t="shared" si="304"/>
        <v>0</v>
      </c>
      <c r="DQ12" s="79">
        <f t="shared" si="304"/>
        <v>0</v>
      </c>
      <c r="DR12" s="79">
        <f t="shared" si="304"/>
        <v>0</v>
      </c>
      <c r="DS12" s="79">
        <f t="shared" si="304"/>
        <v>0</v>
      </c>
      <c r="DT12" s="79">
        <f t="shared" si="304"/>
        <v>0</v>
      </c>
      <c r="DU12" s="79">
        <f t="shared" si="304"/>
        <v>0</v>
      </c>
      <c r="DV12" s="79">
        <f t="shared" si="304"/>
        <v>0</v>
      </c>
      <c r="DW12" s="79">
        <f t="shared" si="304"/>
        <v>0</v>
      </c>
      <c r="DX12" s="79">
        <f t="shared" si="304"/>
        <v>0</v>
      </c>
      <c r="DY12" s="79">
        <f t="shared" si="304"/>
        <v>0</v>
      </c>
      <c r="DZ12" s="79">
        <f t="shared" si="304"/>
        <v>0</v>
      </c>
      <c r="EA12" s="79">
        <f t="shared" si="304"/>
        <v>0</v>
      </c>
      <c r="EB12" s="79">
        <f t="shared" si="304"/>
        <v>0</v>
      </c>
      <c r="EC12" s="79">
        <f t="shared" si="304"/>
        <v>0</v>
      </c>
      <c r="ED12" s="79">
        <f t="shared" si="304"/>
        <v>0</v>
      </c>
      <c r="EE12" s="79">
        <f t="shared" si="304"/>
        <v>0</v>
      </c>
      <c r="EF12" s="79">
        <f t="shared" si="304"/>
        <v>0</v>
      </c>
      <c r="EG12" s="79">
        <f t="shared" si="304"/>
        <v>0</v>
      </c>
      <c r="EH12" s="79">
        <f t="shared" si="304"/>
        <v>0</v>
      </c>
      <c r="EI12" s="79">
        <f t="shared" si="304"/>
        <v>0</v>
      </c>
      <c r="EJ12" s="79">
        <f t="shared" ref="EJ12:FA12" si="305">IF(AND(EJ5&gt;Constr_End_Date,EJ5=Debt_Refinance_Date),1,0)</f>
        <v>0</v>
      </c>
      <c r="EK12" s="79">
        <f t="shared" si="305"/>
        <v>0</v>
      </c>
      <c r="EL12" s="79">
        <f t="shared" si="305"/>
        <v>0</v>
      </c>
      <c r="EM12" s="79">
        <f t="shared" si="305"/>
        <v>0</v>
      </c>
      <c r="EN12" s="79">
        <f t="shared" si="305"/>
        <v>0</v>
      </c>
      <c r="EO12" s="79">
        <f t="shared" si="305"/>
        <v>0</v>
      </c>
      <c r="EP12" s="79">
        <f t="shared" si="305"/>
        <v>0</v>
      </c>
      <c r="EQ12" s="79">
        <f t="shared" si="305"/>
        <v>0</v>
      </c>
      <c r="ER12" s="79">
        <f t="shared" si="305"/>
        <v>0</v>
      </c>
      <c r="ES12" s="79">
        <f t="shared" si="305"/>
        <v>0</v>
      </c>
      <c r="ET12" s="79">
        <f t="shared" si="305"/>
        <v>0</v>
      </c>
      <c r="EU12" s="79">
        <f t="shared" si="305"/>
        <v>0</v>
      </c>
      <c r="EV12" s="79">
        <f t="shared" si="305"/>
        <v>0</v>
      </c>
      <c r="EW12" s="79">
        <f t="shared" si="305"/>
        <v>0</v>
      </c>
      <c r="EX12" s="79">
        <f t="shared" si="305"/>
        <v>0</v>
      </c>
      <c r="EY12" s="79">
        <f t="shared" si="305"/>
        <v>0</v>
      </c>
      <c r="EZ12" s="79">
        <f t="shared" si="305"/>
        <v>0</v>
      </c>
      <c r="FA12" s="79">
        <f t="shared" si="305"/>
        <v>0</v>
      </c>
    </row>
    <row r="13" spans="2:157" s="34" customFormat="1" ht="15.5" customHeight="1" outlineLevel="1" x14ac:dyDescent="0.2">
      <c r="C13" s="12" t="s">
        <v>132</v>
      </c>
      <c r="D13" s="21" t="s">
        <v>16</v>
      </c>
      <c r="E13" s="79">
        <f>MAX(G13:EI13)</f>
        <v>17</v>
      </c>
      <c r="F13" s="95">
        <v>0</v>
      </c>
      <c r="G13" s="79">
        <f>IF(G12=0,(F13+1)*(1-SUM($G12:G12)),F13+1)</f>
        <v>1</v>
      </c>
      <c r="H13" s="79">
        <f>IF(H12=0,(G13+1)*(1-SUM($G12:H12)),G13+1)</f>
        <v>2</v>
      </c>
      <c r="I13" s="79">
        <f>IF(I12=0,(H13+1)*(1-SUM($G12:I12)),H13+1)</f>
        <v>3</v>
      </c>
      <c r="J13" s="79">
        <f>IF(J12=0,(I13+1)*(1-SUM($G12:J12)),I13+1)</f>
        <v>4</v>
      </c>
      <c r="K13" s="79">
        <f>IF(K12=0,(J13+1)*(1-SUM($G12:K12)),J13+1)</f>
        <v>5</v>
      </c>
      <c r="L13" s="79">
        <f>IF(L12=0,(K13+1)*(1-SUM($G12:L12)),K13+1)</f>
        <v>6</v>
      </c>
      <c r="M13" s="79">
        <f>IF(M12=0,(L13+1)*(1-SUM($G12:M12)),L13+1)</f>
        <v>7</v>
      </c>
      <c r="N13" s="79">
        <f>IF(N12=0,(M13+1)*(1-SUM($G12:N12)),M13+1)</f>
        <v>8</v>
      </c>
      <c r="O13" s="79">
        <f>IF(O12=0,(N13+1)*(1-SUM($G12:O12)),N13+1)</f>
        <v>9</v>
      </c>
      <c r="P13" s="79">
        <f>IF(P12=0,(O13+1)*(1-SUM($G12:P12)),O13+1)</f>
        <v>10</v>
      </c>
      <c r="Q13" s="79">
        <f>IF(Q12=0,(P13+1)*(1-SUM($G12:Q12)),P13+1)</f>
        <v>11</v>
      </c>
      <c r="R13" s="79">
        <f>IF(R12=0,(Q13+1)*(1-SUM($G12:R12)),Q13+1)</f>
        <v>12</v>
      </c>
      <c r="S13" s="79">
        <f>IF(S12=0,(R13+1)*(1-SUM($G12:S12)),R13+1)</f>
        <v>13</v>
      </c>
      <c r="T13" s="79">
        <f>IF(T12=0,(S13+1)*(1-SUM($G12:T12)),S13+1)</f>
        <v>14</v>
      </c>
      <c r="U13" s="79">
        <f>IF(U12=0,(T13+1)*(1-SUM($G12:U12)),T13+1)</f>
        <v>15</v>
      </c>
      <c r="V13" s="79">
        <f>IF(V12=0,(U13+1)*(1-SUM($G12:V12)),U13+1)</f>
        <v>16</v>
      </c>
      <c r="W13" s="79">
        <f>IF(W12=0,(V13+1)*(1-SUM($G12:W12)),V13+1)</f>
        <v>17</v>
      </c>
      <c r="X13" s="79">
        <f>IF(X12=0,(W13+1)*(1-SUM($G12:X12)),W13+1)</f>
        <v>0</v>
      </c>
      <c r="Y13" s="79">
        <f>IF(Y12=0,(X13+1)*(1-SUM($G12:Y12)),X13+1)</f>
        <v>0</v>
      </c>
      <c r="Z13" s="79">
        <f>IF(Z12=0,(Y13+1)*(1-SUM($G12:Z12)),Y13+1)</f>
        <v>0</v>
      </c>
      <c r="AA13" s="79">
        <f>IF(AA12=0,(Z13+1)*(1-SUM($G12:AA12)),Z13+1)</f>
        <v>0</v>
      </c>
      <c r="AB13" s="79">
        <f>IF(AB12=0,(AA13+1)*(1-SUM($G12:AB12)),AA13+1)</f>
        <v>0</v>
      </c>
      <c r="AC13" s="79">
        <f>IF(AC12=0,(AB13+1)*(1-SUM($G12:AC12)),AB13+1)</f>
        <v>0</v>
      </c>
      <c r="AD13" s="79">
        <f>IF(AD12=0,(AC13+1)*(1-SUM($G12:AD12)),AC13+1)</f>
        <v>0</v>
      </c>
      <c r="AE13" s="79">
        <f>IF(AE12=0,(AD13+1)*(1-SUM($G12:AE12)),AD13+1)</f>
        <v>0</v>
      </c>
      <c r="AF13" s="79">
        <f>IF(AF12=0,(AE13+1)*(1-SUM($G12:AF12)),AE13+1)</f>
        <v>0</v>
      </c>
      <c r="AG13" s="79">
        <f>IF(AG12=0,(AF13+1)*(1-SUM($G12:AG12)),AF13+1)</f>
        <v>0</v>
      </c>
      <c r="AH13" s="79">
        <f>IF(AH12=0,(AG13+1)*(1-SUM($G12:AH12)),AG13+1)</f>
        <v>0</v>
      </c>
      <c r="AI13" s="79">
        <f>IF(AI12=0,(AH13+1)*(1-SUM($G12:AI12)),AH13+1)</f>
        <v>0</v>
      </c>
      <c r="AJ13" s="79">
        <f>IF(AJ12=0,(AI13+1)*(1-SUM($G12:AJ12)),AI13+1)</f>
        <v>0</v>
      </c>
      <c r="AK13" s="79">
        <f>IF(AK12=0,(AJ13+1)*(1-SUM($G12:AK12)),AJ13+1)</f>
        <v>0</v>
      </c>
      <c r="AL13" s="79">
        <f>IF(AL12=0,(AK13+1)*(1-SUM($G12:AL12)),AK13+1)</f>
        <v>0</v>
      </c>
      <c r="AM13" s="79">
        <f>IF(AM12=0,(AL13+1)*(1-SUM($G12:AM12)),AL13+1)</f>
        <v>0</v>
      </c>
      <c r="AN13" s="79">
        <f>IF(AN12=0,(AM13+1)*(1-SUM($G12:AN12)),AM13+1)</f>
        <v>0</v>
      </c>
      <c r="AO13" s="79">
        <f>IF(AO12=0,(AN13+1)*(1-SUM($G12:AO12)),AN13+1)</f>
        <v>0</v>
      </c>
      <c r="AP13" s="79">
        <f>IF(AP12=0,(AO13+1)*(1-SUM($G12:AP12)),AO13+1)</f>
        <v>0</v>
      </c>
      <c r="AQ13" s="79">
        <f>IF(AQ12=0,(AP13+1)*(1-SUM($G12:AQ12)),AP13+1)</f>
        <v>0</v>
      </c>
      <c r="AR13" s="79">
        <f>IF(AR12=0,(AQ13+1)*(1-SUM($G12:AR12)),AQ13+1)</f>
        <v>0</v>
      </c>
      <c r="AS13" s="79">
        <f>IF(AS12=0,(AR13+1)*(1-SUM($G12:AS12)),AR13+1)</f>
        <v>0</v>
      </c>
      <c r="AT13" s="79">
        <f>IF(AT12=0,(AS13+1)*(1-SUM($G12:AT12)),AS13+1)</f>
        <v>0</v>
      </c>
      <c r="AU13" s="79">
        <f>IF(AU12=0,(AT13+1)*(1-SUM($G12:AU12)),AT13+1)</f>
        <v>0</v>
      </c>
      <c r="AV13" s="79">
        <f>IF(AV12=0,(AU13+1)*(1-SUM($G12:AV12)),AU13+1)</f>
        <v>0</v>
      </c>
      <c r="AW13" s="79">
        <f>IF(AW12=0,(AV13+1)*(1-SUM($G12:AW12)),AV13+1)</f>
        <v>0</v>
      </c>
      <c r="AX13" s="79">
        <f>IF(AX12=0,(AW13+1)*(1-SUM($G12:AX12)),AW13+1)</f>
        <v>0</v>
      </c>
      <c r="AY13" s="79">
        <f>IF(AY12=0,(AX13+1)*(1-SUM($G12:AY12)),AX13+1)</f>
        <v>0</v>
      </c>
      <c r="AZ13" s="79">
        <f>IF(AZ12=0,(AY13+1)*(1-SUM($G12:AZ12)),AY13+1)</f>
        <v>0</v>
      </c>
      <c r="BA13" s="79">
        <f>IF(BA12=0,(AZ13+1)*(1-SUM($G12:BA12)),AZ13+1)</f>
        <v>0</v>
      </c>
      <c r="BB13" s="79">
        <f>IF(BB12=0,(BA13+1)*(1-SUM($G12:BB12)),BA13+1)</f>
        <v>0</v>
      </c>
      <c r="BC13" s="79">
        <f>IF(BC12=0,(BB13+1)*(1-SUM($G12:BC12)),BB13+1)</f>
        <v>0</v>
      </c>
      <c r="BD13" s="79">
        <f>IF(BD12=0,(BC13+1)*(1-SUM($G12:BD12)),BC13+1)</f>
        <v>0</v>
      </c>
      <c r="BE13" s="79">
        <f>IF(BE12=0,(BD13+1)*(1-SUM($G12:BE12)),BD13+1)</f>
        <v>0</v>
      </c>
      <c r="BF13" s="79">
        <f>IF(BF12=0,(BE13+1)*(1-SUM($G12:BF12)),BE13+1)</f>
        <v>0</v>
      </c>
      <c r="BG13" s="79">
        <f>IF(BG12=0,(BF13+1)*(1-SUM($G12:BG12)),BF13+1)</f>
        <v>0</v>
      </c>
      <c r="BH13" s="79">
        <f>IF(BH12=0,(BG13+1)*(1-SUM($G12:BH12)),BG13+1)</f>
        <v>0</v>
      </c>
      <c r="BI13" s="79">
        <f>IF(BI12=0,(BH13+1)*(1-SUM($G12:BI12)),BH13+1)</f>
        <v>0</v>
      </c>
      <c r="BJ13" s="79">
        <f>IF(BJ12=0,(BI13+1)*(1-SUM($G12:BJ12)),BI13+1)</f>
        <v>0</v>
      </c>
      <c r="BK13" s="79">
        <f>IF(BK12=0,(BJ13+1)*(1-SUM($G12:BK12)),BJ13+1)</f>
        <v>0</v>
      </c>
      <c r="BL13" s="79">
        <f>IF(BL12=0,(BK13+1)*(1-SUM($G12:BL12)),BK13+1)</f>
        <v>0</v>
      </c>
      <c r="BM13" s="79">
        <f>IF(BM12=0,(BL13+1)*(1-SUM($G12:BM12)),BL13+1)</f>
        <v>0</v>
      </c>
      <c r="BN13" s="79">
        <f>IF(BN12=0,(BM13+1)*(1-SUM($G12:BN12)),BM13+1)</f>
        <v>0</v>
      </c>
      <c r="BO13" s="79">
        <f>IF(BO12=0,(BN13+1)*(1-SUM($G12:BO12)),BN13+1)</f>
        <v>0</v>
      </c>
      <c r="BP13" s="79">
        <f>IF(BP12=0,(BO13+1)*(1-SUM($G12:BP12)),BO13+1)</f>
        <v>0</v>
      </c>
      <c r="BQ13" s="79">
        <f>IF(BQ12=0,(BP13+1)*(1-SUM($G12:BQ12)),BP13+1)</f>
        <v>0</v>
      </c>
      <c r="BR13" s="79">
        <f>IF(BR12=0,(BQ13+1)*(1-SUM($G12:BR12)),BQ13+1)</f>
        <v>0</v>
      </c>
      <c r="BS13" s="79">
        <f>IF(BS12=0,(BR13+1)*(1-SUM($G12:BS12)),BR13+1)</f>
        <v>0</v>
      </c>
      <c r="BT13" s="79">
        <f>IF(BT12=0,(BS13+1)*(1-SUM($G12:BT12)),BS13+1)</f>
        <v>0</v>
      </c>
      <c r="BU13" s="79">
        <f>IF(BU12=0,(BT13+1)*(1-SUM($G12:BU12)),BT13+1)</f>
        <v>0</v>
      </c>
      <c r="BV13" s="79">
        <f>IF(BV12=0,(BU13+1)*(1-SUM($G12:BV12)),BU13+1)</f>
        <v>0</v>
      </c>
      <c r="BW13" s="79">
        <f>IF(BW12=0,(BV13+1)*(1-SUM($G12:BW12)),BV13+1)</f>
        <v>0</v>
      </c>
      <c r="BX13" s="79">
        <f>IF(BX12=0,(BW13+1)*(1-SUM($G12:BX12)),BW13+1)</f>
        <v>0</v>
      </c>
      <c r="BY13" s="79">
        <f>IF(BY12=0,(BX13+1)*(1-SUM($G12:BY12)),BX13+1)</f>
        <v>0</v>
      </c>
      <c r="BZ13" s="79">
        <f>IF(BZ12=0,(BY13+1)*(1-SUM($G12:BZ12)),BY13+1)</f>
        <v>0</v>
      </c>
      <c r="CA13" s="79">
        <f>IF(CA12=0,(BZ13+1)*(1-SUM($G12:CA12)),BZ13+1)</f>
        <v>0</v>
      </c>
      <c r="CB13" s="79">
        <f>IF(CB12=0,(CA13+1)*(1-SUM($G12:CB12)),CA13+1)</f>
        <v>0</v>
      </c>
      <c r="CC13" s="79">
        <f>IF(CC12=0,(CB13+1)*(1-SUM($G12:CC12)),CB13+1)</f>
        <v>0</v>
      </c>
      <c r="CD13" s="79">
        <f>IF(CD12=0,(CC13+1)*(1-SUM($G12:CD12)),CC13+1)</f>
        <v>0</v>
      </c>
      <c r="CE13" s="79">
        <f>IF(CE12=0,(CD13+1)*(1-SUM($G12:CE12)),CD13+1)</f>
        <v>0</v>
      </c>
      <c r="CF13" s="79">
        <f>IF(CF12=0,(CE13+1)*(1-SUM($G12:CF12)),CE13+1)</f>
        <v>0</v>
      </c>
      <c r="CG13" s="79">
        <f>IF(CG12=0,(CF13+1)*(1-SUM($G12:CG12)),CF13+1)</f>
        <v>0</v>
      </c>
      <c r="CH13" s="79">
        <f>IF(CH12=0,(CG13+1)*(1-SUM($G12:CH12)),CG13+1)</f>
        <v>0</v>
      </c>
      <c r="CI13" s="79">
        <f>IF(CI12=0,(CH13+1)*(1-SUM($G12:CI12)),CH13+1)</f>
        <v>0</v>
      </c>
      <c r="CJ13" s="79">
        <f>IF(CJ12=0,(CI13+1)*(1-SUM($G12:CJ12)),CI13+1)</f>
        <v>0</v>
      </c>
      <c r="CK13" s="79">
        <f>IF(CK12=0,(CJ13+1)*(1-SUM($G12:CK12)),CJ13+1)</f>
        <v>0</v>
      </c>
      <c r="CL13" s="79">
        <f>IF(CL12=0,(CK13+1)*(1-SUM($G12:CL12)),CK13+1)</f>
        <v>0</v>
      </c>
      <c r="CM13" s="79">
        <f>IF(CM12=0,(CL13+1)*(1-SUM($G12:CM12)),CL13+1)</f>
        <v>0</v>
      </c>
      <c r="CN13" s="79">
        <f>IF(CN12=0,(CM13+1)*(1-SUM($G12:CN12)),CM13+1)</f>
        <v>0</v>
      </c>
      <c r="CO13" s="79">
        <f>IF(CO12=0,(CN13+1)*(1-SUM($G12:CO12)),CN13+1)</f>
        <v>0</v>
      </c>
      <c r="CP13" s="79">
        <f>IF(CP12=0,(CO13+1)*(1-SUM($G12:CP12)),CO13+1)</f>
        <v>0</v>
      </c>
      <c r="CQ13" s="79">
        <f>IF(CQ12=0,(CP13+1)*(1-SUM($G12:CQ12)),CP13+1)</f>
        <v>0</v>
      </c>
      <c r="CR13" s="79">
        <f>IF(CR12=0,(CQ13+1)*(1-SUM($G12:CR12)),CQ13+1)</f>
        <v>0</v>
      </c>
      <c r="CS13" s="79">
        <f>IF(CS12=0,(CR13+1)*(1-SUM($G12:CS12)),CR13+1)</f>
        <v>0</v>
      </c>
      <c r="CT13" s="79">
        <f>IF(CT12=0,(CS13+1)*(1-SUM($G12:CT12)),CS13+1)</f>
        <v>0</v>
      </c>
      <c r="CU13" s="241">
        <f>IF(CU12=0,(CT13+1)*(1-SUM($G12:CU12)),CT13+1)</f>
        <v>0</v>
      </c>
      <c r="CV13" s="79">
        <f>IF(CV12=0,(CU13+1)*(1-SUM($G12:CV12)),CU13+1)</f>
        <v>0</v>
      </c>
      <c r="CW13" s="79">
        <f>IF(CW12=0,(CV13+1)*(1-SUM($G12:CW12)),CV13+1)</f>
        <v>0</v>
      </c>
      <c r="CX13" s="79">
        <f>IF(CX12=0,(CW13+1)*(1-SUM($G12:CX12)),CW13+1)</f>
        <v>0</v>
      </c>
      <c r="CY13" s="79">
        <f>IF(CY12=0,(CX13+1)*(1-SUM($G12:CY12)),CX13+1)</f>
        <v>0</v>
      </c>
      <c r="CZ13" s="79">
        <f>IF(CZ12=0,(CY13+1)*(1-SUM($G12:CZ12)),CY13+1)</f>
        <v>0</v>
      </c>
      <c r="DA13" s="79">
        <f>IF(DA12=0,(CZ13+1)*(1-SUM($G12:DA12)),CZ13+1)</f>
        <v>0</v>
      </c>
      <c r="DB13" s="79">
        <f>IF(DB12=0,(DA13+1)*(1-SUM($G12:DB12)),DA13+1)</f>
        <v>0</v>
      </c>
      <c r="DC13" s="79">
        <f>IF(DC12=0,(DB13+1)*(1-SUM($G12:DC12)),DB13+1)</f>
        <v>0</v>
      </c>
      <c r="DD13" s="79">
        <f>IF(DD12=0,(DC13+1)*(1-SUM($G12:DD12)),DC13+1)</f>
        <v>0</v>
      </c>
      <c r="DE13" s="79">
        <f>IF(DE12=0,(DD13+1)*(1-SUM($G12:DE12)),DD13+1)</f>
        <v>0</v>
      </c>
      <c r="DF13" s="79">
        <f>IF(DF12=0,(DE13+1)*(1-SUM($G12:DF12)),DE13+1)</f>
        <v>0</v>
      </c>
      <c r="DG13" s="79">
        <f>IF(DG12=0,(DF13+1)*(1-SUM($G12:DG12)),DF13+1)</f>
        <v>0</v>
      </c>
      <c r="DH13" s="79">
        <f>IF(DH12=0,(DG13+1)*(1-SUM($G12:DH12)),DG13+1)</f>
        <v>0</v>
      </c>
      <c r="DI13" s="79">
        <f>IF(DI12=0,(DH13+1)*(1-SUM($G12:DI12)),DH13+1)</f>
        <v>0</v>
      </c>
      <c r="DJ13" s="79">
        <f>IF(DJ12=0,(DI13+1)*(1-SUM($G12:DJ12)),DI13+1)</f>
        <v>0</v>
      </c>
      <c r="DK13" s="79">
        <f>IF(DK12=0,(DJ13+1)*(1-SUM($G12:DK12)),DJ13+1)</f>
        <v>0</v>
      </c>
      <c r="DL13" s="79">
        <f>IF(DL12=0,(DK13+1)*(1-SUM($G12:DL12)),DK13+1)</f>
        <v>0</v>
      </c>
      <c r="DM13" s="79">
        <f>IF(DM12=0,(DL13+1)*(1-SUM($G12:DM12)),DL13+1)</f>
        <v>0</v>
      </c>
      <c r="DN13" s="79">
        <f>IF(DN12=0,(DM13+1)*(1-SUM($G12:DN12)),DM13+1)</f>
        <v>0</v>
      </c>
      <c r="DO13" s="79">
        <f>IF(DO12=0,(DN13+1)*(1-SUM($G12:DO12)),DN13+1)</f>
        <v>0</v>
      </c>
      <c r="DP13" s="79">
        <f>IF(DP12=0,(DO13+1)*(1-SUM($G12:DP12)),DO13+1)</f>
        <v>0</v>
      </c>
      <c r="DQ13" s="79">
        <f>IF(DQ12=0,(DP13+1)*(1-SUM($G12:DQ12)),DP13+1)</f>
        <v>0</v>
      </c>
      <c r="DR13" s="79">
        <f>IF(DR12=0,(DQ13+1)*(1-SUM($G12:DR12)),DQ13+1)</f>
        <v>0</v>
      </c>
      <c r="DS13" s="79">
        <f>IF(DS12=0,(DR13+1)*(1-SUM($G12:DS12)),DR13+1)</f>
        <v>0</v>
      </c>
      <c r="DT13" s="79">
        <f>IF(DT12=0,(DS13+1)*(1-SUM($G12:DT12)),DS13+1)</f>
        <v>0</v>
      </c>
      <c r="DU13" s="79">
        <f>IF(DU12=0,(DT13+1)*(1-SUM($G12:DU12)),DT13+1)</f>
        <v>0</v>
      </c>
      <c r="DV13" s="79">
        <f>IF(DV12=0,(DU13+1)*(1-SUM($G12:DV12)),DU13+1)</f>
        <v>0</v>
      </c>
      <c r="DW13" s="79">
        <f>IF(DW12=0,(DV13+1)*(1-SUM($G12:DW12)),DV13+1)</f>
        <v>0</v>
      </c>
      <c r="DX13" s="79">
        <f>IF(DX12=0,(DW13+1)*(1-SUM($G12:DX12)),DW13+1)</f>
        <v>0</v>
      </c>
      <c r="DY13" s="79">
        <f>IF(DY12=0,(DX13+1)*(1-SUM($G12:DY12)),DX13+1)</f>
        <v>0</v>
      </c>
      <c r="DZ13" s="79">
        <f>IF(DZ12=0,(DY13+1)*(1-SUM($G12:DZ12)),DY13+1)</f>
        <v>0</v>
      </c>
      <c r="EA13" s="79">
        <f>IF(EA12=0,(DZ13+1)*(1-SUM($G12:EA12)),DZ13+1)</f>
        <v>0</v>
      </c>
      <c r="EB13" s="79">
        <f>IF(EB12=0,(EA13+1)*(1-SUM($G12:EB12)),EA13+1)</f>
        <v>0</v>
      </c>
      <c r="EC13" s="79">
        <f>IF(EC12=0,(EB13+1)*(1-SUM($G12:EC12)),EB13+1)</f>
        <v>0</v>
      </c>
      <c r="ED13" s="79">
        <f>IF(ED12=0,(EC13+1)*(1-SUM($G12:ED12)),EC13+1)</f>
        <v>0</v>
      </c>
      <c r="EE13" s="79">
        <f>IF(EE12=0,(ED13+1)*(1-SUM($G12:EE12)),ED13+1)</f>
        <v>0</v>
      </c>
      <c r="EF13" s="79">
        <f>IF(EF12=0,(EE13+1)*(1-SUM($G12:EF12)),EE13+1)</f>
        <v>0</v>
      </c>
      <c r="EG13" s="79">
        <f>IF(EG12=0,(EF13+1)*(1-SUM($G12:EG12)),EF13+1)</f>
        <v>0</v>
      </c>
      <c r="EH13" s="79">
        <f>IF(EH12=0,(EG13+1)*(1-SUM($G12:EH12)),EG13+1)</f>
        <v>0</v>
      </c>
      <c r="EI13" s="79">
        <f>IF(EI12=0,(EH13+1)*(1-SUM($G12:EI12)),EH13+1)</f>
        <v>0</v>
      </c>
      <c r="EJ13" s="79">
        <f>IF(EJ12=0,(EI13+1)*(1-SUM($G12:EJ12)),EI13+1)</f>
        <v>0</v>
      </c>
      <c r="EK13" s="79">
        <f>IF(EK12=0,(EJ13+1)*(1-SUM($G12:EK12)),EJ13+1)</f>
        <v>0</v>
      </c>
      <c r="EL13" s="79">
        <f>IF(EL12=0,(EK13+1)*(1-SUM($G12:EL12)),EK13+1)</f>
        <v>0</v>
      </c>
      <c r="EM13" s="79">
        <f>IF(EM12=0,(EL13+1)*(1-SUM($G12:EM12)),EL13+1)</f>
        <v>0</v>
      </c>
      <c r="EN13" s="79">
        <f>IF(EN12=0,(EM13+1)*(1-SUM($G12:EN12)),EM13+1)</f>
        <v>0</v>
      </c>
      <c r="EO13" s="79">
        <f>IF(EO12=0,(EN13+1)*(1-SUM($G12:EO12)),EN13+1)</f>
        <v>0</v>
      </c>
      <c r="EP13" s="79">
        <f>IF(EP12=0,(EO13+1)*(1-SUM($G12:EP12)),EO13+1)</f>
        <v>0</v>
      </c>
      <c r="EQ13" s="79">
        <f>IF(EQ12=0,(EP13+1)*(1-SUM($G12:EQ12)),EP13+1)</f>
        <v>0</v>
      </c>
      <c r="ER13" s="79">
        <f>IF(ER12=0,(EQ13+1)*(1-SUM($G12:ER12)),EQ13+1)</f>
        <v>0</v>
      </c>
      <c r="ES13" s="79">
        <f>IF(ES12=0,(ER13+1)*(1-SUM($G12:ES12)),ER13+1)</f>
        <v>0</v>
      </c>
      <c r="ET13" s="79">
        <f>IF(ET12=0,(ES13+1)*(1-SUM($G12:ET12)),ES13+1)</f>
        <v>0</v>
      </c>
      <c r="EU13" s="79">
        <f>IF(EU12=0,(ET13+1)*(1-SUM($G12:EU12)),ET13+1)</f>
        <v>0</v>
      </c>
      <c r="EV13" s="79">
        <f>IF(EV12=0,(EU13+1)*(1-SUM($G12:EV12)),EU13+1)</f>
        <v>0</v>
      </c>
      <c r="EW13" s="79">
        <f>IF(EW12=0,(EV13+1)*(1-SUM($G12:EW12)),EV13+1)</f>
        <v>0</v>
      </c>
      <c r="EX13" s="79">
        <f>IF(EX12=0,(EW13+1)*(1-SUM($G12:EX12)),EW13+1)</f>
        <v>0</v>
      </c>
      <c r="EY13" s="79">
        <f>IF(EY12=0,(EX13+1)*(1-SUM($G12:EY12)),EX13+1)</f>
        <v>0</v>
      </c>
      <c r="EZ13" s="79">
        <f>IF(EZ12=0,(EY13+1)*(1-SUM($G12:EZ12)),EY13+1)</f>
        <v>0</v>
      </c>
      <c r="FA13" s="79">
        <f>IF(FA12=0,(EZ13+1)*(1-SUM($G12:FA12)),EZ13+1)</f>
        <v>0</v>
      </c>
    </row>
    <row r="14" spans="2:157" s="34" customFormat="1" ht="15.5" customHeight="1" outlineLevel="1" x14ac:dyDescent="0.2">
      <c r="C14" s="12"/>
      <c r="D14" s="21"/>
      <c r="E14" s="79"/>
      <c r="F14" s="102"/>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241"/>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row>
    <row r="15" spans="2:157" s="34" customFormat="1" ht="15.5" customHeight="1" outlineLevel="1" x14ac:dyDescent="0.2">
      <c r="C15" s="12" t="s">
        <v>108</v>
      </c>
      <c r="D15" s="21" t="s">
        <v>16</v>
      </c>
      <c r="E15" s="5">
        <f>SUM(G15:EI15)</f>
        <v>127</v>
      </c>
      <c r="F15" s="21"/>
      <c r="G15" s="218">
        <f t="shared" ref="G15:AL15" si="306">IF(AND(G5&gt;Op_Start_Date,G5&lt;=Op_End_Date),1,0)</f>
        <v>0</v>
      </c>
      <c r="H15" s="218">
        <f t="shared" si="306"/>
        <v>0</v>
      </c>
      <c r="I15" s="218">
        <f t="shared" si="306"/>
        <v>0</v>
      </c>
      <c r="J15" s="218">
        <f t="shared" si="306"/>
        <v>0</v>
      </c>
      <c r="K15" s="218">
        <f t="shared" si="306"/>
        <v>0</v>
      </c>
      <c r="L15" s="218">
        <f t="shared" si="306"/>
        <v>0</v>
      </c>
      <c r="M15" s="218">
        <f t="shared" si="306"/>
        <v>1</v>
      </c>
      <c r="N15" s="218">
        <f t="shared" si="306"/>
        <v>1</v>
      </c>
      <c r="O15" s="218">
        <f t="shared" si="306"/>
        <v>1</v>
      </c>
      <c r="P15" s="218">
        <f t="shared" si="306"/>
        <v>1</v>
      </c>
      <c r="Q15" s="218">
        <f t="shared" si="306"/>
        <v>1</v>
      </c>
      <c r="R15" s="218">
        <f t="shared" si="306"/>
        <v>1</v>
      </c>
      <c r="S15" s="218">
        <f t="shared" si="306"/>
        <v>1</v>
      </c>
      <c r="T15" s="218">
        <f t="shared" si="306"/>
        <v>1</v>
      </c>
      <c r="U15" s="218">
        <f t="shared" si="306"/>
        <v>1</v>
      </c>
      <c r="V15" s="218">
        <f t="shared" si="306"/>
        <v>1</v>
      </c>
      <c r="W15" s="218">
        <f t="shared" si="306"/>
        <v>1</v>
      </c>
      <c r="X15" s="218">
        <f t="shared" si="306"/>
        <v>1</v>
      </c>
      <c r="Y15" s="218">
        <f t="shared" si="306"/>
        <v>1</v>
      </c>
      <c r="Z15" s="218">
        <f t="shared" si="306"/>
        <v>1</v>
      </c>
      <c r="AA15" s="218">
        <f t="shared" si="306"/>
        <v>1</v>
      </c>
      <c r="AB15" s="218">
        <f t="shared" si="306"/>
        <v>1</v>
      </c>
      <c r="AC15" s="218">
        <f t="shared" si="306"/>
        <v>1</v>
      </c>
      <c r="AD15" s="218">
        <f t="shared" si="306"/>
        <v>1</v>
      </c>
      <c r="AE15" s="218">
        <f t="shared" si="306"/>
        <v>1</v>
      </c>
      <c r="AF15" s="218">
        <f t="shared" si="306"/>
        <v>1</v>
      </c>
      <c r="AG15" s="218">
        <f t="shared" si="306"/>
        <v>1</v>
      </c>
      <c r="AH15" s="218">
        <f t="shared" si="306"/>
        <v>1</v>
      </c>
      <c r="AI15" s="218">
        <f t="shared" si="306"/>
        <v>1</v>
      </c>
      <c r="AJ15" s="218">
        <f t="shared" si="306"/>
        <v>1</v>
      </c>
      <c r="AK15" s="218">
        <f t="shared" si="306"/>
        <v>1</v>
      </c>
      <c r="AL15" s="218">
        <f t="shared" si="306"/>
        <v>1</v>
      </c>
      <c r="AM15" s="218">
        <f t="shared" ref="AM15:BR15" si="307">IF(AND(AM5&gt;Op_Start_Date,AM5&lt;=Op_End_Date),1,0)</f>
        <v>1</v>
      </c>
      <c r="AN15" s="218">
        <f t="shared" si="307"/>
        <v>1</v>
      </c>
      <c r="AO15" s="218">
        <f t="shared" si="307"/>
        <v>1</v>
      </c>
      <c r="AP15" s="218">
        <f t="shared" si="307"/>
        <v>1</v>
      </c>
      <c r="AQ15" s="218">
        <f t="shared" si="307"/>
        <v>1</v>
      </c>
      <c r="AR15" s="218">
        <f t="shared" si="307"/>
        <v>1</v>
      </c>
      <c r="AS15" s="218">
        <f t="shared" si="307"/>
        <v>1</v>
      </c>
      <c r="AT15" s="218">
        <f t="shared" si="307"/>
        <v>1</v>
      </c>
      <c r="AU15" s="218">
        <f t="shared" si="307"/>
        <v>1</v>
      </c>
      <c r="AV15" s="218">
        <f t="shared" si="307"/>
        <v>1</v>
      </c>
      <c r="AW15" s="218">
        <f t="shared" si="307"/>
        <v>1</v>
      </c>
      <c r="AX15" s="218">
        <f t="shared" si="307"/>
        <v>1</v>
      </c>
      <c r="AY15" s="218">
        <f t="shared" si="307"/>
        <v>1</v>
      </c>
      <c r="AZ15" s="218">
        <f t="shared" si="307"/>
        <v>1</v>
      </c>
      <c r="BA15" s="218">
        <f t="shared" si="307"/>
        <v>1</v>
      </c>
      <c r="BB15" s="218">
        <f t="shared" si="307"/>
        <v>1</v>
      </c>
      <c r="BC15" s="218">
        <f t="shared" si="307"/>
        <v>1</v>
      </c>
      <c r="BD15" s="218">
        <f t="shared" si="307"/>
        <v>1</v>
      </c>
      <c r="BE15" s="218">
        <f t="shared" si="307"/>
        <v>1</v>
      </c>
      <c r="BF15" s="218">
        <f t="shared" si="307"/>
        <v>1</v>
      </c>
      <c r="BG15" s="218">
        <f t="shared" si="307"/>
        <v>1</v>
      </c>
      <c r="BH15" s="218">
        <f t="shared" si="307"/>
        <v>1</v>
      </c>
      <c r="BI15" s="218">
        <f t="shared" si="307"/>
        <v>1</v>
      </c>
      <c r="BJ15" s="218">
        <f t="shared" si="307"/>
        <v>1</v>
      </c>
      <c r="BK15" s="218">
        <f t="shared" si="307"/>
        <v>1</v>
      </c>
      <c r="BL15" s="218">
        <f t="shared" si="307"/>
        <v>1</v>
      </c>
      <c r="BM15" s="218">
        <f t="shared" si="307"/>
        <v>1</v>
      </c>
      <c r="BN15" s="218">
        <f t="shared" si="307"/>
        <v>1</v>
      </c>
      <c r="BO15" s="218">
        <f t="shared" si="307"/>
        <v>1</v>
      </c>
      <c r="BP15" s="218">
        <f t="shared" si="307"/>
        <v>1</v>
      </c>
      <c r="BQ15" s="218">
        <f t="shared" si="307"/>
        <v>1</v>
      </c>
      <c r="BR15" s="218">
        <f t="shared" si="307"/>
        <v>1</v>
      </c>
      <c r="BS15" s="218">
        <f t="shared" ref="BS15:CX15" si="308">IF(AND(BS5&gt;Op_Start_Date,BS5&lt;=Op_End_Date),1,0)</f>
        <v>1</v>
      </c>
      <c r="BT15" s="218">
        <f t="shared" si="308"/>
        <v>1</v>
      </c>
      <c r="BU15" s="218">
        <f t="shared" si="308"/>
        <v>1</v>
      </c>
      <c r="BV15" s="218">
        <f t="shared" si="308"/>
        <v>1</v>
      </c>
      <c r="BW15" s="218">
        <f t="shared" si="308"/>
        <v>1</v>
      </c>
      <c r="BX15" s="218">
        <f t="shared" si="308"/>
        <v>1</v>
      </c>
      <c r="BY15" s="218">
        <f t="shared" si="308"/>
        <v>1</v>
      </c>
      <c r="BZ15" s="218">
        <f t="shared" si="308"/>
        <v>1</v>
      </c>
      <c r="CA15" s="218">
        <f t="shared" si="308"/>
        <v>1</v>
      </c>
      <c r="CB15" s="218">
        <f t="shared" si="308"/>
        <v>1</v>
      </c>
      <c r="CC15" s="218">
        <f t="shared" si="308"/>
        <v>1</v>
      </c>
      <c r="CD15" s="218">
        <f t="shared" si="308"/>
        <v>1</v>
      </c>
      <c r="CE15" s="218">
        <f t="shared" si="308"/>
        <v>1</v>
      </c>
      <c r="CF15" s="218">
        <f t="shared" si="308"/>
        <v>1</v>
      </c>
      <c r="CG15" s="218">
        <f t="shared" si="308"/>
        <v>1</v>
      </c>
      <c r="CH15" s="218">
        <f t="shared" si="308"/>
        <v>1</v>
      </c>
      <c r="CI15" s="218">
        <f t="shared" si="308"/>
        <v>1</v>
      </c>
      <c r="CJ15" s="218">
        <f t="shared" si="308"/>
        <v>1</v>
      </c>
      <c r="CK15" s="218">
        <f t="shared" si="308"/>
        <v>1</v>
      </c>
      <c r="CL15" s="218">
        <f t="shared" si="308"/>
        <v>1</v>
      </c>
      <c r="CM15" s="218">
        <f t="shared" si="308"/>
        <v>1</v>
      </c>
      <c r="CN15" s="218">
        <f t="shared" si="308"/>
        <v>1</v>
      </c>
      <c r="CO15" s="218">
        <f t="shared" si="308"/>
        <v>1</v>
      </c>
      <c r="CP15" s="218">
        <f t="shared" si="308"/>
        <v>1</v>
      </c>
      <c r="CQ15" s="218">
        <f t="shared" si="308"/>
        <v>1</v>
      </c>
      <c r="CR15" s="218">
        <f t="shared" si="308"/>
        <v>1</v>
      </c>
      <c r="CS15" s="218">
        <f t="shared" si="308"/>
        <v>1</v>
      </c>
      <c r="CT15" s="218">
        <f t="shared" si="308"/>
        <v>1</v>
      </c>
      <c r="CU15" s="242">
        <f t="shared" si="308"/>
        <v>1</v>
      </c>
      <c r="CV15" s="218">
        <f t="shared" si="308"/>
        <v>1</v>
      </c>
      <c r="CW15" s="218">
        <f t="shared" si="308"/>
        <v>1</v>
      </c>
      <c r="CX15" s="218">
        <f t="shared" si="308"/>
        <v>1</v>
      </c>
      <c r="CY15" s="218">
        <f t="shared" ref="CY15:ED15" si="309">IF(AND(CY5&gt;Op_Start_Date,CY5&lt;=Op_End_Date),1,0)</f>
        <v>1</v>
      </c>
      <c r="CZ15" s="218">
        <f t="shared" si="309"/>
        <v>1</v>
      </c>
      <c r="DA15" s="218">
        <f t="shared" si="309"/>
        <v>1</v>
      </c>
      <c r="DB15" s="218">
        <f t="shared" si="309"/>
        <v>1</v>
      </c>
      <c r="DC15" s="218">
        <f t="shared" si="309"/>
        <v>1</v>
      </c>
      <c r="DD15" s="218">
        <f t="shared" si="309"/>
        <v>1</v>
      </c>
      <c r="DE15" s="218">
        <f t="shared" si="309"/>
        <v>1</v>
      </c>
      <c r="DF15" s="218">
        <f t="shared" si="309"/>
        <v>1</v>
      </c>
      <c r="DG15" s="218">
        <f t="shared" si="309"/>
        <v>1</v>
      </c>
      <c r="DH15" s="218">
        <f t="shared" si="309"/>
        <v>1</v>
      </c>
      <c r="DI15" s="218">
        <f t="shared" si="309"/>
        <v>1</v>
      </c>
      <c r="DJ15" s="218">
        <f t="shared" si="309"/>
        <v>1</v>
      </c>
      <c r="DK15" s="218">
        <f t="shared" si="309"/>
        <v>1</v>
      </c>
      <c r="DL15" s="218">
        <f t="shared" si="309"/>
        <v>1</v>
      </c>
      <c r="DM15" s="218">
        <f t="shared" si="309"/>
        <v>1</v>
      </c>
      <c r="DN15" s="218">
        <f t="shared" si="309"/>
        <v>1</v>
      </c>
      <c r="DO15" s="218">
        <f t="shared" si="309"/>
        <v>1</v>
      </c>
      <c r="DP15" s="218">
        <f t="shared" si="309"/>
        <v>1</v>
      </c>
      <c r="DQ15" s="218">
        <f t="shared" si="309"/>
        <v>1</v>
      </c>
      <c r="DR15" s="218">
        <f t="shared" si="309"/>
        <v>1</v>
      </c>
      <c r="DS15" s="218">
        <f t="shared" si="309"/>
        <v>1</v>
      </c>
      <c r="DT15" s="218">
        <f t="shared" si="309"/>
        <v>1</v>
      </c>
      <c r="DU15" s="218">
        <f t="shared" si="309"/>
        <v>1</v>
      </c>
      <c r="DV15" s="218">
        <f t="shared" si="309"/>
        <v>1</v>
      </c>
      <c r="DW15" s="218">
        <f t="shared" si="309"/>
        <v>1</v>
      </c>
      <c r="DX15" s="218">
        <f t="shared" si="309"/>
        <v>1</v>
      </c>
      <c r="DY15" s="218">
        <f t="shared" si="309"/>
        <v>1</v>
      </c>
      <c r="DZ15" s="218">
        <f t="shared" si="309"/>
        <v>1</v>
      </c>
      <c r="EA15" s="218">
        <f t="shared" si="309"/>
        <v>1</v>
      </c>
      <c r="EB15" s="218">
        <f t="shared" si="309"/>
        <v>1</v>
      </c>
      <c r="EC15" s="218">
        <f t="shared" si="309"/>
        <v>1</v>
      </c>
      <c r="ED15" s="218">
        <f t="shared" si="309"/>
        <v>1</v>
      </c>
      <c r="EE15" s="218">
        <f t="shared" ref="EE15:FA15" si="310">IF(AND(EE5&gt;Op_Start_Date,EE5&lt;=Op_End_Date),1,0)</f>
        <v>1</v>
      </c>
      <c r="EF15" s="218">
        <f t="shared" si="310"/>
        <v>1</v>
      </c>
      <c r="EG15" s="218">
        <f t="shared" si="310"/>
        <v>1</v>
      </c>
      <c r="EH15" s="218">
        <f t="shared" si="310"/>
        <v>1</v>
      </c>
      <c r="EI15" s="218">
        <f t="shared" si="310"/>
        <v>1</v>
      </c>
      <c r="EJ15" s="218">
        <f t="shared" si="310"/>
        <v>0</v>
      </c>
      <c r="EK15" s="218">
        <f t="shared" si="310"/>
        <v>0</v>
      </c>
      <c r="EL15" s="218">
        <f t="shared" si="310"/>
        <v>0</v>
      </c>
      <c r="EM15" s="218">
        <f t="shared" si="310"/>
        <v>0</v>
      </c>
      <c r="EN15" s="218">
        <f t="shared" si="310"/>
        <v>0</v>
      </c>
      <c r="EO15" s="218">
        <f t="shared" si="310"/>
        <v>0</v>
      </c>
      <c r="EP15" s="218">
        <f t="shared" si="310"/>
        <v>0</v>
      </c>
      <c r="EQ15" s="218">
        <f t="shared" si="310"/>
        <v>0</v>
      </c>
      <c r="ER15" s="218">
        <f t="shared" si="310"/>
        <v>0</v>
      </c>
      <c r="ES15" s="218">
        <f t="shared" si="310"/>
        <v>0</v>
      </c>
      <c r="ET15" s="218">
        <f t="shared" si="310"/>
        <v>0</v>
      </c>
      <c r="EU15" s="218">
        <f t="shared" si="310"/>
        <v>0</v>
      </c>
      <c r="EV15" s="218">
        <f t="shared" si="310"/>
        <v>0</v>
      </c>
      <c r="EW15" s="218">
        <f t="shared" si="310"/>
        <v>0</v>
      </c>
      <c r="EX15" s="218">
        <f t="shared" si="310"/>
        <v>0</v>
      </c>
      <c r="EY15" s="218">
        <f t="shared" si="310"/>
        <v>0</v>
      </c>
      <c r="EZ15" s="218">
        <f t="shared" si="310"/>
        <v>0</v>
      </c>
      <c r="FA15" s="218">
        <f t="shared" si="310"/>
        <v>0</v>
      </c>
    </row>
    <row r="16" spans="2:157" outlineLevel="1" x14ac:dyDescent="0.2">
      <c r="B16" s="1"/>
      <c r="C16" s="12" t="s">
        <v>128</v>
      </c>
      <c r="D16" s="21" t="s">
        <v>16</v>
      </c>
      <c r="E16" s="79">
        <f>MAX(G16:EI16)</f>
        <v>103</v>
      </c>
      <c r="F16" s="1"/>
      <c r="G16" s="62">
        <f>IF(G11=1,Constr_Phase_Model!G8,F16*G15)</f>
        <v>0</v>
      </c>
      <c r="H16" s="62">
        <f>IF(H11=1,Constr_Phase_Model!H8,G16*H15)</f>
        <v>0</v>
      </c>
      <c r="I16" s="62">
        <f>IF(I11=1,Constr_Phase_Model!I8,H16*I15)</f>
        <v>0</v>
      </c>
      <c r="J16" s="62">
        <f>IF(J11=1,Constr_Phase_Model!J8,I16*J15)</f>
        <v>0</v>
      </c>
      <c r="K16" s="62">
        <f>IF(K11=1,Constr_Phase_Model!K8,J16*K15)</f>
        <v>0</v>
      </c>
      <c r="L16" s="62">
        <f>IF(L11=1,Constr_Phase_Model!L8,K16*L15)</f>
        <v>6</v>
      </c>
      <c r="M16" s="62">
        <f>IF(M11=1,Constr_Phase_Model!M8,L16*M15)</f>
        <v>22</v>
      </c>
      <c r="N16" s="62">
        <f>IF(N11=1,Constr_Phase_Model!N8,M16*N15)</f>
        <v>30</v>
      </c>
      <c r="O16" s="62">
        <f>IF(O11=1,Constr_Phase_Model!O8,N16*O15)</f>
        <v>37</v>
      </c>
      <c r="P16" s="62">
        <f>IF(P11=1,Constr_Phase_Model!P8,O16*P15)</f>
        <v>60</v>
      </c>
      <c r="Q16" s="62">
        <f>IF(Q11=1,Constr_Phase_Model!Q8,P16*Q15)</f>
        <v>85</v>
      </c>
      <c r="R16" s="62">
        <f>IF(R11=1,Constr_Phase_Model!R8,Q16*R15)</f>
        <v>97</v>
      </c>
      <c r="S16" s="62">
        <f>IF(S11=1,Constr_Phase_Model!S8,R16*S15)</f>
        <v>103</v>
      </c>
      <c r="T16" s="62">
        <f>IF(T11=1,Constr_Phase_Model!T8,S16*T15)</f>
        <v>103</v>
      </c>
      <c r="U16" s="62">
        <f>IF(U11=1,Constr_Phase_Model!U8,T16*U15)</f>
        <v>103</v>
      </c>
      <c r="V16" s="62">
        <f>IF(V11=1,Constr_Phase_Model!V8,U16*V15)</f>
        <v>103</v>
      </c>
      <c r="W16" s="62">
        <f>IF(W11=1,Constr_Phase_Model!W8,V16*W15)</f>
        <v>103</v>
      </c>
      <c r="X16" s="62">
        <f>IF(X11=1,Constr_Phase_Model!X8,W16*X15)</f>
        <v>103</v>
      </c>
      <c r="Y16" s="62">
        <f>IF(Y11=1,Constr_Phase_Model!Y8,X16*Y15)</f>
        <v>103</v>
      </c>
      <c r="Z16" s="62">
        <f>IF(Z11=1,Constr_Phase_Model!Z8,Y16*Z15)</f>
        <v>103</v>
      </c>
      <c r="AA16" s="62">
        <f>IF(AA11=1,Constr_Phase_Model!AA8,Z16*AA15)</f>
        <v>103</v>
      </c>
      <c r="AB16" s="62">
        <f>IF(AB11=1,Constr_Phase_Model!AB8,AA16*AB15)</f>
        <v>103</v>
      </c>
      <c r="AC16" s="62">
        <f>IF(AC11=1,Constr_Phase_Model!AC8,AB16*AC15)</f>
        <v>103</v>
      </c>
      <c r="AD16" s="62">
        <f>IF(AD11=1,Constr_Phase_Model!AD8,AC16*AD15)</f>
        <v>103</v>
      </c>
      <c r="AE16" s="62">
        <f>IF(AE11=1,Constr_Phase_Model!AE8,AD16*AE15)</f>
        <v>103</v>
      </c>
      <c r="AF16" s="62">
        <f>IF(AF11=1,Constr_Phase_Model!AF8,AE16*AF15)</f>
        <v>103</v>
      </c>
      <c r="AG16" s="62">
        <f>IF(AG11=1,Constr_Phase_Model!AG8,AF16*AG15)</f>
        <v>103</v>
      </c>
      <c r="AH16" s="62">
        <f>IF(AH11=1,Constr_Phase_Model!AH8,AG16*AH15)</f>
        <v>103</v>
      </c>
      <c r="AI16" s="62">
        <f>IF(AI11=1,Constr_Phase_Model!AI8,AH16*AI15)</f>
        <v>103</v>
      </c>
      <c r="AJ16" s="62">
        <f>IF(AJ11=1,Constr_Phase_Model!AJ8,AI16*AJ15)</f>
        <v>103</v>
      </c>
      <c r="AK16" s="62">
        <f>IF(AK11=1,Constr_Phase_Model!AK8,AJ16*AK15)</f>
        <v>103</v>
      </c>
      <c r="AL16" s="62">
        <f>IF(AL11=1,Constr_Phase_Model!AL8,AK16*AL15)</f>
        <v>103</v>
      </c>
      <c r="AM16" s="62">
        <f>IF(AM11=1,Constr_Phase_Model!AM8,AL16*AM15)</f>
        <v>103</v>
      </c>
      <c r="AN16" s="62">
        <f>IF(AN11=1,Constr_Phase_Model!AN8,AM16*AN15)</f>
        <v>103</v>
      </c>
      <c r="AO16" s="62">
        <f>IF(AO11=1,Constr_Phase_Model!AO8,AN16*AO15)</f>
        <v>103</v>
      </c>
      <c r="AP16" s="62">
        <f>IF(AP11=1,Constr_Phase_Model!AP8,AO16*AP15)</f>
        <v>103</v>
      </c>
      <c r="AQ16" s="62">
        <f>IF(AQ11=1,Constr_Phase_Model!AQ8,AP16*AQ15)</f>
        <v>103</v>
      </c>
      <c r="AR16" s="62">
        <f>IF(AR11=1,Constr_Phase_Model!AR8,AQ16*AR15)</f>
        <v>103</v>
      </c>
      <c r="AS16" s="62">
        <f>IF(AS11=1,Constr_Phase_Model!AS8,AR16*AS15)</f>
        <v>103</v>
      </c>
      <c r="AT16" s="62">
        <f>IF(AT11=1,Constr_Phase_Model!AT8,AS16*AT15)</f>
        <v>103</v>
      </c>
      <c r="AU16" s="62">
        <f>IF(AU11=1,Constr_Phase_Model!AU8,AT16*AU15)</f>
        <v>103</v>
      </c>
      <c r="AV16" s="62">
        <f>IF(AV11=1,Constr_Phase_Model!AV8,AU16*AV15)</f>
        <v>103</v>
      </c>
      <c r="AW16" s="62">
        <f>IF(AW11=1,Constr_Phase_Model!AW8,AV16*AW15)</f>
        <v>103</v>
      </c>
      <c r="AX16" s="62">
        <f>IF(AX11=1,Constr_Phase_Model!AX8,AW16*AX15)</f>
        <v>103</v>
      </c>
      <c r="AY16" s="62">
        <f>IF(AY11=1,Constr_Phase_Model!AY8,AX16*AY15)</f>
        <v>103</v>
      </c>
      <c r="AZ16" s="62">
        <f>IF(AZ11=1,Constr_Phase_Model!AZ8,AY16*AZ15)</f>
        <v>103</v>
      </c>
      <c r="BA16" s="62">
        <f>IF(BA11=1,Constr_Phase_Model!BA8,AZ16*BA15)</f>
        <v>103</v>
      </c>
      <c r="BB16" s="62">
        <f>IF(BB11=1,Constr_Phase_Model!BB8,BA16*BB15)</f>
        <v>103</v>
      </c>
      <c r="BC16" s="62">
        <f>IF(BC11=1,Constr_Phase_Model!BC8,BB16*BC15)</f>
        <v>103</v>
      </c>
      <c r="BD16" s="62">
        <f>IF(BD11=1,Constr_Phase_Model!BD8,BC16*BD15)</f>
        <v>103</v>
      </c>
      <c r="BE16" s="62">
        <f>IF(BE11=1,Constr_Phase_Model!BE8,BD16*BE15)</f>
        <v>103</v>
      </c>
      <c r="BF16" s="62">
        <f>IF(BF11=1,Constr_Phase_Model!BF8,BE16*BF15)</f>
        <v>103</v>
      </c>
      <c r="BG16" s="62">
        <f>IF(BG11=1,Constr_Phase_Model!BG8,BF16*BG15)</f>
        <v>103</v>
      </c>
      <c r="BH16" s="62">
        <f>IF(BH11=1,Constr_Phase_Model!BH8,BG16*BH15)</f>
        <v>103</v>
      </c>
      <c r="BI16" s="62">
        <f>IF(BI11=1,Constr_Phase_Model!BI8,BH16*BI15)</f>
        <v>103</v>
      </c>
      <c r="BJ16" s="62">
        <f>IF(BJ11=1,Constr_Phase_Model!BJ8,BI16*BJ15)</f>
        <v>103</v>
      </c>
      <c r="BK16" s="62">
        <f>IF(BK11=1,Constr_Phase_Model!BK8,BJ16*BK15)</f>
        <v>103</v>
      </c>
      <c r="BL16" s="62">
        <f>IF(BL11=1,Constr_Phase_Model!BL8,BK16*BL15)</f>
        <v>103</v>
      </c>
      <c r="BM16" s="62">
        <f>IF(BM11=1,Constr_Phase_Model!BM8,BL16*BM15)</f>
        <v>103</v>
      </c>
      <c r="BN16" s="62">
        <f>IF(BN11=1,Constr_Phase_Model!BN8,BM16*BN15)</f>
        <v>103</v>
      </c>
      <c r="BO16" s="62">
        <f>IF(BO11=1,Constr_Phase_Model!BO8,BN16*BO15)</f>
        <v>103</v>
      </c>
      <c r="BP16" s="62">
        <f>IF(BP11=1,Constr_Phase_Model!BP8,BO16*BP15)</f>
        <v>103</v>
      </c>
      <c r="BQ16" s="62">
        <f>IF(BQ11=1,Constr_Phase_Model!BQ8,BP16*BQ15)</f>
        <v>103</v>
      </c>
      <c r="BR16" s="62">
        <f>IF(BR11=1,Constr_Phase_Model!BR8,BQ16*BR15)</f>
        <v>103</v>
      </c>
      <c r="BS16" s="62">
        <f>IF(BS11=1,Constr_Phase_Model!BS8,BR16*BS15)</f>
        <v>103</v>
      </c>
      <c r="BT16" s="62">
        <f>IF(BT11=1,Constr_Phase_Model!BT8,BS16*BT15)</f>
        <v>103</v>
      </c>
      <c r="BU16" s="62">
        <f>IF(BU11=1,Constr_Phase_Model!BU8,BT16*BU15)</f>
        <v>103</v>
      </c>
      <c r="BV16" s="62">
        <f>IF(BV11=1,Constr_Phase_Model!BV8,BU16*BV15)</f>
        <v>103</v>
      </c>
      <c r="BW16" s="62">
        <f>IF(BW11=1,Constr_Phase_Model!BW8,BV16*BW15)</f>
        <v>103</v>
      </c>
      <c r="BX16" s="62">
        <f>IF(BX11=1,Constr_Phase_Model!BX8,BW16*BX15)</f>
        <v>103</v>
      </c>
      <c r="BY16" s="62">
        <f>IF(BY11=1,Constr_Phase_Model!BY8,BX16*BY15)</f>
        <v>103</v>
      </c>
      <c r="BZ16" s="62">
        <f>IF(BZ11=1,Constr_Phase_Model!BZ8,BY16*BZ15)</f>
        <v>103</v>
      </c>
      <c r="CA16" s="62">
        <f>IF(CA11=1,Constr_Phase_Model!CA8,BZ16*CA15)</f>
        <v>103</v>
      </c>
      <c r="CB16" s="62">
        <f>IF(CB11=1,Constr_Phase_Model!CB8,CA16*CB15)</f>
        <v>103</v>
      </c>
      <c r="CC16" s="62">
        <f>IF(CC11=1,Constr_Phase_Model!CC8,CB16*CC15)</f>
        <v>103</v>
      </c>
      <c r="CD16" s="62">
        <f>IF(CD11=1,Constr_Phase_Model!CD8,CC16*CD15)</f>
        <v>103</v>
      </c>
      <c r="CE16" s="62">
        <f>IF(CE11=1,Constr_Phase_Model!CE8,CD16*CE15)</f>
        <v>103</v>
      </c>
      <c r="CF16" s="62">
        <f>IF(CF11=1,Constr_Phase_Model!CF8,CE16*CF15)</f>
        <v>103</v>
      </c>
      <c r="CG16" s="62">
        <f>IF(CG11=1,Constr_Phase_Model!CG8,CF16*CG15)</f>
        <v>103</v>
      </c>
      <c r="CH16" s="62">
        <f>IF(CH11=1,Constr_Phase_Model!CH8,CG16*CH15)</f>
        <v>103</v>
      </c>
      <c r="CI16" s="62">
        <f>IF(CI11=1,Constr_Phase_Model!CI8,CH16*CI15)</f>
        <v>103</v>
      </c>
      <c r="CJ16" s="62">
        <f>IF(CJ11=1,Constr_Phase_Model!CJ8,CI16*CJ15)</f>
        <v>103</v>
      </c>
      <c r="CK16" s="62">
        <f>IF(CK11=1,Constr_Phase_Model!CK8,CJ16*CK15)</f>
        <v>103</v>
      </c>
      <c r="CL16" s="62">
        <f>IF(CL11=1,Constr_Phase_Model!CL8,CK16*CL15)</f>
        <v>103</v>
      </c>
      <c r="CM16" s="62">
        <f>IF(CM11=1,Constr_Phase_Model!CM8,CL16*CM15)</f>
        <v>103</v>
      </c>
      <c r="CN16" s="62">
        <f>IF(CN11=1,Constr_Phase_Model!CN8,CM16*CN15)</f>
        <v>103</v>
      </c>
      <c r="CO16" s="62">
        <f>IF(CO11=1,Constr_Phase_Model!CO8,CN16*CO15)</f>
        <v>103</v>
      </c>
      <c r="CP16" s="62">
        <f>IF(CP11=1,Constr_Phase_Model!CP8,CO16*CP15)</f>
        <v>103</v>
      </c>
      <c r="CQ16" s="62">
        <f>IF(CQ11=1,Constr_Phase_Model!CQ8,CP16*CQ15)</f>
        <v>103</v>
      </c>
      <c r="CR16" s="62">
        <f>IF(CR11=1,Constr_Phase_Model!CR8,CQ16*CR15)</f>
        <v>103</v>
      </c>
      <c r="CS16" s="62">
        <f>IF(CS11=1,Constr_Phase_Model!CS8,CR16*CS15)</f>
        <v>103</v>
      </c>
      <c r="CT16" s="62">
        <f>IF(CT11=1,Constr_Phase_Model!CT8,CS16*CT15)</f>
        <v>103</v>
      </c>
      <c r="CU16" s="240">
        <f>IF(CU11=1,Constr_Phase_Model!CU8,CT16*CU15)</f>
        <v>103</v>
      </c>
      <c r="CV16" s="62">
        <f>IF(CV11=1,Constr_Phase_Model!CV8,CU16*CV15)</f>
        <v>103</v>
      </c>
      <c r="CW16" s="62">
        <f>IF(CW11=1,Constr_Phase_Model!CW8,CV16*CW15)</f>
        <v>103</v>
      </c>
      <c r="CX16" s="62">
        <f>IF(CX11=1,Constr_Phase_Model!CX8,CW16*CX15)</f>
        <v>103</v>
      </c>
      <c r="CY16" s="62">
        <f>IF(CY11=1,Constr_Phase_Model!CY8,CX16*CY15)</f>
        <v>103</v>
      </c>
      <c r="CZ16" s="62">
        <f>IF(CZ11=1,Constr_Phase_Model!CZ8,CY16*CZ15)</f>
        <v>103</v>
      </c>
      <c r="DA16" s="62">
        <f>IF(DA11=1,Constr_Phase_Model!DA8,CZ16*DA15)</f>
        <v>103</v>
      </c>
      <c r="DB16" s="62">
        <f>IF(DB11=1,Constr_Phase_Model!DB8,DA16*DB15)</f>
        <v>103</v>
      </c>
      <c r="DC16" s="62">
        <f>IF(DC11=1,Constr_Phase_Model!DC8,DB16*DC15)</f>
        <v>103</v>
      </c>
      <c r="DD16" s="62">
        <f>IF(DD11=1,Constr_Phase_Model!DD8,DC16*DD15)</f>
        <v>103</v>
      </c>
      <c r="DE16" s="62">
        <f>IF(DE11=1,Constr_Phase_Model!DE8,DD16*DE15)</f>
        <v>103</v>
      </c>
      <c r="DF16" s="62">
        <f>IF(DF11=1,Constr_Phase_Model!DF8,DE16*DF15)</f>
        <v>103</v>
      </c>
      <c r="DG16" s="62">
        <f>IF(DG11=1,Constr_Phase_Model!DG8,DF16*DG15)</f>
        <v>103</v>
      </c>
      <c r="DH16" s="62">
        <f>IF(DH11=1,Constr_Phase_Model!DH8,DG16*DH15)</f>
        <v>103</v>
      </c>
      <c r="DI16" s="62">
        <f>IF(DI11=1,Constr_Phase_Model!DI8,DH16*DI15)</f>
        <v>103</v>
      </c>
      <c r="DJ16" s="62">
        <f>IF(DJ11=1,Constr_Phase_Model!DJ8,DI16*DJ15)</f>
        <v>103</v>
      </c>
      <c r="DK16" s="62">
        <f>IF(DK11=1,Constr_Phase_Model!DK8,DJ16*DK15)</f>
        <v>103</v>
      </c>
      <c r="DL16" s="62">
        <f>IF(DL11=1,Constr_Phase_Model!DL8,DK16*DL15)</f>
        <v>103</v>
      </c>
      <c r="DM16" s="62">
        <f>IF(DM11=1,Constr_Phase_Model!DM8,DL16*DM15)</f>
        <v>103</v>
      </c>
      <c r="DN16" s="62">
        <f>IF(DN11=1,Constr_Phase_Model!DN8,DM16*DN15)</f>
        <v>103</v>
      </c>
      <c r="DO16" s="62">
        <f>IF(DO11=1,Constr_Phase_Model!DO8,DN16*DO15)</f>
        <v>103</v>
      </c>
      <c r="DP16" s="62">
        <f>IF(DP11=1,Constr_Phase_Model!DP8,DO16*DP15)</f>
        <v>103</v>
      </c>
      <c r="DQ16" s="62">
        <f>IF(DQ11=1,Constr_Phase_Model!DQ8,DP16*DQ15)</f>
        <v>103</v>
      </c>
      <c r="DR16" s="62">
        <f>IF(DR11=1,Constr_Phase_Model!DR8,DQ16*DR15)</f>
        <v>103</v>
      </c>
      <c r="DS16" s="62">
        <f>IF(DS11=1,Constr_Phase_Model!DS8,DR16*DS15)</f>
        <v>103</v>
      </c>
      <c r="DT16" s="62">
        <f>IF(DT11=1,Constr_Phase_Model!DT8,DS16*DT15)</f>
        <v>103</v>
      </c>
      <c r="DU16" s="62">
        <f>IF(DU11=1,Constr_Phase_Model!DU8,DT16*DU15)</f>
        <v>103</v>
      </c>
      <c r="DV16" s="62">
        <f>IF(DV11=1,Constr_Phase_Model!DV8,DU16*DV15)</f>
        <v>103</v>
      </c>
      <c r="DW16" s="62">
        <f>IF(DW11=1,Constr_Phase_Model!DW8,DV16*DW15)</f>
        <v>103</v>
      </c>
      <c r="DX16" s="62">
        <f>IF(DX11=1,Constr_Phase_Model!DX8,DW16*DX15)</f>
        <v>103</v>
      </c>
      <c r="DY16" s="62">
        <f>IF(DY11=1,Constr_Phase_Model!DY8,DX16*DY15)</f>
        <v>103</v>
      </c>
      <c r="DZ16" s="62">
        <f>IF(DZ11=1,Constr_Phase_Model!DZ8,DY16*DZ15)</f>
        <v>103</v>
      </c>
      <c r="EA16" s="62">
        <f>IF(EA11=1,Constr_Phase_Model!EA8,DZ16*EA15)</f>
        <v>103</v>
      </c>
      <c r="EB16" s="62">
        <f>IF(EB11=1,Constr_Phase_Model!EB8,EA16*EB15)</f>
        <v>103</v>
      </c>
      <c r="EC16" s="62">
        <f>IF(EC11=1,Constr_Phase_Model!EC8,EB16*EC15)</f>
        <v>103</v>
      </c>
      <c r="ED16" s="62">
        <f>IF(ED11=1,Constr_Phase_Model!ED8,EC16*ED15)</f>
        <v>103</v>
      </c>
      <c r="EE16" s="62">
        <f>IF(EE11=1,Constr_Phase_Model!EE8,ED16*EE15)</f>
        <v>103</v>
      </c>
      <c r="EF16" s="62">
        <f>IF(EF11=1,Constr_Phase_Model!EF8,EE16*EF15)</f>
        <v>103</v>
      </c>
      <c r="EG16" s="62">
        <f>IF(EG11=1,Constr_Phase_Model!EG8,EF16*EG15)</f>
        <v>103</v>
      </c>
      <c r="EH16" s="62">
        <f>IF(EH11=1,Constr_Phase_Model!EH8,EG16*EH15)</f>
        <v>103</v>
      </c>
      <c r="EI16" s="62">
        <f>IF(EI11=1,Constr_Phase_Model!EI8,EH16*EI15)</f>
        <v>103</v>
      </c>
      <c r="EJ16" s="62">
        <f>IF(EJ11=1,Constr_Phase_Model!EJ8,EI16*EJ15)</f>
        <v>0</v>
      </c>
      <c r="EK16" s="62">
        <f>IF(EK11=1,Constr_Phase_Model!EK8,EJ16*EK15)</f>
        <v>0</v>
      </c>
      <c r="EL16" s="62">
        <f>IF(EL11=1,Constr_Phase_Model!EL8,EK16*EL15)</f>
        <v>0</v>
      </c>
      <c r="EM16" s="62">
        <f>IF(EM11=1,Constr_Phase_Model!EM8,EL16*EM15)</f>
        <v>0</v>
      </c>
      <c r="EN16" s="62">
        <f>IF(EN11=1,Constr_Phase_Model!EN8,EM16*EN15)</f>
        <v>0</v>
      </c>
      <c r="EO16" s="62">
        <f>IF(EO11=1,Constr_Phase_Model!EO8,EN16*EO15)</f>
        <v>0</v>
      </c>
      <c r="EP16" s="62">
        <f>IF(EP11=1,Constr_Phase_Model!EP8,EO16*EP15)</f>
        <v>0</v>
      </c>
      <c r="EQ16" s="62">
        <f>IF(EQ11=1,Constr_Phase_Model!EQ8,EP16*EQ15)</f>
        <v>0</v>
      </c>
      <c r="ER16" s="62">
        <f>IF(ER11=1,Constr_Phase_Model!ER8,EQ16*ER15)</f>
        <v>0</v>
      </c>
      <c r="ES16" s="62">
        <f>IF(ES11=1,Constr_Phase_Model!ES8,ER16*ES15)</f>
        <v>0</v>
      </c>
      <c r="ET16" s="62">
        <f>IF(ET11=1,Constr_Phase_Model!ET8,ES16*ET15)</f>
        <v>0</v>
      </c>
      <c r="EU16" s="62">
        <f>IF(EU11=1,Constr_Phase_Model!EU8,ET16*EU15)</f>
        <v>0</v>
      </c>
      <c r="EV16" s="62">
        <f>IF(EV11=1,Constr_Phase_Model!EV8,EU16*EV15)</f>
        <v>0</v>
      </c>
      <c r="EW16" s="62">
        <f>IF(EW11=1,Constr_Phase_Model!EW8,EV16*EW15)</f>
        <v>0</v>
      </c>
      <c r="EX16" s="62">
        <f>IF(EX11=1,Constr_Phase_Model!EX8,EW16*EX15)</f>
        <v>0</v>
      </c>
      <c r="EY16" s="62">
        <f>IF(EY11=1,Constr_Phase_Model!EY8,EX16*EY15)</f>
        <v>0</v>
      </c>
      <c r="EZ16" s="62">
        <f>IF(EZ11=1,Constr_Phase_Model!EZ8,EY16*EZ15)</f>
        <v>0</v>
      </c>
      <c r="FA16" s="62">
        <f>IF(FA11=1,Constr_Phase_Model!FA8,EZ16*FA15)</f>
        <v>0</v>
      </c>
    </row>
    <row r="17" spans="2:157" outlineLevel="1" x14ac:dyDescent="0.2">
      <c r="B17" s="1"/>
      <c r="C17" s="12" t="s">
        <v>129</v>
      </c>
      <c r="D17" s="21" t="s">
        <v>16</v>
      </c>
      <c r="E17" s="5">
        <f>SUM(G17:EI17)</f>
        <v>127</v>
      </c>
      <c r="F17" s="1"/>
      <c r="G17" s="62">
        <f t="shared" ref="G17:AL17" si="311">IF(AND(G5&gt;Op_Start_Date,G5&lt;=Op_End_Date),1,0)</f>
        <v>0</v>
      </c>
      <c r="H17" s="62">
        <f t="shared" si="311"/>
        <v>0</v>
      </c>
      <c r="I17" s="62">
        <f t="shared" si="311"/>
        <v>0</v>
      </c>
      <c r="J17" s="62">
        <f t="shared" si="311"/>
        <v>0</v>
      </c>
      <c r="K17" s="62">
        <f t="shared" si="311"/>
        <v>0</v>
      </c>
      <c r="L17" s="62">
        <f t="shared" si="311"/>
        <v>0</v>
      </c>
      <c r="M17" s="62">
        <f t="shared" si="311"/>
        <v>1</v>
      </c>
      <c r="N17" s="62">
        <f t="shared" si="311"/>
        <v>1</v>
      </c>
      <c r="O17" s="62">
        <f t="shared" si="311"/>
        <v>1</v>
      </c>
      <c r="P17" s="62">
        <f t="shared" si="311"/>
        <v>1</v>
      </c>
      <c r="Q17" s="62">
        <f t="shared" si="311"/>
        <v>1</v>
      </c>
      <c r="R17" s="62">
        <f t="shared" si="311"/>
        <v>1</v>
      </c>
      <c r="S17" s="62">
        <f t="shared" si="311"/>
        <v>1</v>
      </c>
      <c r="T17" s="62">
        <f t="shared" si="311"/>
        <v>1</v>
      </c>
      <c r="U17" s="62">
        <f t="shared" si="311"/>
        <v>1</v>
      </c>
      <c r="V17" s="62">
        <f t="shared" si="311"/>
        <v>1</v>
      </c>
      <c r="W17" s="62">
        <f t="shared" si="311"/>
        <v>1</v>
      </c>
      <c r="X17" s="62">
        <f t="shared" si="311"/>
        <v>1</v>
      </c>
      <c r="Y17" s="62">
        <f t="shared" si="311"/>
        <v>1</v>
      </c>
      <c r="Z17" s="62">
        <f t="shared" si="311"/>
        <v>1</v>
      </c>
      <c r="AA17" s="62">
        <f t="shared" si="311"/>
        <v>1</v>
      </c>
      <c r="AB17" s="62">
        <f t="shared" si="311"/>
        <v>1</v>
      </c>
      <c r="AC17" s="62">
        <f t="shared" si="311"/>
        <v>1</v>
      </c>
      <c r="AD17" s="62">
        <f t="shared" si="311"/>
        <v>1</v>
      </c>
      <c r="AE17" s="62">
        <f t="shared" si="311"/>
        <v>1</v>
      </c>
      <c r="AF17" s="62">
        <f t="shared" si="311"/>
        <v>1</v>
      </c>
      <c r="AG17" s="62">
        <f t="shared" si="311"/>
        <v>1</v>
      </c>
      <c r="AH17" s="62">
        <f t="shared" si="311"/>
        <v>1</v>
      </c>
      <c r="AI17" s="62">
        <f t="shared" si="311"/>
        <v>1</v>
      </c>
      <c r="AJ17" s="62">
        <f t="shared" si="311"/>
        <v>1</v>
      </c>
      <c r="AK17" s="62">
        <f t="shared" si="311"/>
        <v>1</v>
      </c>
      <c r="AL17" s="62">
        <f t="shared" si="311"/>
        <v>1</v>
      </c>
      <c r="AM17" s="62">
        <f t="shared" ref="AM17:BR17" si="312">IF(AND(AM5&gt;Op_Start_Date,AM5&lt;=Op_End_Date),1,0)</f>
        <v>1</v>
      </c>
      <c r="AN17" s="62">
        <f t="shared" si="312"/>
        <v>1</v>
      </c>
      <c r="AO17" s="62">
        <f t="shared" si="312"/>
        <v>1</v>
      </c>
      <c r="AP17" s="62">
        <f t="shared" si="312"/>
        <v>1</v>
      </c>
      <c r="AQ17" s="62">
        <f t="shared" si="312"/>
        <v>1</v>
      </c>
      <c r="AR17" s="62">
        <f t="shared" si="312"/>
        <v>1</v>
      </c>
      <c r="AS17" s="62">
        <f t="shared" si="312"/>
        <v>1</v>
      </c>
      <c r="AT17" s="62">
        <f t="shared" si="312"/>
        <v>1</v>
      </c>
      <c r="AU17" s="62">
        <f t="shared" si="312"/>
        <v>1</v>
      </c>
      <c r="AV17" s="62">
        <f t="shared" si="312"/>
        <v>1</v>
      </c>
      <c r="AW17" s="62">
        <f t="shared" si="312"/>
        <v>1</v>
      </c>
      <c r="AX17" s="62">
        <f t="shared" si="312"/>
        <v>1</v>
      </c>
      <c r="AY17" s="62">
        <f t="shared" si="312"/>
        <v>1</v>
      </c>
      <c r="AZ17" s="62">
        <f t="shared" si="312"/>
        <v>1</v>
      </c>
      <c r="BA17" s="62">
        <f t="shared" si="312"/>
        <v>1</v>
      </c>
      <c r="BB17" s="62">
        <f t="shared" si="312"/>
        <v>1</v>
      </c>
      <c r="BC17" s="62">
        <f t="shared" si="312"/>
        <v>1</v>
      </c>
      <c r="BD17" s="62">
        <f t="shared" si="312"/>
        <v>1</v>
      </c>
      <c r="BE17" s="62">
        <f t="shared" si="312"/>
        <v>1</v>
      </c>
      <c r="BF17" s="62">
        <f t="shared" si="312"/>
        <v>1</v>
      </c>
      <c r="BG17" s="62">
        <f t="shared" si="312"/>
        <v>1</v>
      </c>
      <c r="BH17" s="62">
        <f t="shared" si="312"/>
        <v>1</v>
      </c>
      <c r="BI17" s="62">
        <f t="shared" si="312"/>
        <v>1</v>
      </c>
      <c r="BJ17" s="62">
        <f t="shared" si="312"/>
        <v>1</v>
      </c>
      <c r="BK17" s="62">
        <f t="shared" si="312"/>
        <v>1</v>
      </c>
      <c r="BL17" s="62">
        <f t="shared" si="312"/>
        <v>1</v>
      </c>
      <c r="BM17" s="62">
        <f t="shared" si="312"/>
        <v>1</v>
      </c>
      <c r="BN17" s="62">
        <f t="shared" si="312"/>
        <v>1</v>
      </c>
      <c r="BO17" s="62">
        <f t="shared" si="312"/>
        <v>1</v>
      </c>
      <c r="BP17" s="62">
        <f t="shared" si="312"/>
        <v>1</v>
      </c>
      <c r="BQ17" s="62">
        <f t="shared" si="312"/>
        <v>1</v>
      </c>
      <c r="BR17" s="62">
        <f t="shared" si="312"/>
        <v>1</v>
      </c>
      <c r="BS17" s="62">
        <f t="shared" ref="BS17:CX17" si="313">IF(AND(BS5&gt;Op_Start_Date,BS5&lt;=Op_End_Date),1,0)</f>
        <v>1</v>
      </c>
      <c r="BT17" s="62">
        <f t="shared" si="313"/>
        <v>1</v>
      </c>
      <c r="BU17" s="62">
        <f t="shared" si="313"/>
        <v>1</v>
      </c>
      <c r="BV17" s="62">
        <f t="shared" si="313"/>
        <v>1</v>
      </c>
      <c r="BW17" s="62">
        <f t="shared" si="313"/>
        <v>1</v>
      </c>
      <c r="BX17" s="62">
        <f t="shared" si="313"/>
        <v>1</v>
      </c>
      <c r="BY17" s="62">
        <f t="shared" si="313"/>
        <v>1</v>
      </c>
      <c r="BZ17" s="62">
        <f t="shared" si="313"/>
        <v>1</v>
      </c>
      <c r="CA17" s="62">
        <f t="shared" si="313"/>
        <v>1</v>
      </c>
      <c r="CB17" s="62">
        <f t="shared" si="313"/>
        <v>1</v>
      </c>
      <c r="CC17" s="62">
        <f t="shared" si="313"/>
        <v>1</v>
      </c>
      <c r="CD17" s="62">
        <f t="shared" si="313"/>
        <v>1</v>
      </c>
      <c r="CE17" s="62">
        <f t="shared" si="313"/>
        <v>1</v>
      </c>
      <c r="CF17" s="62">
        <f t="shared" si="313"/>
        <v>1</v>
      </c>
      <c r="CG17" s="62">
        <f t="shared" si="313"/>
        <v>1</v>
      </c>
      <c r="CH17" s="62">
        <f t="shared" si="313"/>
        <v>1</v>
      </c>
      <c r="CI17" s="62">
        <f t="shared" si="313"/>
        <v>1</v>
      </c>
      <c r="CJ17" s="62">
        <f t="shared" si="313"/>
        <v>1</v>
      </c>
      <c r="CK17" s="62">
        <f t="shared" si="313"/>
        <v>1</v>
      </c>
      <c r="CL17" s="62">
        <f t="shared" si="313"/>
        <v>1</v>
      </c>
      <c r="CM17" s="62">
        <f t="shared" si="313"/>
        <v>1</v>
      </c>
      <c r="CN17" s="62">
        <f t="shared" si="313"/>
        <v>1</v>
      </c>
      <c r="CO17" s="62">
        <f t="shared" si="313"/>
        <v>1</v>
      </c>
      <c r="CP17" s="62">
        <f t="shared" si="313"/>
        <v>1</v>
      </c>
      <c r="CQ17" s="62">
        <f t="shared" si="313"/>
        <v>1</v>
      </c>
      <c r="CR17" s="62">
        <f t="shared" si="313"/>
        <v>1</v>
      </c>
      <c r="CS17" s="62">
        <f t="shared" si="313"/>
        <v>1</v>
      </c>
      <c r="CT17" s="62">
        <f t="shared" si="313"/>
        <v>1</v>
      </c>
      <c r="CU17" s="240">
        <f t="shared" si="313"/>
        <v>1</v>
      </c>
      <c r="CV17" s="62">
        <f t="shared" si="313"/>
        <v>1</v>
      </c>
      <c r="CW17" s="62">
        <f t="shared" si="313"/>
        <v>1</v>
      </c>
      <c r="CX17" s="62">
        <f t="shared" si="313"/>
        <v>1</v>
      </c>
      <c r="CY17" s="62">
        <f t="shared" ref="CY17:ED17" si="314">IF(AND(CY5&gt;Op_Start_Date,CY5&lt;=Op_End_Date),1,0)</f>
        <v>1</v>
      </c>
      <c r="CZ17" s="62">
        <f t="shared" si="314"/>
        <v>1</v>
      </c>
      <c r="DA17" s="62">
        <f t="shared" si="314"/>
        <v>1</v>
      </c>
      <c r="DB17" s="62">
        <f t="shared" si="314"/>
        <v>1</v>
      </c>
      <c r="DC17" s="62">
        <f t="shared" si="314"/>
        <v>1</v>
      </c>
      <c r="DD17" s="62">
        <f t="shared" si="314"/>
        <v>1</v>
      </c>
      <c r="DE17" s="62">
        <f t="shared" si="314"/>
        <v>1</v>
      </c>
      <c r="DF17" s="62">
        <f t="shared" si="314"/>
        <v>1</v>
      </c>
      <c r="DG17" s="62">
        <f t="shared" si="314"/>
        <v>1</v>
      </c>
      <c r="DH17" s="62">
        <f t="shared" si="314"/>
        <v>1</v>
      </c>
      <c r="DI17" s="62">
        <f t="shared" si="314"/>
        <v>1</v>
      </c>
      <c r="DJ17" s="62">
        <f t="shared" si="314"/>
        <v>1</v>
      </c>
      <c r="DK17" s="62">
        <f t="shared" si="314"/>
        <v>1</v>
      </c>
      <c r="DL17" s="62">
        <f t="shared" si="314"/>
        <v>1</v>
      </c>
      <c r="DM17" s="62">
        <f t="shared" si="314"/>
        <v>1</v>
      </c>
      <c r="DN17" s="62">
        <f t="shared" si="314"/>
        <v>1</v>
      </c>
      <c r="DO17" s="62">
        <f t="shared" si="314"/>
        <v>1</v>
      </c>
      <c r="DP17" s="62">
        <f t="shared" si="314"/>
        <v>1</v>
      </c>
      <c r="DQ17" s="62">
        <f t="shared" si="314"/>
        <v>1</v>
      </c>
      <c r="DR17" s="62">
        <f t="shared" si="314"/>
        <v>1</v>
      </c>
      <c r="DS17" s="62">
        <f t="shared" si="314"/>
        <v>1</v>
      </c>
      <c r="DT17" s="62">
        <f t="shared" si="314"/>
        <v>1</v>
      </c>
      <c r="DU17" s="62">
        <f t="shared" si="314"/>
        <v>1</v>
      </c>
      <c r="DV17" s="62">
        <f t="shared" si="314"/>
        <v>1</v>
      </c>
      <c r="DW17" s="62">
        <f t="shared" si="314"/>
        <v>1</v>
      </c>
      <c r="DX17" s="62">
        <f t="shared" si="314"/>
        <v>1</v>
      </c>
      <c r="DY17" s="62">
        <f t="shared" si="314"/>
        <v>1</v>
      </c>
      <c r="DZ17" s="62">
        <f t="shared" si="314"/>
        <v>1</v>
      </c>
      <c r="EA17" s="62">
        <f t="shared" si="314"/>
        <v>1</v>
      </c>
      <c r="EB17" s="62">
        <f t="shared" si="314"/>
        <v>1</v>
      </c>
      <c r="EC17" s="62">
        <f t="shared" si="314"/>
        <v>1</v>
      </c>
      <c r="ED17" s="62">
        <f t="shared" si="314"/>
        <v>1</v>
      </c>
      <c r="EE17" s="62">
        <f t="shared" ref="EE17:FA17" si="315">IF(AND(EE5&gt;Op_Start_Date,EE5&lt;=Op_End_Date),1,0)</f>
        <v>1</v>
      </c>
      <c r="EF17" s="62">
        <f t="shared" si="315"/>
        <v>1</v>
      </c>
      <c r="EG17" s="62">
        <f t="shared" si="315"/>
        <v>1</v>
      </c>
      <c r="EH17" s="62">
        <f t="shared" si="315"/>
        <v>1</v>
      </c>
      <c r="EI17" s="62">
        <f t="shared" si="315"/>
        <v>1</v>
      </c>
      <c r="EJ17" s="62">
        <f t="shared" si="315"/>
        <v>0</v>
      </c>
      <c r="EK17" s="62">
        <f t="shared" si="315"/>
        <v>0</v>
      </c>
      <c r="EL17" s="62">
        <f t="shared" si="315"/>
        <v>0</v>
      </c>
      <c r="EM17" s="62">
        <f t="shared" si="315"/>
        <v>0</v>
      </c>
      <c r="EN17" s="62">
        <f t="shared" si="315"/>
        <v>0</v>
      </c>
      <c r="EO17" s="62">
        <f t="shared" si="315"/>
        <v>0</v>
      </c>
      <c r="EP17" s="62">
        <f t="shared" si="315"/>
        <v>0</v>
      </c>
      <c r="EQ17" s="62">
        <f t="shared" si="315"/>
        <v>0</v>
      </c>
      <c r="ER17" s="62">
        <f t="shared" si="315"/>
        <v>0</v>
      </c>
      <c r="ES17" s="62">
        <f t="shared" si="315"/>
        <v>0</v>
      </c>
      <c r="ET17" s="62">
        <f t="shared" si="315"/>
        <v>0</v>
      </c>
      <c r="EU17" s="62">
        <f t="shared" si="315"/>
        <v>0</v>
      </c>
      <c r="EV17" s="62">
        <f t="shared" si="315"/>
        <v>0</v>
      </c>
      <c r="EW17" s="62">
        <f t="shared" si="315"/>
        <v>0</v>
      </c>
      <c r="EX17" s="62">
        <f t="shared" si="315"/>
        <v>0</v>
      </c>
      <c r="EY17" s="62">
        <f t="shared" si="315"/>
        <v>0</v>
      </c>
      <c r="EZ17" s="62">
        <f t="shared" si="315"/>
        <v>0</v>
      </c>
      <c r="FA17" s="62">
        <f t="shared" si="315"/>
        <v>0</v>
      </c>
    </row>
    <row r="18" spans="2:157" outlineLevel="1" x14ac:dyDescent="0.2">
      <c r="B18" s="1"/>
      <c r="C18" s="12" t="s">
        <v>130</v>
      </c>
      <c r="D18" s="21" t="s">
        <v>16</v>
      </c>
      <c r="E18" s="5"/>
      <c r="F18" s="1"/>
      <c r="G18" s="79" cm="1">
        <f t="array" ref="G18">SUM($G17:G17*G17)</f>
        <v>0</v>
      </c>
      <c r="H18" s="79" cm="1">
        <f t="array" ref="H18">SUM($G17:H17*H17)</f>
        <v>0</v>
      </c>
      <c r="I18" s="79" cm="1">
        <f t="array" ref="I18">SUM($G17:I17*I17)</f>
        <v>0</v>
      </c>
      <c r="J18" s="79" cm="1">
        <f t="array" ref="J18">SUM($G17:J17*J17)</f>
        <v>0</v>
      </c>
      <c r="K18" s="79" cm="1">
        <f t="array" ref="K18">SUM($G17:K17*K17)</f>
        <v>0</v>
      </c>
      <c r="L18" s="79" cm="1">
        <f t="array" ref="L18">SUM($G17:L17*L17)</f>
        <v>0</v>
      </c>
      <c r="M18" s="79" cm="1">
        <f t="array" ref="M18">SUM($G17:M17*M17)</f>
        <v>1</v>
      </c>
      <c r="N18" s="79" cm="1">
        <f t="array" ref="N18">SUM($G17:N17*N17)</f>
        <v>2</v>
      </c>
      <c r="O18" s="79" cm="1">
        <f t="array" ref="O18">SUM($G17:O17*O17)</f>
        <v>3</v>
      </c>
      <c r="P18" s="79" cm="1">
        <f t="array" ref="P18">SUM($G17:P17*P17)</f>
        <v>4</v>
      </c>
      <c r="Q18" s="79" cm="1">
        <f t="array" ref="Q18">SUM($G17:Q17*Q17)</f>
        <v>5</v>
      </c>
      <c r="R18" s="79" cm="1">
        <f t="array" ref="R18">SUM($G17:R17*R17)</f>
        <v>6</v>
      </c>
      <c r="S18" s="79" cm="1">
        <f t="array" ref="S18">SUM($G17:S17*S17)</f>
        <v>7</v>
      </c>
      <c r="T18" s="79" cm="1">
        <f t="array" ref="T18">SUM($G17:T17*T17)</f>
        <v>8</v>
      </c>
      <c r="U18" s="79" cm="1">
        <f t="array" ref="U18">SUM($G17:U17*U17)</f>
        <v>9</v>
      </c>
      <c r="V18" s="79" cm="1">
        <f t="array" ref="V18">SUM($G17:V17*V17)</f>
        <v>10</v>
      </c>
      <c r="W18" s="79" cm="1">
        <f t="array" ref="W18">SUM($G17:W17*W17)</f>
        <v>11</v>
      </c>
      <c r="X18" s="79" cm="1">
        <f t="array" ref="X18">SUM($G17:X17*X17)</f>
        <v>12</v>
      </c>
      <c r="Y18" s="79" cm="1">
        <f t="array" ref="Y18">SUM($G17:Y17*Y17)</f>
        <v>13</v>
      </c>
      <c r="Z18" s="79" cm="1">
        <f t="array" ref="Z18">SUM($G17:Z17*Z17)</f>
        <v>14</v>
      </c>
      <c r="AA18" s="79" cm="1">
        <f t="array" ref="AA18">SUM($G17:AA17*AA17)</f>
        <v>15</v>
      </c>
      <c r="AB18" s="79" cm="1">
        <f t="array" ref="AB18">SUM($G17:AB17*AB17)</f>
        <v>16</v>
      </c>
      <c r="AC18" s="79" cm="1">
        <f t="array" ref="AC18">SUM($G17:AC17*AC17)</f>
        <v>17</v>
      </c>
      <c r="AD18" s="79" cm="1">
        <f t="array" ref="AD18">SUM($G17:AD17*AD17)</f>
        <v>18</v>
      </c>
      <c r="AE18" s="79" cm="1">
        <f t="array" ref="AE18">SUM($G17:AE17*AE17)</f>
        <v>19</v>
      </c>
      <c r="AF18" s="79" cm="1">
        <f t="array" ref="AF18">SUM($G17:AF17*AF17)</f>
        <v>20</v>
      </c>
      <c r="AG18" s="79" cm="1">
        <f t="array" ref="AG18">SUM($G17:AG17*AG17)</f>
        <v>21</v>
      </c>
      <c r="AH18" s="79" cm="1">
        <f t="array" ref="AH18">SUM($G17:AH17*AH17)</f>
        <v>22</v>
      </c>
      <c r="AI18" s="79" cm="1">
        <f t="array" ref="AI18">SUM($G17:AI17*AI17)</f>
        <v>23</v>
      </c>
      <c r="AJ18" s="79" cm="1">
        <f t="array" ref="AJ18">SUM($G17:AJ17*AJ17)</f>
        <v>24</v>
      </c>
      <c r="AK18" s="79" cm="1">
        <f t="array" ref="AK18">SUM($G17:AK17*AK17)</f>
        <v>25</v>
      </c>
      <c r="AL18" s="79" cm="1">
        <f t="array" ref="AL18">SUM($G17:AL17*AL17)</f>
        <v>26</v>
      </c>
      <c r="AM18" s="79" cm="1">
        <f t="array" ref="AM18">SUM($G17:AM17*AM17)</f>
        <v>27</v>
      </c>
      <c r="AN18" s="79" cm="1">
        <f t="array" ref="AN18">SUM($G17:AN17*AN17)</f>
        <v>28</v>
      </c>
      <c r="AO18" s="79" cm="1">
        <f t="array" ref="AO18">SUM($G17:AO17*AO17)</f>
        <v>29</v>
      </c>
      <c r="AP18" s="79" cm="1">
        <f t="array" ref="AP18">SUM($G17:AP17*AP17)</f>
        <v>30</v>
      </c>
      <c r="AQ18" s="79" cm="1">
        <f t="array" ref="AQ18">SUM($G17:AQ17*AQ17)</f>
        <v>31</v>
      </c>
      <c r="AR18" s="79" cm="1">
        <f t="array" ref="AR18">SUM($G17:AR17*AR17)</f>
        <v>32</v>
      </c>
      <c r="AS18" s="79" cm="1">
        <f t="array" ref="AS18">SUM($G17:AS17*AS17)</f>
        <v>33</v>
      </c>
      <c r="AT18" s="79" cm="1">
        <f t="array" ref="AT18">SUM($G17:AT17*AT17)</f>
        <v>34</v>
      </c>
      <c r="AU18" s="79" cm="1">
        <f t="array" ref="AU18">SUM($G17:AU17*AU17)</f>
        <v>35</v>
      </c>
      <c r="AV18" s="79" cm="1">
        <f t="array" ref="AV18">SUM($G17:AV17*AV17)</f>
        <v>36</v>
      </c>
      <c r="AW18" s="79" cm="1">
        <f t="array" ref="AW18">SUM($G17:AW17*AW17)</f>
        <v>37</v>
      </c>
      <c r="AX18" s="79" cm="1">
        <f t="array" ref="AX18">SUM($G17:AX17*AX17)</f>
        <v>38</v>
      </c>
      <c r="AY18" s="79" cm="1">
        <f t="array" ref="AY18">SUM($G17:AY17*AY17)</f>
        <v>39</v>
      </c>
      <c r="AZ18" s="79" cm="1">
        <f t="array" ref="AZ18">SUM($G17:AZ17*AZ17)</f>
        <v>40</v>
      </c>
      <c r="BA18" s="79" cm="1">
        <f t="array" ref="BA18">SUM($G17:BA17*BA17)</f>
        <v>41</v>
      </c>
      <c r="BB18" s="79" cm="1">
        <f t="array" ref="BB18">SUM($G17:BB17*BB17)</f>
        <v>42</v>
      </c>
      <c r="BC18" s="79" cm="1">
        <f t="array" ref="BC18">SUM($G17:BC17*BC17)</f>
        <v>43</v>
      </c>
      <c r="BD18" s="79" cm="1">
        <f t="array" ref="BD18">SUM($G17:BD17*BD17)</f>
        <v>44</v>
      </c>
      <c r="BE18" s="79" cm="1">
        <f t="array" ref="BE18">SUM($G17:BE17*BE17)</f>
        <v>45</v>
      </c>
      <c r="BF18" s="79" cm="1">
        <f t="array" ref="BF18">SUM($G17:BF17*BF17)</f>
        <v>46</v>
      </c>
      <c r="BG18" s="79" cm="1">
        <f t="array" ref="BG18">SUM($G17:BG17*BG17)</f>
        <v>47</v>
      </c>
      <c r="BH18" s="79" cm="1">
        <f t="array" ref="BH18">SUM($G17:BH17*BH17)</f>
        <v>48</v>
      </c>
      <c r="BI18" s="79" cm="1">
        <f t="array" ref="BI18">SUM($G17:BI17*BI17)</f>
        <v>49</v>
      </c>
      <c r="BJ18" s="79" cm="1">
        <f t="array" ref="BJ18">SUM($G17:BJ17*BJ17)</f>
        <v>50</v>
      </c>
      <c r="BK18" s="79" cm="1">
        <f t="array" ref="BK18">SUM($G17:BK17*BK17)</f>
        <v>51</v>
      </c>
      <c r="BL18" s="79" cm="1">
        <f t="array" ref="BL18">SUM($G17:BL17*BL17)</f>
        <v>52</v>
      </c>
      <c r="BM18" s="79" cm="1">
        <f t="array" ref="BM18">SUM($G17:BM17*BM17)</f>
        <v>53</v>
      </c>
      <c r="BN18" s="79" cm="1">
        <f t="array" ref="BN18">SUM($G17:BN17*BN17)</f>
        <v>54</v>
      </c>
      <c r="BO18" s="79" cm="1">
        <f t="array" ref="BO18">SUM($G17:BO17*BO17)</f>
        <v>55</v>
      </c>
      <c r="BP18" s="79" cm="1">
        <f t="array" ref="BP18">SUM($G17:BP17*BP17)</f>
        <v>56</v>
      </c>
      <c r="BQ18" s="79" cm="1">
        <f t="array" ref="BQ18">SUM($G17:BQ17*BQ17)</f>
        <v>57</v>
      </c>
      <c r="BR18" s="79" cm="1">
        <f t="array" ref="BR18">SUM($G17:BR17*BR17)</f>
        <v>58</v>
      </c>
      <c r="BS18" s="79" cm="1">
        <f t="array" ref="BS18">SUM($G17:BS17*BS17)</f>
        <v>59</v>
      </c>
      <c r="BT18" s="79" cm="1">
        <f t="array" ref="BT18">SUM($G17:BT17*BT17)</f>
        <v>60</v>
      </c>
      <c r="BU18" s="79" cm="1">
        <f t="array" ref="BU18">SUM($G17:BU17*BU17)</f>
        <v>61</v>
      </c>
      <c r="BV18" s="79" cm="1">
        <f t="array" ref="BV18">SUM($G17:BV17*BV17)</f>
        <v>62</v>
      </c>
      <c r="BW18" s="79" cm="1">
        <f t="array" ref="BW18">SUM($G17:BW17*BW17)</f>
        <v>63</v>
      </c>
      <c r="BX18" s="79" cm="1">
        <f t="array" ref="BX18">SUM($G17:BX17*BX17)</f>
        <v>64</v>
      </c>
      <c r="BY18" s="79" cm="1">
        <f t="array" ref="BY18">SUM($G17:BY17*BY17)</f>
        <v>65</v>
      </c>
      <c r="BZ18" s="79" cm="1">
        <f t="array" ref="BZ18">SUM($G17:BZ17*BZ17)</f>
        <v>66</v>
      </c>
      <c r="CA18" s="79" cm="1">
        <f t="array" ref="CA18">SUM($G17:CA17*CA17)</f>
        <v>67</v>
      </c>
      <c r="CB18" s="79" cm="1">
        <f t="array" ref="CB18">SUM($G17:CB17*CB17)</f>
        <v>68</v>
      </c>
      <c r="CC18" s="79" cm="1">
        <f t="array" ref="CC18">SUM($G17:CC17*CC17)</f>
        <v>69</v>
      </c>
      <c r="CD18" s="79" cm="1">
        <f t="array" ref="CD18">SUM($G17:CD17*CD17)</f>
        <v>70</v>
      </c>
      <c r="CE18" s="79" cm="1">
        <f t="array" ref="CE18">SUM($G17:CE17*CE17)</f>
        <v>71</v>
      </c>
      <c r="CF18" s="79" cm="1">
        <f t="array" ref="CF18">SUM($G17:CF17*CF17)</f>
        <v>72</v>
      </c>
      <c r="CG18" s="79" cm="1">
        <f t="array" ref="CG18">SUM($G17:CG17*CG17)</f>
        <v>73</v>
      </c>
      <c r="CH18" s="79" cm="1">
        <f t="array" ref="CH18">SUM($G17:CH17*CH17)</f>
        <v>74</v>
      </c>
      <c r="CI18" s="79" cm="1">
        <f t="array" ref="CI18">SUM($G17:CI17*CI17)</f>
        <v>75</v>
      </c>
      <c r="CJ18" s="79" cm="1">
        <f t="array" ref="CJ18">SUM($G17:CJ17*CJ17)</f>
        <v>76</v>
      </c>
      <c r="CK18" s="79" cm="1">
        <f t="array" ref="CK18">SUM($G17:CK17*CK17)</f>
        <v>77</v>
      </c>
      <c r="CL18" s="79" cm="1">
        <f t="array" ref="CL18">SUM($G17:CL17*CL17)</f>
        <v>78</v>
      </c>
      <c r="CM18" s="79" cm="1">
        <f t="array" ref="CM18">SUM($G17:CM17*CM17)</f>
        <v>79</v>
      </c>
      <c r="CN18" s="79" cm="1">
        <f t="array" ref="CN18">SUM($G17:CN17*CN17)</f>
        <v>80</v>
      </c>
      <c r="CO18" s="79" cm="1">
        <f t="array" ref="CO18">SUM($G17:CO17*CO17)</f>
        <v>81</v>
      </c>
      <c r="CP18" s="79" cm="1">
        <f t="array" ref="CP18">SUM($G17:CP17*CP17)</f>
        <v>82</v>
      </c>
      <c r="CQ18" s="79" cm="1">
        <f t="array" ref="CQ18">SUM($G17:CQ17*CQ17)</f>
        <v>83</v>
      </c>
      <c r="CR18" s="79" cm="1">
        <f t="array" ref="CR18">SUM($G17:CR17*CR17)</f>
        <v>84</v>
      </c>
      <c r="CS18" s="79" cm="1">
        <f t="array" ref="CS18">SUM($G17:CS17*CS17)</f>
        <v>85</v>
      </c>
      <c r="CT18" s="79" cm="1">
        <f t="array" ref="CT18">SUM($G17:CT17*CT17)</f>
        <v>86</v>
      </c>
      <c r="CU18" s="241" cm="1">
        <f t="array" ref="CU18">SUM($G17:CU17*CU17)</f>
        <v>87</v>
      </c>
      <c r="CV18" s="79" cm="1">
        <f t="array" ref="CV18">SUM($G17:CV17*CV17)</f>
        <v>88</v>
      </c>
      <c r="CW18" s="79" cm="1">
        <f t="array" ref="CW18">SUM($G17:CW17*CW17)</f>
        <v>89</v>
      </c>
      <c r="CX18" s="79" cm="1">
        <f t="array" ref="CX18">SUM($G17:CX17*CX17)</f>
        <v>90</v>
      </c>
      <c r="CY18" s="79" cm="1">
        <f t="array" ref="CY18">SUM($G17:CY17*CY17)</f>
        <v>91</v>
      </c>
      <c r="CZ18" s="79" cm="1">
        <f t="array" ref="CZ18">SUM($G17:CZ17*CZ17)</f>
        <v>92</v>
      </c>
      <c r="DA18" s="79" cm="1">
        <f t="array" ref="DA18">SUM($G17:DA17*DA17)</f>
        <v>93</v>
      </c>
      <c r="DB18" s="79" cm="1">
        <f t="array" ref="DB18">SUM($G17:DB17*DB17)</f>
        <v>94</v>
      </c>
      <c r="DC18" s="79" cm="1">
        <f t="array" ref="DC18">SUM($G17:DC17*DC17)</f>
        <v>95</v>
      </c>
      <c r="DD18" s="79" cm="1">
        <f t="array" ref="DD18">SUM($G17:DD17*DD17)</f>
        <v>96</v>
      </c>
      <c r="DE18" s="79" cm="1">
        <f t="array" ref="DE18">SUM($G17:DE17*DE17)</f>
        <v>97</v>
      </c>
      <c r="DF18" s="79" cm="1">
        <f t="array" ref="DF18">SUM($G17:DF17*DF17)</f>
        <v>98</v>
      </c>
      <c r="DG18" s="79" cm="1">
        <f t="array" ref="DG18">SUM($G17:DG17*DG17)</f>
        <v>99</v>
      </c>
      <c r="DH18" s="79" cm="1">
        <f t="array" ref="DH18">SUM($G17:DH17*DH17)</f>
        <v>100</v>
      </c>
      <c r="DI18" s="79" cm="1">
        <f t="array" ref="DI18">SUM($G17:DI17*DI17)</f>
        <v>101</v>
      </c>
      <c r="DJ18" s="79" cm="1">
        <f t="array" ref="DJ18">SUM($G17:DJ17*DJ17)</f>
        <v>102</v>
      </c>
      <c r="DK18" s="79" cm="1">
        <f t="array" ref="DK18">SUM($G17:DK17*DK17)</f>
        <v>103</v>
      </c>
      <c r="DL18" s="79" cm="1">
        <f t="array" ref="DL18">SUM($G17:DL17*DL17)</f>
        <v>104</v>
      </c>
      <c r="DM18" s="79" cm="1">
        <f t="array" ref="DM18">SUM($G17:DM17*DM17)</f>
        <v>105</v>
      </c>
      <c r="DN18" s="79" cm="1">
        <f t="array" ref="DN18">SUM($G17:DN17*DN17)</f>
        <v>106</v>
      </c>
      <c r="DO18" s="79" cm="1">
        <f t="array" ref="DO18">SUM($G17:DO17*DO17)</f>
        <v>107</v>
      </c>
      <c r="DP18" s="79" cm="1">
        <f t="array" ref="DP18">SUM($G17:DP17*DP17)</f>
        <v>108</v>
      </c>
      <c r="DQ18" s="79" cm="1">
        <f t="array" ref="DQ18">SUM($G17:DQ17*DQ17)</f>
        <v>109</v>
      </c>
      <c r="DR18" s="79" cm="1">
        <f t="array" ref="DR18">SUM($G17:DR17*DR17)</f>
        <v>110</v>
      </c>
      <c r="DS18" s="79" cm="1">
        <f t="array" ref="DS18">SUM($G17:DS17*DS17)</f>
        <v>111</v>
      </c>
      <c r="DT18" s="79" cm="1">
        <f t="array" ref="DT18">SUM($G17:DT17*DT17)</f>
        <v>112</v>
      </c>
      <c r="DU18" s="79" cm="1">
        <f t="array" ref="DU18">SUM($G17:DU17*DU17)</f>
        <v>113</v>
      </c>
      <c r="DV18" s="79" cm="1">
        <f t="array" ref="DV18">SUM($G17:DV17*DV17)</f>
        <v>114</v>
      </c>
      <c r="DW18" s="79" cm="1">
        <f t="array" ref="DW18">SUM($G17:DW17*DW17)</f>
        <v>115</v>
      </c>
      <c r="DX18" s="79" cm="1">
        <f t="array" ref="DX18">SUM($G17:DX17*DX17)</f>
        <v>116</v>
      </c>
      <c r="DY18" s="79" cm="1">
        <f t="array" ref="DY18">SUM($G17:DY17*DY17)</f>
        <v>117</v>
      </c>
      <c r="DZ18" s="79" cm="1">
        <f t="array" ref="DZ18">SUM($G17:DZ17*DZ17)</f>
        <v>118</v>
      </c>
      <c r="EA18" s="79" cm="1">
        <f t="array" ref="EA18">SUM($G17:EA17*EA17)</f>
        <v>119</v>
      </c>
      <c r="EB18" s="79" cm="1">
        <f t="array" ref="EB18">SUM($G17:EB17*EB17)</f>
        <v>120</v>
      </c>
      <c r="EC18" s="79" cm="1">
        <f t="array" ref="EC18">SUM($G17:EC17*EC17)</f>
        <v>121</v>
      </c>
      <c r="ED18" s="79" cm="1">
        <f t="array" ref="ED18">SUM($G17:ED17*ED17)</f>
        <v>122</v>
      </c>
      <c r="EE18" s="79" cm="1">
        <f t="array" ref="EE18">SUM($G17:EE17*EE17)</f>
        <v>123</v>
      </c>
      <c r="EF18" s="79" cm="1">
        <f t="array" ref="EF18">SUM($G17:EF17*EF17)</f>
        <v>124</v>
      </c>
      <c r="EG18" s="79" cm="1">
        <f t="array" ref="EG18">SUM($G17:EG17*EG17)</f>
        <v>125</v>
      </c>
      <c r="EH18" s="79" cm="1">
        <f t="array" ref="EH18">SUM($G17:EH17*EH17)</f>
        <v>126</v>
      </c>
      <c r="EI18" s="79" cm="1">
        <f t="array" ref="EI18">SUM($G17:EI17*EI17)</f>
        <v>127</v>
      </c>
      <c r="EJ18" s="79" cm="1">
        <f t="array" ref="EJ18">SUM($G17:EJ17*EJ17)</f>
        <v>0</v>
      </c>
      <c r="EK18" s="79" cm="1">
        <f t="array" ref="EK18">SUM($G17:EK17*EK17)</f>
        <v>0</v>
      </c>
      <c r="EL18" s="79" cm="1">
        <f t="array" ref="EL18">SUM($G17:EL17*EL17)</f>
        <v>0</v>
      </c>
      <c r="EM18" s="79" cm="1">
        <f t="array" ref="EM18">SUM($G17:EM17*EM17)</f>
        <v>0</v>
      </c>
      <c r="EN18" s="79" cm="1">
        <f t="array" ref="EN18">SUM($G17:EN17*EN17)</f>
        <v>0</v>
      </c>
      <c r="EO18" s="79" cm="1">
        <f t="array" ref="EO18">SUM($G17:EO17*EO17)</f>
        <v>0</v>
      </c>
      <c r="EP18" s="79" cm="1">
        <f t="array" ref="EP18">SUM($G17:EP17*EP17)</f>
        <v>0</v>
      </c>
      <c r="EQ18" s="79" cm="1">
        <f t="array" ref="EQ18">SUM($G17:EQ17*EQ17)</f>
        <v>0</v>
      </c>
      <c r="ER18" s="79" cm="1">
        <f t="array" ref="ER18">SUM($G17:ER17*ER17)</f>
        <v>0</v>
      </c>
      <c r="ES18" s="79" cm="1">
        <f t="array" ref="ES18">SUM($G17:ES17*ES17)</f>
        <v>0</v>
      </c>
      <c r="ET18" s="79" cm="1">
        <f t="array" ref="ET18">SUM($G17:ET17*ET17)</f>
        <v>0</v>
      </c>
      <c r="EU18" s="79" cm="1">
        <f t="array" ref="EU18">SUM($G17:EU17*EU17)</f>
        <v>0</v>
      </c>
      <c r="EV18" s="79" cm="1">
        <f t="array" ref="EV18">SUM($G17:EV17*EV17)</f>
        <v>0</v>
      </c>
      <c r="EW18" s="79" cm="1">
        <f t="array" ref="EW18">SUM($G17:EW17*EW17)</f>
        <v>0</v>
      </c>
      <c r="EX18" s="79" cm="1">
        <f t="array" ref="EX18">SUM($G17:EX17*EX17)</f>
        <v>0</v>
      </c>
      <c r="EY18" s="79" cm="1">
        <f t="array" ref="EY18">SUM($G17:EY17*EY17)</f>
        <v>0</v>
      </c>
      <c r="EZ18" s="79" cm="1">
        <f t="array" ref="EZ18">SUM($G17:EZ17*EZ17)</f>
        <v>0</v>
      </c>
      <c r="FA18" s="79" cm="1">
        <f t="array" ref="FA18">SUM($G17:FA17*FA17)</f>
        <v>0</v>
      </c>
    </row>
    <row r="19" spans="2:157" outlineLevel="1" x14ac:dyDescent="0.2">
      <c r="B19" s="1"/>
      <c r="C19" s="74"/>
      <c r="D19" s="1"/>
      <c r="E19" s="1"/>
      <c r="F19" s="234"/>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2"/>
      <c r="CL19" s="62"/>
      <c r="CM19" s="62"/>
      <c r="CN19" s="62"/>
      <c r="CO19" s="62"/>
      <c r="CP19" s="62"/>
      <c r="CQ19" s="62"/>
      <c r="CR19" s="62"/>
      <c r="CS19" s="62"/>
      <c r="CT19" s="62"/>
      <c r="CU19" s="240"/>
      <c r="CV19" s="62"/>
      <c r="CW19" s="62"/>
      <c r="CX19" s="62"/>
      <c r="CY19" s="62"/>
      <c r="CZ19" s="62"/>
      <c r="DA19" s="62"/>
      <c r="DB19" s="62"/>
      <c r="DC19" s="62"/>
      <c r="DD19" s="62"/>
      <c r="DE19" s="62"/>
      <c r="DF19" s="62"/>
      <c r="DG19" s="62"/>
      <c r="DH19" s="62"/>
      <c r="DI19" s="62"/>
      <c r="DJ19" s="62"/>
      <c r="DK19" s="62"/>
      <c r="DL19" s="62"/>
      <c r="DM19" s="62"/>
      <c r="DN19" s="62"/>
      <c r="DO19" s="62"/>
      <c r="DP19" s="62"/>
      <c r="DQ19" s="62"/>
      <c r="DR19" s="62"/>
      <c r="DS19" s="62"/>
      <c r="DT19" s="62"/>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2"/>
      <c r="EX19" s="62"/>
      <c r="EY19" s="62"/>
      <c r="EZ19" s="62"/>
      <c r="FA19" s="62"/>
    </row>
    <row r="20" spans="2:157" outlineLevel="1" x14ac:dyDescent="0.2">
      <c r="B20" s="1"/>
      <c r="C20" s="12" t="s">
        <v>97</v>
      </c>
      <c r="D20" s="21" t="s">
        <v>16</v>
      </c>
      <c r="E20" s="5"/>
      <c r="F20" s="228">
        <v>1</v>
      </c>
      <c r="G20" s="229">
        <f t="shared" ref="G20:AL20" si="316">((1+Electr_Rate_Escalation)^(1/Quarters_in_Year))*F20</f>
        <v>1.0061922463256361</v>
      </c>
      <c r="H20" s="229">
        <f t="shared" si="316"/>
        <v>1.0124228365658294</v>
      </c>
      <c r="I20" s="229">
        <f t="shared" si="316"/>
        <v>1.0186920081555442</v>
      </c>
      <c r="J20" s="229">
        <f t="shared" si="316"/>
        <v>1.0250000000000001</v>
      </c>
      <c r="K20" s="229">
        <f t="shared" si="316"/>
        <v>1.0313470524837771</v>
      </c>
      <c r="L20" s="229">
        <f t="shared" si="316"/>
        <v>1.0377334074799753</v>
      </c>
      <c r="M20" s="229">
        <f t="shared" si="316"/>
        <v>1.0441593083594329</v>
      </c>
      <c r="N20" s="229">
        <f t="shared" si="316"/>
        <v>1.0506250000000004</v>
      </c>
      <c r="O20" s="229">
        <f t="shared" si="316"/>
        <v>1.0571307287958718</v>
      </c>
      <c r="P20" s="229">
        <f t="shared" si="316"/>
        <v>1.0636767426669751</v>
      </c>
      <c r="Q20" s="229">
        <f t="shared" si="316"/>
        <v>1.0702632910684193</v>
      </c>
      <c r="R20" s="229">
        <f t="shared" si="316"/>
        <v>1.076890625000001</v>
      </c>
      <c r="S20" s="229">
        <f t="shared" si="316"/>
        <v>1.0835589970157693</v>
      </c>
      <c r="T20" s="229">
        <f t="shared" si="316"/>
        <v>1.0902686612336501</v>
      </c>
      <c r="U20" s="229">
        <f t="shared" si="316"/>
        <v>1.0970198733451304</v>
      </c>
      <c r="V20" s="229">
        <f t="shared" si="316"/>
        <v>1.1038128906250015</v>
      </c>
      <c r="W20" s="229">
        <f t="shared" si="316"/>
        <v>1.1106479719411639</v>
      </c>
      <c r="X20" s="229">
        <f t="shared" si="316"/>
        <v>1.1175253777644918</v>
      </c>
      <c r="Y20" s="229">
        <f t="shared" si="316"/>
        <v>1.1244453701787591</v>
      </c>
      <c r="Z20" s="229">
        <f t="shared" si="316"/>
        <v>1.1314082128906271</v>
      </c>
      <c r="AA20" s="229">
        <f t="shared" si="316"/>
        <v>1.1384141712396936</v>
      </c>
      <c r="AB20" s="229">
        <f t="shared" si="316"/>
        <v>1.1454635122086045</v>
      </c>
      <c r="AC20" s="229">
        <f t="shared" si="316"/>
        <v>1.1525565044332284</v>
      </c>
      <c r="AD20" s="229">
        <f t="shared" si="316"/>
        <v>1.1596934182128931</v>
      </c>
      <c r="AE20" s="229">
        <f t="shared" si="316"/>
        <v>1.1668745255206863</v>
      </c>
      <c r="AF20" s="229">
        <f t="shared" si="316"/>
        <v>1.17410010001382</v>
      </c>
      <c r="AG20" s="229">
        <f t="shared" si="316"/>
        <v>1.1813704170440595</v>
      </c>
      <c r="AH20" s="229">
        <f t="shared" si="316"/>
        <v>1.1886857536682158</v>
      </c>
      <c r="AI20" s="229">
        <f t="shared" si="316"/>
        <v>1.1960463886587038</v>
      </c>
      <c r="AJ20" s="229">
        <f t="shared" si="316"/>
        <v>1.2034526025141661</v>
      </c>
      <c r="AK20" s="229">
        <f t="shared" si="316"/>
        <v>1.2109046774701615</v>
      </c>
      <c r="AL20" s="229">
        <f t="shared" si="316"/>
        <v>1.2184028975099217</v>
      </c>
      <c r="AM20" s="229">
        <f t="shared" ref="AM20:BR20" si="317">((1+Electr_Rate_Escalation)^(1/Quarters_in_Year))*AL20</f>
        <v>1.2259475483751718</v>
      </c>
      <c r="AN20" s="229">
        <f t="shared" si="317"/>
        <v>1.2335389175770206</v>
      </c>
      <c r="AO20" s="229">
        <f t="shared" si="317"/>
        <v>1.2411772944069159</v>
      </c>
      <c r="AP20" s="229">
        <f t="shared" si="317"/>
        <v>1.2488629699476701</v>
      </c>
      <c r="AQ20" s="229">
        <f t="shared" si="317"/>
        <v>1.2565962370845516</v>
      </c>
      <c r="AR20" s="229">
        <f t="shared" si="317"/>
        <v>1.2643773905164466</v>
      </c>
      <c r="AS20" s="229">
        <f t="shared" si="317"/>
        <v>1.2722067267670893</v>
      </c>
      <c r="AT20" s="229">
        <f t="shared" si="317"/>
        <v>1.2800845441963624</v>
      </c>
      <c r="AU20" s="229">
        <f t="shared" si="317"/>
        <v>1.2880111430116659</v>
      </c>
      <c r="AV20" s="229">
        <f t="shared" si="317"/>
        <v>1.2959868252793583</v>
      </c>
      <c r="AW20" s="229">
        <f t="shared" si="317"/>
        <v>1.3040118949362671</v>
      </c>
      <c r="AX20" s="229">
        <f t="shared" si="317"/>
        <v>1.312086657801272</v>
      </c>
      <c r="AY20" s="229">
        <f t="shared" si="317"/>
        <v>1.320211421586958</v>
      </c>
      <c r="AZ20" s="229">
        <f t="shared" si="317"/>
        <v>1.3283864959113427</v>
      </c>
      <c r="BA20" s="229">
        <f t="shared" si="317"/>
        <v>1.3366121923096743</v>
      </c>
      <c r="BB20" s="229">
        <f t="shared" si="317"/>
        <v>1.3448888242463042</v>
      </c>
      <c r="BC20" s="229">
        <f t="shared" si="317"/>
        <v>1.3532167071266323</v>
      </c>
      <c r="BD20" s="229">
        <f t="shared" si="317"/>
        <v>1.3615961583091265</v>
      </c>
      <c r="BE20" s="229">
        <f t="shared" si="317"/>
        <v>1.3700274971174164</v>
      </c>
      <c r="BF20" s="229">
        <f t="shared" si="317"/>
        <v>1.3785110448524622</v>
      </c>
      <c r="BG20" s="229">
        <f t="shared" si="317"/>
        <v>1.3870471248047986</v>
      </c>
      <c r="BH20" s="229">
        <f t="shared" si="317"/>
        <v>1.3956360622668553</v>
      </c>
      <c r="BI20" s="229">
        <f t="shared" si="317"/>
        <v>1.4042781845453525</v>
      </c>
      <c r="BJ20" s="229">
        <f t="shared" si="317"/>
        <v>1.4129738209737743</v>
      </c>
      <c r="BK20" s="229">
        <f t="shared" si="317"/>
        <v>1.4217233029249192</v>
      </c>
      <c r="BL20" s="229">
        <f t="shared" si="317"/>
        <v>1.4305269638235272</v>
      </c>
      <c r="BM20" s="229">
        <f t="shared" si="317"/>
        <v>1.4393851391589867</v>
      </c>
      <c r="BN20" s="229">
        <f t="shared" si="317"/>
        <v>1.4482981664981192</v>
      </c>
      <c r="BO20" s="229">
        <f t="shared" si="317"/>
        <v>1.4572663854980425</v>
      </c>
      <c r="BP20" s="229">
        <f t="shared" si="317"/>
        <v>1.4662901379191158</v>
      </c>
      <c r="BQ20" s="229">
        <f t="shared" si="317"/>
        <v>1.4753697676379618</v>
      </c>
      <c r="BR20" s="229">
        <f t="shared" si="317"/>
        <v>1.4845056206605725</v>
      </c>
      <c r="BS20" s="229">
        <f t="shared" ref="BS20:CX20" si="318">((1+Electr_Rate_Escalation)^(1/Quarters_in_Year))*BR20</f>
        <v>1.493698045135494</v>
      </c>
      <c r="BT20" s="229">
        <f t="shared" si="318"/>
        <v>1.5029473913670941</v>
      </c>
      <c r="BU20" s="229">
        <f t="shared" si="318"/>
        <v>1.5122540118289114</v>
      </c>
      <c r="BV20" s="229">
        <f t="shared" si="318"/>
        <v>1.5216182611770874</v>
      </c>
      <c r="BW20" s="229">
        <f t="shared" si="318"/>
        <v>1.5310404962638819</v>
      </c>
      <c r="BX20" s="229">
        <f t="shared" si="318"/>
        <v>1.540521076151272</v>
      </c>
      <c r="BY20" s="229">
        <f t="shared" si="318"/>
        <v>1.5500603621246347</v>
      </c>
      <c r="BZ20" s="229">
        <f t="shared" si="318"/>
        <v>1.5596587177065151</v>
      </c>
      <c r="CA20" s="229">
        <f t="shared" si="318"/>
        <v>1.5693165086704794</v>
      </c>
      <c r="CB20" s="229">
        <f t="shared" si="318"/>
        <v>1.5790341030550543</v>
      </c>
      <c r="CC20" s="229">
        <f t="shared" si="318"/>
        <v>1.588811871177751</v>
      </c>
      <c r="CD20" s="229">
        <f t="shared" si="318"/>
        <v>1.5986501856491784</v>
      </c>
      <c r="CE20" s="229">
        <f t="shared" si="318"/>
        <v>1.608549421387242</v>
      </c>
      <c r="CF20" s="229">
        <f t="shared" si="318"/>
        <v>1.6185099556314313</v>
      </c>
      <c r="CG20" s="229">
        <f t="shared" si="318"/>
        <v>1.6285321679571954</v>
      </c>
      <c r="CH20" s="229">
        <f t="shared" si="318"/>
        <v>1.6386164402904084</v>
      </c>
      <c r="CI20" s="229">
        <f t="shared" si="318"/>
        <v>1.6487631569219237</v>
      </c>
      <c r="CJ20" s="229">
        <f t="shared" si="318"/>
        <v>1.6589727045222176</v>
      </c>
      <c r="CK20" s="229">
        <f t="shared" si="318"/>
        <v>1.6692454721561258</v>
      </c>
      <c r="CL20" s="229">
        <f t="shared" si="318"/>
        <v>1.6795818512976692</v>
      </c>
      <c r="CM20" s="229">
        <f t="shared" si="318"/>
        <v>1.6899822358449723</v>
      </c>
      <c r="CN20" s="229">
        <f t="shared" si="318"/>
        <v>1.7004470221352737</v>
      </c>
      <c r="CO20" s="229">
        <f t="shared" si="318"/>
        <v>1.7109766089600296</v>
      </c>
      <c r="CP20" s="229">
        <f t="shared" si="318"/>
        <v>1.7215713975801117</v>
      </c>
      <c r="CQ20" s="229">
        <f t="shared" si="318"/>
        <v>1.7322317917410972</v>
      </c>
      <c r="CR20" s="229">
        <f t="shared" si="318"/>
        <v>1.7429581976886561</v>
      </c>
      <c r="CS20" s="229">
        <f t="shared" si="318"/>
        <v>1.7537510241840311</v>
      </c>
      <c r="CT20" s="229">
        <f t="shared" si="318"/>
        <v>1.7646106825196151</v>
      </c>
      <c r="CU20" s="243">
        <f t="shared" si="318"/>
        <v>1.7755375865346252</v>
      </c>
      <c r="CV20" s="229">
        <f t="shared" si="318"/>
        <v>1.7865321526308731</v>
      </c>
      <c r="CW20" s="229">
        <f t="shared" si="318"/>
        <v>1.7975947997886323</v>
      </c>
      <c r="CX20" s="229">
        <f t="shared" si="318"/>
        <v>1.808725949582606</v>
      </c>
      <c r="CY20" s="229">
        <f t="shared" ref="CY20:ED20" si="319">((1+Electr_Rate_Escalation)^(1/Quarters_in_Year))*CX20</f>
        <v>1.8199260261979915</v>
      </c>
      <c r="CZ20" s="229">
        <f t="shared" si="319"/>
        <v>1.8311954564466455</v>
      </c>
      <c r="DA20" s="229">
        <f t="shared" si="319"/>
        <v>1.8425346697833487</v>
      </c>
      <c r="DB20" s="229">
        <f t="shared" si="319"/>
        <v>1.8539440983221718</v>
      </c>
      <c r="DC20" s="229">
        <f t="shared" si="319"/>
        <v>1.865424176852942</v>
      </c>
      <c r="DD20" s="229">
        <f t="shared" si="319"/>
        <v>1.8769753428578124</v>
      </c>
      <c r="DE20" s="229">
        <f t="shared" si="319"/>
        <v>1.8885980365279333</v>
      </c>
      <c r="DF20" s="229">
        <f t="shared" si="319"/>
        <v>1.9002927007802271</v>
      </c>
      <c r="DG20" s="229">
        <f t="shared" si="319"/>
        <v>1.9120597812742666</v>
      </c>
      <c r="DH20" s="229">
        <f t="shared" si="319"/>
        <v>1.9238997264292588</v>
      </c>
      <c r="DI20" s="229">
        <f t="shared" si="319"/>
        <v>1.9358129874411327</v>
      </c>
      <c r="DJ20" s="229">
        <f t="shared" si="319"/>
        <v>1.9478000182997337</v>
      </c>
      <c r="DK20" s="229">
        <f t="shared" si="319"/>
        <v>1.9598612758061242</v>
      </c>
      <c r="DL20" s="229">
        <f t="shared" si="319"/>
        <v>1.9719972195899911</v>
      </c>
      <c r="DM20" s="229">
        <f t="shared" si="319"/>
        <v>1.9842083121271619</v>
      </c>
      <c r="DN20" s="229">
        <f t="shared" si="319"/>
        <v>1.9964950187572279</v>
      </c>
      <c r="DO20" s="229">
        <f t="shared" si="319"/>
        <v>2.0088578077012782</v>
      </c>
      <c r="DP20" s="229">
        <f t="shared" si="319"/>
        <v>2.0212971500797416</v>
      </c>
      <c r="DQ20" s="229">
        <f t="shared" si="319"/>
        <v>2.0338135199303418</v>
      </c>
      <c r="DR20" s="229">
        <f t="shared" si="319"/>
        <v>2.0464073942261596</v>
      </c>
      <c r="DS20" s="229">
        <f t="shared" si="319"/>
        <v>2.0590792528938109</v>
      </c>
      <c r="DT20" s="229">
        <f t="shared" si="319"/>
        <v>2.071829578831736</v>
      </c>
      <c r="DU20" s="229">
        <f t="shared" si="319"/>
        <v>2.0846588579286012</v>
      </c>
      <c r="DV20" s="229">
        <f t="shared" si="319"/>
        <v>2.0975675790818142</v>
      </c>
      <c r="DW20" s="229">
        <f t="shared" si="319"/>
        <v>2.110556234216157</v>
      </c>
      <c r="DX20" s="229">
        <f t="shared" si="319"/>
        <v>2.1236253183025302</v>
      </c>
      <c r="DY20" s="229">
        <f t="shared" si="319"/>
        <v>2.136775329376817</v>
      </c>
      <c r="DZ20" s="229">
        <f t="shared" si="319"/>
        <v>2.1500067685588604</v>
      </c>
      <c r="EA20" s="229">
        <f t="shared" si="319"/>
        <v>2.1633201400715616</v>
      </c>
      <c r="EB20" s="229">
        <f t="shared" si="319"/>
        <v>2.1767159512600944</v>
      </c>
      <c r="EC20" s="229">
        <f t="shared" si="319"/>
        <v>2.190194712611238</v>
      </c>
      <c r="ED20" s="229">
        <f t="shared" si="319"/>
        <v>2.2037569377728325</v>
      </c>
      <c r="EE20" s="229">
        <f t="shared" ref="EE20:FA20" si="320">((1+Electr_Rate_Escalation)^(1/Quarters_in_Year))*ED20</f>
        <v>2.2174031435733514</v>
      </c>
      <c r="EF20" s="229">
        <f t="shared" si="320"/>
        <v>2.2311338500415974</v>
      </c>
      <c r="EG20" s="229">
        <f t="shared" si="320"/>
        <v>2.2449495804265198</v>
      </c>
      <c r="EH20" s="229">
        <f t="shared" si="320"/>
        <v>2.2588508612171543</v>
      </c>
      <c r="EI20" s="229">
        <f t="shared" si="320"/>
        <v>2.2728382221626862</v>
      </c>
      <c r="EJ20" s="229">
        <f t="shared" si="320"/>
        <v>2.2869121962926382</v>
      </c>
      <c r="EK20" s="229">
        <f t="shared" si="320"/>
        <v>2.3010733199371836</v>
      </c>
      <c r="EL20" s="229">
        <f t="shared" si="320"/>
        <v>2.3153221327475837</v>
      </c>
      <c r="EM20" s="229">
        <f t="shared" si="320"/>
        <v>2.3296591777167537</v>
      </c>
      <c r="EN20" s="229">
        <f t="shared" si="320"/>
        <v>2.3440850011999546</v>
      </c>
      <c r="EO20" s="229">
        <f t="shared" si="320"/>
        <v>2.3586001529356135</v>
      </c>
      <c r="EP20" s="229">
        <f t="shared" si="320"/>
        <v>2.373205186066274</v>
      </c>
      <c r="EQ20" s="229">
        <f t="shared" si="320"/>
        <v>2.3879006571596735</v>
      </c>
      <c r="ER20" s="229">
        <f t="shared" si="320"/>
        <v>2.4026871262299543</v>
      </c>
      <c r="ES20" s="229">
        <f t="shared" si="320"/>
        <v>2.4175651567590046</v>
      </c>
      <c r="ET20" s="229">
        <f t="shared" si="320"/>
        <v>2.4325353157179315</v>
      </c>
      <c r="EU20" s="229">
        <f t="shared" si="320"/>
        <v>2.4475981735886658</v>
      </c>
      <c r="EV20" s="229">
        <f t="shared" si="320"/>
        <v>2.4627543043857036</v>
      </c>
      <c r="EW20" s="229">
        <f t="shared" si="320"/>
        <v>2.4780042856779803</v>
      </c>
      <c r="EX20" s="229">
        <f t="shared" si="320"/>
        <v>2.4933486986108804</v>
      </c>
      <c r="EY20" s="229">
        <f t="shared" si="320"/>
        <v>2.508788127928383</v>
      </c>
      <c r="EZ20" s="229">
        <f t="shared" si="320"/>
        <v>2.5243231619953468</v>
      </c>
      <c r="FA20" s="229">
        <f t="shared" si="320"/>
        <v>2.5399543928199306</v>
      </c>
    </row>
    <row r="21" spans="2:157" outlineLevel="1" x14ac:dyDescent="0.2">
      <c r="B21" s="1"/>
      <c r="C21" s="12" t="s">
        <v>305</v>
      </c>
      <c r="D21" s="21" t="s">
        <v>16</v>
      </c>
      <c r="E21" s="5"/>
      <c r="F21" s="228">
        <v>1</v>
      </c>
      <c r="G21" s="229">
        <f t="shared" ref="G21:AL21" si="321">((1+CPI_Escalation)^(1/Quarters_in_Year))*F21</f>
        <v>1.0061922463256361</v>
      </c>
      <c r="H21" s="229">
        <f t="shared" si="321"/>
        <v>1.0124228365658294</v>
      </c>
      <c r="I21" s="229">
        <f t="shared" si="321"/>
        <v>1.0186920081555442</v>
      </c>
      <c r="J21" s="229">
        <f t="shared" si="321"/>
        <v>1.0250000000000001</v>
      </c>
      <c r="K21" s="229">
        <f t="shared" si="321"/>
        <v>1.0313470524837771</v>
      </c>
      <c r="L21" s="229">
        <f t="shared" si="321"/>
        <v>1.0377334074799753</v>
      </c>
      <c r="M21" s="229">
        <f t="shared" si="321"/>
        <v>1.0441593083594329</v>
      </c>
      <c r="N21" s="229">
        <f t="shared" si="321"/>
        <v>1.0506250000000004</v>
      </c>
      <c r="O21" s="229">
        <f t="shared" si="321"/>
        <v>1.0571307287958718</v>
      </c>
      <c r="P21" s="229">
        <f t="shared" si="321"/>
        <v>1.0636767426669751</v>
      </c>
      <c r="Q21" s="229">
        <f t="shared" si="321"/>
        <v>1.0702632910684193</v>
      </c>
      <c r="R21" s="229">
        <f t="shared" si="321"/>
        <v>1.076890625000001</v>
      </c>
      <c r="S21" s="229">
        <f t="shared" si="321"/>
        <v>1.0835589970157693</v>
      </c>
      <c r="T21" s="229">
        <f t="shared" si="321"/>
        <v>1.0902686612336501</v>
      </c>
      <c r="U21" s="229">
        <f t="shared" si="321"/>
        <v>1.0970198733451304</v>
      </c>
      <c r="V21" s="229">
        <f t="shared" si="321"/>
        <v>1.1038128906250015</v>
      </c>
      <c r="W21" s="229">
        <f t="shared" si="321"/>
        <v>1.1106479719411639</v>
      </c>
      <c r="X21" s="229">
        <f t="shared" si="321"/>
        <v>1.1175253777644918</v>
      </c>
      <c r="Y21" s="229">
        <f t="shared" si="321"/>
        <v>1.1244453701787591</v>
      </c>
      <c r="Z21" s="229">
        <f t="shared" si="321"/>
        <v>1.1314082128906271</v>
      </c>
      <c r="AA21" s="229">
        <f t="shared" si="321"/>
        <v>1.1384141712396936</v>
      </c>
      <c r="AB21" s="229">
        <f t="shared" si="321"/>
        <v>1.1454635122086045</v>
      </c>
      <c r="AC21" s="229">
        <f t="shared" si="321"/>
        <v>1.1525565044332284</v>
      </c>
      <c r="AD21" s="229">
        <f t="shared" si="321"/>
        <v>1.1596934182128931</v>
      </c>
      <c r="AE21" s="229">
        <f t="shared" si="321"/>
        <v>1.1668745255206863</v>
      </c>
      <c r="AF21" s="229">
        <f t="shared" si="321"/>
        <v>1.17410010001382</v>
      </c>
      <c r="AG21" s="229">
        <f t="shared" si="321"/>
        <v>1.1813704170440595</v>
      </c>
      <c r="AH21" s="229">
        <f t="shared" si="321"/>
        <v>1.1886857536682158</v>
      </c>
      <c r="AI21" s="229">
        <f t="shared" si="321"/>
        <v>1.1960463886587038</v>
      </c>
      <c r="AJ21" s="229">
        <f t="shared" si="321"/>
        <v>1.2034526025141661</v>
      </c>
      <c r="AK21" s="229">
        <f t="shared" si="321"/>
        <v>1.2109046774701615</v>
      </c>
      <c r="AL21" s="229">
        <f t="shared" si="321"/>
        <v>1.2184028975099217</v>
      </c>
      <c r="AM21" s="229">
        <f t="shared" ref="AM21:BR21" si="322">((1+CPI_Escalation)^(1/Quarters_in_Year))*AL21</f>
        <v>1.2259475483751718</v>
      </c>
      <c r="AN21" s="229">
        <f t="shared" si="322"/>
        <v>1.2335389175770206</v>
      </c>
      <c r="AO21" s="229">
        <f t="shared" si="322"/>
        <v>1.2411772944069159</v>
      </c>
      <c r="AP21" s="229">
        <f t="shared" si="322"/>
        <v>1.2488629699476701</v>
      </c>
      <c r="AQ21" s="229">
        <f t="shared" si="322"/>
        <v>1.2565962370845516</v>
      </c>
      <c r="AR21" s="229">
        <f t="shared" si="322"/>
        <v>1.2643773905164466</v>
      </c>
      <c r="AS21" s="229">
        <f t="shared" si="322"/>
        <v>1.2722067267670893</v>
      </c>
      <c r="AT21" s="229">
        <f t="shared" si="322"/>
        <v>1.2800845441963624</v>
      </c>
      <c r="AU21" s="229">
        <f t="shared" si="322"/>
        <v>1.2880111430116659</v>
      </c>
      <c r="AV21" s="229">
        <f t="shared" si="322"/>
        <v>1.2959868252793583</v>
      </c>
      <c r="AW21" s="229">
        <f t="shared" si="322"/>
        <v>1.3040118949362671</v>
      </c>
      <c r="AX21" s="229">
        <f t="shared" si="322"/>
        <v>1.312086657801272</v>
      </c>
      <c r="AY21" s="229">
        <f t="shared" si="322"/>
        <v>1.320211421586958</v>
      </c>
      <c r="AZ21" s="229">
        <f t="shared" si="322"/>
        <v>1.3283864959113427</v>
      </c>
      <c r="BA21" s="229">
        <f t="shared" si="322"/>
        <v>1.3366121923096743</v>
      </c>
      <c r="BB21" s="229">
        <f t="shared" si="322"/>
        <v>1.3448888242463042</v>
      </c>
      <c r="BC21" s="229">
        <f t="shared" si="322"/>
        <v>1.3532167071266323</v>
      </c>
      <c r="BD21" s="229">
        <f t="shared" si="322"/>
        <v>1.3615961583091265</v>
      </c>
      <c r="BE21" s="229">
        <f t="shared" si="322"/>
        <v>1.3700274971174164</v>
      </c>
      <c r="BF21" s="229">
        <f t="shared" si="322"/>
        <v>1.3785110448524622</v>
      </c>
      <c r="BG21" s="229">
        <f t="shared" si="322"/>
        <v>1.3870471248047986</v>
      </c>
      <c r="BH21" s="229">
        <f t="shared" si="322"/>
        <v>1.3956360622668553</v>
      </c>
      <c r="BI21" s="229">
        <f t="shared" si="322"/>
        <v>1.4042781845453525</v>
      </c>
      <c r="BJ21" s="229">
        <f t="shared" si="322"/>
        <v>1.4129738209737743</v>
      </c>
      <c r="BK21" s="229">
        <f t="shared" si="322"/>
        <v>1.4217233029249192</v>
      </c>
      <c r="BL21" s="229">
        <f t="shared" si="322"/>
        <v>1.4305269638235272</v>
      </c>
      <c r="BM21" s="229">
        <f t="shared" si="322"/>
        <v>1.4393851391589867</v>
      </c>
      <c r="BN21" s="229">
        <f t="shared" si="322"/>
        <v>1.4482981664981192</v>
      </c>
      <c r="BO21" s="229">
        <f t="shared" si="322"/>
        <v>1.4572663854980425</v>
      </c>
      <c r="BP21" s="229">
        <f t="shared" si="322"/>
        <v>1.4662901379191158</v>
      </c>
      <c r="BQ21" s="229">
        <f t="shared" si="322"/>
        <v>1.4753697676379618</v>
      </c>
      <c r="BR21" s="229">
        <f t="shared" si="322"/>
        <v>1.4845056206605725</v>
      </c>
      <c r="BS21" s="229">
        <f t="shared" ref="BS21:CX21" si="323">((1+CPI_Escalation)^(1/Quarters_in_Year))*BR21</f>
        <v>1.493698045135494</v>
      </c>
      <c r="BT21" s="229">
        <f t="shared" si="323"/>
        <v>1.5029473913670941</v>
      </c>
      <c r="BU21" s="229">
        <f t="shared" si="323"/>
        <v>1.5122540118289114</v>
      </c>
      <c r="BV21" s="229">
        <f t="shared" si="323"/>
        <v>1.5216182611770874</v>
      </c>
      <c r="BW21" s="229">
        <f t="shared" si="323"/>
        <v>1.5310404962638819</v>
      </c>
      <c r="BX21" s="229">
        <f t="shared" si="323"/>
        <v>1.540521076151272</v>
      </c>
      <c r="BY21" s="229">
        <f t="shared" si="323"/>
        <v>1.5500603621246347</v>
      </c>
      <c r="BZ21" s="229">
        <f t="shared" si="323"/>
        <v>1.5596587177065151</v>
      </c>
      <c r="CA21" s="229">
        <f t="shared" si="323"/>
        <v>1.5693165086704794</v>
      </c>
      <c r="CB21" s="229">
        <f t="shared" si="323"/>
        <v>1.5790341030550543</v>
      </c>
      <c r="CC21" s="229">
        <f t="shared" si="323"/>
        <v>1.588811871177751</v>
      </c>
      <c r="CD21" s="229">
        <f t="shared" si="323"/>
        <v>1.5986501856491784</v>
      </c>
      <c r="CE21" s="229">
        <f t="shared" si="323"/>
        <v>1.608549421387242</v>
      </c>
      <c r="CF21" s="229">
        <f t="shared" si="323"/>
        <v>1.6185099556314313</v>
      </c>
      <c r="CG21" s="229">
        <f t="shared" si="323"/>
        <v>1.6285321679571954</v>
      </c>
      <c r="CH21" s="229">
        <f t="shared" si="323"/>
        <v>1.6386164402904084</v>
      </c>
      <c r="CI21" s="229">
        <f t="shared" si="323"/>
        <v>1.6487631569219237</v>
      </c>
      <c r="CJ21" s="229">
        <f t="shared" si="323"/>
        <v>1.6589727045222176</v>
      </c>
      <c r="CK21" s="229">
        <f t="shared" si="323"/>
        <v>1.6692454721561258</v>
      </c>
      <c r="CL21" s="229">
        <f t="shared" si="323"/>
        <v>1.6795818512976692</v>
      </c>
      <c r="CM21" s="229">
        <f t="shared" si="323"/>
        <v>1.6899822358449723</v>
      </c>
      <c r="CN21" s="229">
        <f t="shared" si="323"/>
        <v>1.7004470221352737</v>
      </c>
      <c r="CO21" s="229">
        <f t="shared" si="323"/>
        <v>1.7109766089600296</v>
      </c>
      <c r="CP21" s="229">
        <f t="shared" si="323"/>
        <v>1.7215713975801117</v>
      </c>
      <c r="CQ21" s="229">
        <f t="shared" si="323"/>
        <v>1.7322317917410972</v>
      </c>
      <c r="CR21" s="229">
        <f t="shared" si="323"/>
        <v>1.7429581976886561</v>
      </c>
      <c r="CS21" s="229">
        <f t="shared" si="323"/>
        <v>1.7537510241840311</v>
      </c>
      <c r="CT21" s="229">
        <f t="shared" si="323"/>
        <v>1.7646106825196151</v>
      </c>
      <c r="CU21" s="243">
        <f t="shared" si="323"/>
        <v>1.7755375865346252</v>
      </c>
      <c r="CV21" s="229">
        <f t="shared" si="323"/>
        <v>1.7865321526308731</v>
      </c>
      <c r="CW21" s="229">
        <f t="shared" si="323"/>
        <v>1.7975947997886323</v>
      </c>
      <c r="CX21" s="229">
        <f t="shared" si="323"/>
        <v>1.808725949582606</v>
      </c>
      <c r="CY21" s="229">
        <f t="shared" ref="CY21:ED21" si="324">((1+CPI_Escalation)^(1/Quarters_in_Year))*CX21</f>
        <v>1.8199260261979915</v>
      </c>
      <c r="CZ21" s="229">
        <f t="shared" si="324"/>
        <v>1.8311954564466455</v>
      </c>
      <c r="DA21" s="229">
        <f t="shared" si="324"/>
        <v>1.8425346697833487</v>
      </c>
      <c r="DB21" s="229">
        <f t="shared" si="324"/>
        <v>1.8539440983221718</v>
      </c>
      <c r="DC21" s="229">
        <f t="shared" si="324"/>
        <v>1.865424176852942</v>
      </c>
      <c r="DD21" s="229">
        <f t="shared" si="324"/>
        <v>1.8769753428578124</v>
      </c>
      <c r="DE21" s="229">
        <f t="shared" si="324"/>
        <v>1.8885980365279333</v>
      </c>
      <c r="DF21" s="229">
        <f t="shared" si="324"/>
        <v>1.9002927007802271</v>
      </c>
      <c r="DG21" s="229">
        <f t="shared" si="324"/>
        <v>1.9120597812742666</v>
      </c>
      <c r="DH21" s="229">
        <f t="shared" si="324"/>
        <v>1.9238997264292588</v>
      </c>
      <c r="DI21" s="229">
        <f t="shared" si="324"/>
        <v>1.9358129874411327</v>
      </c>
      <c r="DJ21" s="229">
        <f t="shared" si="324"/>
        <v>1.9478000182997337</v>
      </c>
      <c r="DK21" s="229">
        <f t="shared" si="324"/>
        <v>1.9598612758061242</v>
      </c>
      <c r="DL21" s="229">
        <f t="shared" si="324"/>
        <v>1.9719972195899911</v>
      </c>
      <c r="DM21" s="229">
        <f t="shared" si="324"/>
        <v>1.9842083121271619</v>
      </c>
      <c r="DN21" s="229">
        <f t="shared" si="324"/>
        <v>1.9964950187572279</v>
      </c>
      <c r="DO21" s="229">
        <f t="shared" si="324"/>
        <v>2.0088578077012782</v>
      </c>
      <c r="DP21" s="229">
        <f t="shared" si="324"/>
        <v>2.0212971500797416</v>
      </c>
      <c r="DQ21" s="229">
        <f t="shared" si="324"/>
        <v>2.0338135199303418</v>
      </c>
      <c r="DR21" s="229">
        <f t="shared" si="324"/>
        <v>2.0464073942261596</v>
      </c>
      <c r="DS21" s="229">
        <f t="shared" si="324"/>
        <v>2.0590792528938109</v>
      </c>
      <c r="DT21" s="229">
        <f t="shared" si="324"/>
        <v>2.071829578831736</v>
      </c>
      <c r="DU21" s="229">
        <f t="shared" si="324"/>
        <v>2.0846588579286012</v>
      </c>
      <c r="DV21" s="229">
        <f t="shared" si="324"/>
        <v>2.0975675790818142</v>
      </c>
      <c r="DW21" s="229">
        <f t="shared" si="324"/>
        <v>2.110556234216157</v>
      </c>
      <c r="DX21" s="229">
        <f t="shared" si="324"/>
        <v>2.1236253183025302</v>
      </c>
      <c r="DY21" s="229">
        <f t="shared" si="324"/>
        <v>2.136775329376817</v>
      </c>
      <c r="DZ21" s="229">
        <f t="shared" si="324"/>
        <v>2.1500067685588604</v>
      </c>
      <c r="EA21" s="229">
        <f t="shared" si="324"/>
        <v>2.1633201400715616</v>
      </c>
      <c r="EB21" s="229">
        <f t="shared" si="324"/>
        <v>2.1767159512600944</v>
      </c>
      <c r="EC21" s="229">
        <f t="shared" si="324"/>
        <v>2.190194712611238</v>
      </c>
      <c r="ED21" s="229">
        <f t="shared" si="324"/>
        <v>2.2037569377728325</v>
      </c>
      <c r="EE21" s="229">
        <f t="shared" ref="EE21:FA21" si="325">((1+CPI_Escalation)^(1/Quarters_in_Year))*ED21</f>
        <v>2.2174031435733514</v>
      </c>
      <c r="EF21" s="229">
        <f t="shared" si="325"/>
        <v>2.2311338500415974</v>
      </c>
      <c r="EG21" s="229">
        <f t="shared" si="325"/>
        <v>2.2449495804265198</v>
      </c>
      <c r="EH21" s="229">
        <f t="shared" si="325"/>
        <v>2.2588508612171543</v>
      </c>
      <c r="EI21" s="229">
        <f t="shared" si="325"/>
        <v>2.2728382221626862</v>
      </c>
      <c r="EJ21" s="229">
        <f t="shared" si="325"/>
        <v>2.2869121962926382</v>
      </c>
      <c r="EK21" s="229">
        <f t="shared" si="325"/>
        <v>2.3010733199371836</v>
      </c>
      <c r="EL21" s="229">
        <f t="shared" si="325"/>
        <v>2.3153221327475837</v>
      </c>
      <c r="EM21" s="229">
        <f t="shared" si="325"/>
        <v>2.3296591777167537</v>
      </c>
      <c r="EN21" s="229">
        <f t="shared" si="325"/>
        <v>2.3440850011999546</v>
      </c>
      <c r="EO21" s="229">
        <f t="shared" si="325"/>
        <v>2.3586001529356135</v>
      </c>
      <c r="EP21" s="229">
        <f t="shared" si="325"/>
        <v>2.373205186066274</v>
      </c>
      <c r="EQ21" s="229">
        <f t="shared" si="325"/>
        <v>2.3879006571596735</v>
      </c>
      <c r="ER21" s="229">
        <f t="shared" si="325"/>
        <v>2.4026871262299543</v>
      </c>
      <c r="ES21" s="229">
        <f t="shared" si="325"/>
        <v>2.4175651567590046</v>
      </c>
      <c r="ET21" s="229">
        <f t="shared" si="325"/>
        <v>2.4325353157179315</v>
      </c>
      <c r="EU21" s="229">
        <f t="shared" si="325"/>
        <v>2.4475981735886658</v>
      </c>
      <c r="EV21" s="229">
        <f t="shared" si="325"/>
        <v>2.4627543043857036</v>
      </c>
      <c r="EW21" s="229">
        <f t="shared" si="325"/>
        <v>2.4780042856779803</v>
      </c>
      <c r="EX21" s="229">
        <f t="shared" si="325"/>
        <v>2.4933486986108804</v>
      </c>
      <c r="EY21" s="229">
        <f t="shared" si="325"/>
        <v>2.508788127928383</v>
      </c>
      <c r="EZ21" s="229">
        <f t="shared" si="325"/>
        <v>2.5243231619953468</v>
      </c>
      <c r="FA21" s="229">
        <f t="shared" si="325"/>
        <v>2.5399543928199306</v>
      </c>
    </row>
    <row r="22" spans="2:157" outlineLevel="1" x14ac:dyDescent="0.2">
      <c r="B22" s="1"/>
      <c r="C22" s="12" t="s">
        <v>306</v>
      </c>
      <c r="D22" s="21" t="s">
        <v>16</v>
      </c>
      <c r="E22" s="5"/>
      <c r="F22" s="228">
        <v>1</v>
      </c>
      <c r="G22" s="229">
        <f t="shared" ref="G22:AL22" si="326">((1+RPI_Escalation)^(1/Quarters_in_Year))*F22</f>
        <v>1.0070500932437361</v>
      </c>
      <c r="H22" s="229">
        <f t="shared" si="326"/>
        <v>1.0141498903022175</v>
      </c>
      <c r="I22" s="229">
        <f t="shared" si="326"/>
        <v>1.0212997415919729</v>
      </c>
      <c r="J22" s="229">
        <f t="shared" si="326"/>
        <v>1.0284999999999997</v>
      </c>
      <c r="K22" s="229">
        <f t="shared" si="326"/>
        <v>1.0357510209011822</v>
      </c>
      <c r="L22" s="229">
        <f t="shared" si="326"/>
        <v>1.0430531621758303</v>
      </c>
      <c r="M22" s="229">
        <f t="shared" si="326"/>
        <v>1.0504067842273437</v>
      </c>
      <c r="N22" s="229">
        <f t="shared" si="326"/>
        <v>1.0578122499999993</v>
      </c>
      <c r="O22" s="229">
        <f t="shared" si="326"/>
        <v>1.0652699249968656</v>
      </c>
      <c r="P22" s="229">
        <f t="shared" si="326"/>
        <v>1.0727801772978411</v>
      </c>
      <c r="Q22" s="229">
        <f t="shared" si="326"/>
        <v>1.0803433775778226</v>
      </c>
      <c r="R22" s="229">
        <f t="shared" si="326"/>
        <v>1.087959899124999</v>
      </c>
      <c r="S22" s="229">
        <f t="shared" si="326"/>
        <v>1.095630117859276</v>
      </c>
      <c r="T22" s="229">
        <f t="shared" si="326"/>
        <v>1.1033544123508294</v>
      </c>
      <c r="U22" s="229">
        <f t="shared" si="326"/>
        <v>1.1111331638387905</v>
      </c>
      <c r="V22" s="229">
        <f t="shared" si="326"/>
        <v>1.1189667562500614</v>
      </c>
      <c r="W22" s="229">
        <f t="shared" si="326"/>
        <v>1.1268555762182653</v>
      </c>
      <c r="X22" s="229">
        <f t="shared" si="326"/>
        <v>1.134800013102828</v>
      </c>
      <c r="Y22" s="229">
        <f t="shared" si="326"/>
        <v>1.1428004590081957</v>
      </c>
      <c r="Z22" s="229">
        <f t="shared" si="326"/>
        <v>1.1508573088031879</v>
      </c>
      <c r="AA22" s="229">
        <f t="shared" si="326"/>
        <v>1.1589709601404856</v>
      </c>
      <c r="AB22" s="229">
        <f t="shared" si="326"/>
        <v>1.1671418134762583</v>
      </c>
      <c r="AC22" s="229">
        <f t="shared" si="326"/>
        <v>1.1753702720899291</v>
      </c>
      <c r="AD22" s="229">
        <f t="shared" si="326"/>
        <v>1.1836567421040785</v>
      </c>
      <c r="AE22" s="229">
        <f t="shared" si="326"/>
        <v>1.1920016325044891</v>
      </c>
      <c r="AF22" s="229">
        <f t="shared" si="326"/>
        <v>1.2004053551603313</v>
      </c>
      <c r="AG22" s="229">
        <f t="shared" si="326"/>
        <v>1.2088683248444918</v>
      </c>
      <c r="AH22" s="229">
        <f t="shared" si="326"/>
        <v>1.2173909592540444</v>
      </c>
      <c r="AI22" s="229">
        <f t="shared" si="326"/>
        <v>1.2259736790308666</v>
      </c>
      <c r="AJ22" s="229">
        <f t="shared" si="326"/>
        <v>1.2346169077824003</v>
      </c>
      <c r="AK22" s="229">
        <f t="shared" si="326"/>
        <v>1.2433210721025594</v>
      </c>
      <c r="AL22" s="229">
        <f t="shared" si="326"/>
        <v>1.2520866015927843</v>
      </c>
      <c r="AM22" s="229">
        <f t="shared" ref="AM22:BR22" si="327">((1+RPI_Escalation)^(1/Quarters_in_Year))*AL22</f>
        <v>1.260913928883246</v>
      </c>
      <c r="AN22" s="229">
        <f t="shared" si="327"/>
        <v>1.2698034896541985</v>
      </c>
      <c r="AO22" s="229">
        <f t="shared" si="327"/>
        <v>1.2787557226574822</v>
      </c>
      <c r="AP22" s="229">
        <f t="shared" si="327"/>
        <v>1.2877710697381786</v>
      </c>
      <c r="AQ22" s="229">
        <f t="shared" si="327"/>
        <v>1.2968499758564185</v>
      </c>
      <c r="AR22" s="229">
        <f t="shared" si="327"/>
        <v>1.3059928891093431</v>
      </c>
      <c r="AS22" s="229">
        <f t="shared" si="327"/>
        <v>1.3152002607532203</v>
      </c>
      <c r="AT22" s="229">
        <f t="shared" si="327"/>
        <v>1.3244725452257164</v>
      </c>
      <c r="AU22" s="229">
        <f t="shared" si="327"/>
        <v>1.3338102001683261</v>
      </c>
      <c r="AV22" s="229">
        <f t="shared" si="327"/>
        <v>1.343213686448959</v>
      </c>
      <c r="AW22" s="229">
        <f t="shared" si="327"/>
        <v>1.3526834681846867</v>
      </c>
      <c r="AX22" s="229">
        <f t="shared" si="327"/>
        <v>1.3622200127646489</v>
      </c>
      <c r="AY22" s="229">
        <f t="shared" si="327"/>
        <v>1.371823790873123</v>
      </c>
      <c r="AZ22" s="229">
        <f t="shared" si="327"/>
        <v>1.3814952765127539</v>
      </c>
      <c r="BA22" s="229">
        <f t="shared" si="327"/>
        <v>1.3912349470279497</v>
      </c>
      <c r="BB22" s="229">
        <f t="shared" si="327"/>
        <v>1.401043283128441</v>
      </c>
      <c r="BC22" s="229">
        <f t="shared" si="327"/>
        <v>1.4109207689130066</v>
      </c>
      <c r="BD22" s="229">
        <f t="shared" si="327"/>
        <v>1.420867891893367</v>
      </c>
      <c r="BE22" s="229">
        <f t="shared" si="327"/>
        <v>1.4308851430182459</v>
      </c>
      <c r="BF22" s="229">
        <f t="shared" si="327"/>
        <v>1.4409730166976011</v>
      </c>
      <c r="BG22" s="229">
        <f t="shared" si="327"/>
        <v>1.4511320108270269</v>
      </c>
      <c r="BH22" s="229">
        <f t="shared" si="327"/>
        <v>1.4613626268123276</v>
      </c>
      <c r="BI22" s="229">
        <f t="shared" si="327"/>
        <v>1.4716653695942656</v>
      </c>
      <c r="BJ22" s="229">
        <f t="shared" si="327"/>
        <v>1.4820407476734825</v>
      </c>
      <c r="BK22" s="229">
        <f t="shared" si="327"/>
        <v>1.4924892731355968</v>
      </c>
      <c r="BL22" s="229">
        <f t="shared" si="327"/>
        <v>1.5030114616764785</v>
      </c>
      <c r="BM22" s="229">
        <f t="shared" si="327"/>
        <v>1.5136078326277016</v>
      </c>
      <c r="BN22" s="229">
        <f t="shared" si="327"/>
        <v>1.5242789089821762</v>
      </c>
      <c r="BO22" s="229">
        <f t="shared" si="327"/>
        <v>1.5350252174199608</v>
      </c>
      <c r="BP22" s="229">
        <f t="shared" si="327"/>
        <v>1.5458472883342578</v>
      </c>
      <c r="BQ22" s="229">
        <f t="shared" si="327"/>
        <v>1.5567456558575909</v>
      </c>
      <c r="BR22" s="229">
        <f t="shared" si="327"/>
        <v>1.5677208578881681</v>
      </c>
      <c r="BS22" s="229">
        <f t="shared" ref="BS22:CX22" si="328">((1+RPI_Escalation)^(1/Quarters_in_Year))*BR22</f>
        <v>1.5787734361164296</v>
      </c>
      <c r="BT22" s="229">
        <f t="shared" si="328"/>
        <v>1.5899039360517839</v>
      </c>
      <c r="BU22" s="229">
        <f t="shared" si="328"/>
        <v>1.601112907049532</v>
      </c>
      <c r="BV22" s="229">
        <f t="shared" si="328"/>
        <v>1.6124009023379806</v>
      </c>
      <c r="BW22" s="229">
        <f t="shared" si="328"/>
        <v>1.6237684790457476</v>
      </c>
      <c r="BX22" s="229">
        <f t="shared" si="328"/>
        <v>1.6352161982292597</v>
      </c>
      <c r="BY22" s="229">
        <f t="shared" si="328"/>
        <v>1.6467446249004436</v>
      </c>
      <c r="BZ22" s="229">
        <f t="shared" si="328"/>
        <v>1.6583543280546129</v>
      </c>
      <c r="CA22" s="229">
        <f t="shared" si="328"/>
        <v>1.6700458806985512</v>
      </c>
      <c r="CB22" s="229">
        <f t="shared" si="328"/>
        <v>1.6818198598787932</v>
      </c>
      <c r="CC22" s="229">
        <f t="shared" si="328"/>
        <v>1.6936768467101058</v>
      </c>
      <c r="CD22" s="229">
        <f t="shared" si="328"/>
        <v>1.7056174264041688</v>
      </c>
      <c r="CE22" s="229">
        <f t="shared" si="328"/>
        <v>1.7176421882984594</v>
      </c>
      <c r="CF22" s="229">
        <f t="shared" si="328"/>
        <v>1.7297517258853383</v>
      </c>
      <c r="CG22" s="229">
        <f t="shared" si="328"/>
        <v>1.7419466368413434</v>
      </c>
      <c r="CH22" s="229">
        <f t="shared" si="328"/>
        <v>1.7542275230566873</v>
      </c>
      <c r="CI22" s="229">
        <f t="shared" si="328"/>
        <v>1.7665949906649652</v>
      </c>
      <c r="CJ22" s="229">
        <f t="shared" si="328"/>
        <v>1.7790496500730701</v>
      </c>
      <c r="CK22" s="229">
        <f t="shared" si="328"/>
        <v>1.7915921159913213</v>
      </c>
      <c r="CL22" s="229">
        <f t="shared" si="328"/>
        <v>1.8042230074638026</v>
      </c>
      <c r="CM22" s="229">
        <f t="shared" si="328"/>
        <v>1.8169429478989163</v>
      </c>
      <c r="CN22" s="229">
        <f t="shared" si="328"/>
        <v>1.8297525651001523</v>
      </c>
      <c r="CO22" s="229">
        <f t="shared" si="328"/>
        <v>1.8426524912970736</v>
      </c>
      <c r="CP22" s="229">
        <f t="shared" si="328"/>
        <v>1.8556433631765206</v>
      </c>
      <c r="CQ22" s="229">
        <f t="shared" si="328"/>
        <v>1.868725821914035</v>
      </c>
      <c r="CR22" s="229">
        <f t="shared" si="328"/>
        <v>1.8819005132055062</v>
      </c>
      <c r="CS22" s="229">
        <f t="shared" si="328"/>
        <v>1.8951680872990397</v>
      </c>
      <c r="CT22" s="229">
        <f t="shared" si="328"/>
        <v>1.908529199027051</v>
      </c>
      <c r="CU22" s="243">
        <f t="shared" si="328"/>
        <v>1.9219845078385847</v>
      </c>
      <c r="CV22" s="229">
        <f t="shared" si="328"/>
        <v>1.9355346778318629</v>
      </c>
      <c r="CW22" s="229">
        <f t="shared" si="328"/>
        <v>1.9491803777870622</v>
      </c>
      <c r="CX22" s="229">
        <f t="shared" si="328"/>
        <v>1.9629222811993217</v>
      </c>
      <c r="CY22" s="229">
        <f t="shared" ref="CY22:ED22" si="329">((1+RPI_Escalation)^(1/Quarters_in_Year))*CX22</f>
        <v>1.9767610663119839</v>
      </c>
      <c r="CZ22" s="229">
        <f t="shared" si="329"/>
        <v>1.9906974161500706</v>
      </c>
      <c r="DA22" s="229">
        <f t="shared" si="329"/>
        <v>2.0047320185539932</v>
      </c>
      <c r="DB22" s="229">
        <f t="shared" si="329"/>
        <v>2.0188655662135022</v>
      </c>
      <c r="DC22" s="229">
        <f t="shared" si="329"/>
        <v>2.0330987567018752</v>
      </c>
      <c r="DD22" s="229">
        <f t="shared" si="329"/>
        <v>2.0474322925103472</v>
      </c>
      <c r="DE22" s="229">
        <f t="shared" si="329"/>
        <v>2.0618668810827816</v>
      </c>
      <c r="DF22" s="229">
        <f t="shared" si="329"/>
        <v>2.0764032348505865</v>
      </c>
      <c r="DG22" s="229">
        <f t="shared" si="329"/>
        <v>2.0910420712678786</v>
      </c>
      <c r="DH22" s="229">
        <f t="shared" si="329"/>
        <v>2.1057841128468922</v>
      </c>
      <c r="DI22" s="229">
        <f t="shared" si="329"/>
        <v>2.120630087193641</v>
      </c>
      <c r="DJ22" s="229">
        <f t="shared" si="329"/>
        <v>2.1355807270438283</v>
      </c>
      <c r="DK22" s="229">
        <f t="shared" si="329"/>
        <v>2.150636770299013</v>
      </c>
      <c r="DL22" s="229">
        <f t="shared" si="329"/>
        <v>2.1657989600630283</v>
      </c>
      <c r="DM22" s="229">
        <f t="shared" si="329"/>
        <v>2.1810680446786592</v>
      </c>
      <c r="DN22" s="229">
        <f t="shared" si="329"/>
        <v>2.1964447777645768</v>
      </c>
      <c r="DO22" s="229">
        <f t="shared" si="329"/>
        <v>2.211929918252534</v>
      </c>
      <c r="DP22" s="229">
        <f t="shared" si="329"/>
        <v>2.2275242304248239</v>
      </c>
      <c r="DQ22" s="229">
        <f t="shared" si="329"/>
        <v>2.2432284839520005</v>
      </c>
      <c r="DR22" s="229">
        <f t="shared" si="329"/>
        <v>2.2590434539308668</v>
      </c>
      <c r="DS22" s="229">
        <f t="shared" si="329"/>
        <v>2.274969920922731</v>
      </c>
      <c r="DT22" s="229">
        <f t="shared" si="329"/>
        <v>2.2910086709919311</v>
      </c>
      <c r="DU22" s="229">
        <f t="shared" si="329"/>
        <v>2.3071604957446321</v>
      </c>
      <c r="DV22" s="229">
        <f t="shared" si="329"/>
        <v>2.3234261923678963</v>
      </c>
      <c r="DW22" s="229">
        <f t="shared" si="329"/>
        <v>2.3398065636690286</v>
      </c>
      <c r="DX22" s="229">
        <f t="shared" si="329"/>
        <v>2.356302418115201</v>
      </c>
      <c r="DY22" s="229">
        <f t="shared" si="329"/>
        <v>2.372914569873354</v>
      </c>
      <c r="DZ22" s="229">
        <f t="shared" si="329"/>
        <v>2.3896438388503811</v>
      </c>
      <c r="EA22" s="229">
        <f t="shared" si="329"/>
        <v>2.4064910507335959</v>
      </c>
      <c r="EB22" s="229">
        <f t="shared" si="329"/>
        <v>2.4234570370314841</v>
      </c>
      <c r="EC22" s="229">
        <f t="shared" si="329"/>
        <v>2.4405426351147446</v>
      </c>
      <c r="ED22" s="229">
        <f t="shared" si="329"/>
        <v>2.4577486882576167</v>
      </c>
      <c r="EE22" s="229">
        <f t="shared" ref="EE22:FA22" si="330">((1+RPI_Escalation)^(1/Quarters_in_Year))*ED22</f>
        <v>2.4750760456795029</v>
      </c>
      <c r="EF22" s="229">
        <f t="shared" si="330"/>
        <v>2.4925255625868807</v>
      </c>
      <c r="EG22" s="229">
        <f t="shared" si="330"/>
        <v>2.5100981002155138</v>
      </c>
      <c r="EH22" s="229">
        <f t="shared" si="330"/>
        <v>2.5277945258729582</v>
      </c>
      <c r="EI22" s="229">
        <f t="shared" si="330"/>
        <v>2.5456157129813679</v>
      </c>
      <c r="EJ22" s="229">
        <f t="shared" si="330"/>
        <v>2.5635625411206062</v>
      </c>
      <c r="EK22" s="229">
        <f t="shared" si="330"/>
        <v>2.5816358960716554</v>
      </c>
      <c r="EL22" s="229">
        <f t="shared" si="330"/>
        <v>2.5998366698603368</v>
      </c>
      <c r="EM22" s="229">
        <f t="shared" si="330"/>
        <v>2.6181657608013365</v>
      </c>
      <c r="EN22" s="229">
        <f t="shared" si="330"/>
        <v>2.636624073542543</v>
      </c>
      <c r="EO22" s="229">
        <f t="shared" si="330"/>
        <v>2.6552125191096971</v>
      </c>
      <c r="EP22" s="229">
        <f t="shared" si="330"/>
        <v>2.6739320149513559</v>
      </c>
      <c r="EQ22" s="229">
        <f t="shared" si="330"/>
        <v>2.6927834849841741</v>
      </c>
      <c r="ER22" s="229">
        <f t="shared" si="330"/>
        <v>2.7117678596385049</v>
      </c>
      <c r="ES22" s="229">
        <f t="shared" si="330"/>
        <v>2.7308860759043228</v>
      </c>
      <c r="ET22" s="229">
        <f t="shared" si="330"/>
        <v>2.7501390773774688</v>
      </c>
      <c r="EU22" s="229">
        <f t="shared" si="330"/>
        <v>2.7695278143062221</v>
      </c>
      <c r="EV22" s="229">
        <f t="shared" si="330"/>
        <v>2.7890532436382016</v>
      </c>
      <c r="EW22" s="229">
        <f t="shared" si="330"/>
        <v>2.8087163290675954</v>
      </c>
      <c r="EX22" s="229">
        <f t="shared" si="330"/>
        <v>2.828518041082726</v>
      </c>
      <c r="EY22" s="229">
        <f t="shared" si="330"/>
        <v>2.8484593570139487</v>
      </c>
      <c r="EZ22" s="229">
        <f t="shared" si="330"/>
        <v>2.8685412610818894</v>
      </c>
      <c r="FA22" s="229">
        <f t="shared" si="330"/>
        <v>2.8887647444460209</v>
      </c>
    </row>
    <row r="23" spans="2:157" outlineLevel="1" x14ac:dyDescent="0.2">
      <c r="B23" s="1"/>
      <c r="C23" s="12" t="s">
        <v>307</v>
      </c>
      <c r="D23" s="21" t="s">
        <v>16</v>
      </c>
      <c r="E23" s="5"/>
      <c r="F23" s="69"/>
      <c r="G23" s="219">
        <f>IF(AND(G17=1,G16=103),((1-Degradation_Factor)^(1/4))*F23,100%)</f>
        <v>1</v>
      </c>
      <c r="H23" s="219">
        <f t="shared" ref="H23:AM23" si="331">IF(H5&gt;Op_End_Date,0%,IF(AND(H17=1, H16=103),((1-Degradation_Factor)^(1/4))*G23,100%))</f>
        <v>1</v>
      </c>
      <c r="I23" s="219">
        <f t="shared" si="331"/>
        <v>1</v>
      </c>
      <c r="J23" s="219">
        <f t="shared" si="331"/>
        <v>1</v>
      </c>
      <c r="K23" s="219">
        <f t="shared" si="331"/>
        <v>1</v>
      </c>
      <c r="L23" s="219">
        <f t="shared" si="331"/>
        <v>1</v>
      </c>
      <c r="M23" s="219">
        <f t="shared" si="331"/>
        <v>1</v>
      </c>
      <c r="N23" s="219">
        <f t="shared" si="331"/>
        <v>1</v>
      </c>
      <c r="O23" s="219">
        <f t="shared" si="331"/>
        <v>1</v>
      </c>
      <c r="P23" s="219">
        <f t="shared" si="331"/>
        <v>1</v>
      </c>
      <c r="Q23" s="219">
        <f t="shared" si="331"/>
        <v>1</v>
      </c>
      <c r="R23" s="219">
        <f t="shared" si="331"/>
        <v>1</v>
      </c>
      <c r="S23" s="219">
        <f t="shared" si="331"/>
        <v>0.99949962456189756</v>
      </c>
      <c r="T23" s="219">
        <f t="shared" si="331"/>
        <v>0.99899949949937417</v>
      </c>
      <c r="U23" s="219">
        <f t="shared" si="331"/>
        <v>0.99849962468714804</v>
      </c>
      <c r="V23" s="219">
        <f t="shared" si="331"/>
        <v>0.99800000000000011</v>
      </c>
      <c r="W23" s="219">
        <f t="shared" si="331"/>
        <v>0.99750062531277384</v>
      </c>
      <c r="X23" s="219">
        <f t="shared" si="331"/>
        <v>0.9970015005003755</v>
      </c>
      <c r="Y23" s="219">
        <f t="shared" si="331"/>
        <v>0.99650262543777379</v>
      </c>
      <c r="Z23" s="219">
        <f t="shared" si="331"/>
        <v>0.99600400000000011</v>
      </c>
      <c r="AA23" s="219">
        <f t="shared" si="331"/>
        <v>0.99550562406214838</v>
      </c>
      <c r="AB23" s="219">
        <f t="shared" si="331"/>
        <v>0.99500749749937478</v>
      </c>
      <c r="AC23" s="219">
        <f t="shared" si="331"/>
        <v>0.99450962018689837</v>
      </c>
      <c r="AD23" s="219">
        <f t="shared" si="331"/>
        <v>0.99401199200000023</v>
      </c>
      <c r="AE23" s="219">
        <f t="shared" si="331"/>
        <v>0.9935146128140242</v>
      </c>
      <c r="AF23" s="219">
        <f t="shared" si="331"/>
        <v>0.99301748250437616</v>
      </c>
      <c r="AG23" s="219">
        <f t="shared" si="331"/>
        <v>0.99252060094652461</v>
      </c>
      <c r="AH23" s="219">
        <f t="shared" si="331"/>
        <v>0.99202396801600035</v>
      </c>
      <c r="AI23" s="219">
        <f t="shared" si="331"/>
        <v>0.99152758358839621</v>
      </c>
      <c r="AJ23" s="219">
        <f t="shared" si="331"/>
        <v>0.99103144753936756</v>
      </c>
      <c r="AK23" s="219">
        <f t="shared" si="331"/>
        <v>0.9905355597446317</v>
      </c>
      <c r="AL23" s="219">
        <f t="shared" si="331"/>
        <v>0.99003992007996844</v>
      </c>
      <c r="AM23" s="219">
        <f t="shared" si="331"/>
        <v>0.98954452842121954</v>
      </c>
      <c r="AN23" s="219">
        <f t="shared" ref="AN23:BS23" si="332">IF(AN5&gt;Op_End_Date,0%,IF(AND(AN17=1, AN16=103),((1-Degradation_Factor)^(1/4))*AM23,100%))</f>
        <v>0.98904938464428893</v>
      </c>
      <c r="AO23" s="219">
        <f t="shared" si="332"/>
        <v>0.98855448862514261</v>
      </c>
      <c r="AP23" s="219">
        <f t="shared" si="332"/>
        <v>0.98805984023980864</v>
      </c>
      <c r="AQ23" s="219">
        <f t="shared" si="332"/>
        <v>0.98756543936437724</v>
      </c>
      <c r="AR23" s="219">
        <f t="shared" si="332"/>
        <v>0.98707128587500048</v>
      </c>
      <c r="AS23" s="219">
        <f t="shared" si="332"/>
        <v>0.98657737964789249</v>
      </c>
      <c r="AT23" s="219">
        <f t="shared" si="332"/>
        <v>0.98608372055932925</v>
      </c>
      <c r="AU23" s="219">
        <f t="shared" si="332"/>
        <v>0.98559030848564866</v>
      </c>
      <c r="AV23" s="219">
        <f t="shared" si="332"/>
        <v>0.9850971433032506</v>
      </c>
      <c r="AW23" s="219">
        <f t="shared" si="332"/>
        <v>0.98460422488859678</v>
      </c>
      <c r="AX23" s="219">
        <f t="shared" si="332"/>
        <v>0.98411155311821064</v>
      </c>
      <c r="AY23" s="219">
        <f t="shared" si="332"/>
        <v>0.98361912786867745</v>
      </c>
      <c r="AZ23" s="219">
        <f t="shared" si="332"/>
        <v>0.98312694901664421</v>
      </c>
      <c r="BA23" s="219">
        <f t="shared" si="332"/>
        <v>0.98263501643881968</v>
      </c>
      <c r="BB23" s="219">
        <f t="shared" si="332"/>
        <v>0.98214333001197429</v>
      </c>
      <c r="BC23" s="219">
        <f t="shared" si="332"/>
        <v>0.98165188961294014</v>
      </c>
      <c r="BD23" s="219">
        <f t="shared" si="332"/>
        <v>0.98116069511861093</v>
      </c>
      <c r="BE23" s="219">
        <f t="shared" si="332"/>
        <v>0.98066974640594207</v>
      </c>
      <c r="BF23" s="219">
        <f t="shared" si="332"/>
        <v>0.98017904335195039</v>
      </c>
      <c r="BG23" s="219">
        <f t="shared" si="332"/>
        <v>0.97968858583371432</v>
      </c>
      <c r="BH23" s="219">
        <f t="shared" si="332"/>
        <v>0.97919837372837382</v>
      </c>
      <c r="BI23" s="219">
        <f t="shared" si="332"/>
        <v>0.97870840691313032</v>
      </c>
      <c r="BJ23" s="219">
        <f t="shared" si="332"/>
        <v>0.97821868526524658</v>
      </c>
      <c r="BK23" s="219">
        <f t="shared" si="332"/>
        <v>0.97772920866204693</v>
      </c>
      <c r="BL23" s="219">
        <f t="shared" si="332"/>
        <v>0.97723997698091714</v>
      </c>
      <c r="BM23" s="219">
        <f t="shared" si="332"/>
        <v>0.97675099009930411</v>
      </c>
      <c r="BN23" s="219">
        <f t="shared" si="332"/>
        <v>0.97626224789471616</v>
      </c>
      <c r="BO23" s="219">
        <f t="shared" si="332"/>
        <v>0.97577375024472301</v>
      </c>
      <c r="BP23" s="219">
        <f t="shared" si="332"/>
        <v>0.97528549702695544</v>
      </c>
      <c r="BQ23" s="219">
        <f t="shared" si="332"/>
        <v>0.9747974881191056</v>
      </c>
      <c r="BR23" s="219">
        <f t="shared" si="332"/>
        <v>0.97430972339892685</v>
      </c>
      <c r="BS23" s="219">
        <f t="shared" si="332"/>
        <v>0.9738222027442337</v>
      </c>
      <c r="BT23" s="219">
        <f t="shared" ref="BT23:CY23" si="333">IF(BT5&gt;Op_End_Date,0%,IF(AND(BT17=1, BT16=103),((1-Degradation_Factor)^(1/4))*BS23,100%))</f>
        <v>0.97333492603290173</v>
      </c>
      <c r="BU23" s="219">
        <f t="shared" si="333"/>
        <v>0.97284789314286757</v>
      </c>
      <c r="BV23" s="219">
        <f t="shared" si="333"/>
        <v>0.97236110395212916</v>
      </c>
      <c r="BW23" s="219">
        <f t="shared" si="333"/>
        <v>0.97187455833874536</v>
      </c>
      <c r="BX23" s="219">
        <f t="shared" si="333"/>
        <v>0.97138825618083602</v>
      </c>
      <c r="BY23" s="219">
        <f t="shared" si="333"/>
        <v>0.97090219735658201</v>
      </c>
      <c r="BZ23" s="219">
        <f t="shared" si="333"/>
        <v>0.97041638174422507</v>
      </c>
      <c r="CA23" s="219">
        <f t="shared" si="333"/>
        <v>0.96993080922206798</v>
      </c>
      <c r="CB23" s="219">
        <f t="shared" si="333"/>
        <v>0.96944547966847439</v>
      </c>
      <c r="CC23" s="219">
        <f t="shared" si="333"/>
        <v>0.96896039296186887</v>
      </c>
      <c r="CD23" s="219">
        <f t="shared" si="333"/>
        <v>0.96847554898073662</v>
      </c>
      <c r="CE23" s="219">
        <f t="shared" si="333"/>
        <v>0.96799094760362392</v>
      </c>
      <c r="CF23" s="219">
        <f t="shared" si="333"/>
        <v>0.96750658870913753</v>
      </c>
      <c r="CG23" s="219">
        <f t="shared" si="333"/>
        <v>0.96702247217594517</v>
      </c>
      <c r="CH23" s="219">
        <f t="shared" si="333"/>
        <v>0.96653859788277519</v>
      </c>
      <c r="CI23" s="219">
        <f t="shared" si="333"/>
        <v>0.96605496570841665</v>
      </c>
      <c r="CJ23" s="219">
        <f t="shared" si="333"/>
        <v>0.96557157553171924</v>
      </c>
      <c r="CK23" s="219">
        <f t="shared" si="333"/>
        <v>0.96508842723159327</v>
      </c>
      <c r="CL23" s="219">
        <f t="shared" si="333"/>
        <v>0.96460552068700967</v>
      </c>
      <c r="CM23" s="219">
        <f t="shared" si="333"/>
        <v>0.96412285577699985</v>
      </c>
      <c r="CN23" s="219">
        <f t="shared" si="333"/>
        <v>0.96364043238065589</v>
      </c>
      <c r="CO23" s="219">
        <f t="shared" si="333"/>
        <v>0.96315825037713021</v>
      </c>
      <c r="CP23" s="219">
        <f t="shared" si="333"/>
        <v>0.96267630964563577</v>
      </c>
      <c r="CQ23" s="219">
        <f t="shared" si="333"/>
        <v>0.96219461006544604</v>
      </c>
      <c r="CR23" s="219">
        <f t="shared" si="333"/>
        <v>0.96171315151589476</v>
      </c>
      <c r="CS23" s="219">
        <f t="shared" si="333"/>
        <v>0.96123193387637607</v>
      </c>
      <c r="CT23" s="219">
        <f t="shared" si="333"/>
        <v>0.96075095702634461</v>
      </c>
      <c r="CU23" s="244">
        <f t="shared" si="333"/>
        <v>0.96027022084531521</v>
      </c>
      <c r="CV23" s="219">
        <f t="shared" si="333"/>
        <v>0.95978972521286299</v>
      </c>
      <c r="CW23" s="219">
        <f t="shared" si="333"/>
        <v>0.95930947000862343</v>
      </c>
      <c r="CX23" s="219">
        <f t="shared" si="333"/>
        <v>0.95882945511229201</v>
      </c>
      <c r="CY23" s="219">
        <f t="shared" si="333"/>
        <v>0.95834968040362467</v>
      </c>
      <c r="CZ23" s="219">
        <f t="shared" ref="CZ23:EE23" si="334">IF(CZ5&gt;Op_End_Date,0%,IF(AND(CZ17=1, CZ16=103),((1-Degradation_Factor)^(1/4))*CY23,100%))</f>
        <v>0.95787014576243734</v>
      </c>
      <c r="DA23" s="219">
        <f t="shared" si="334"/>
        <v>0.95739085106860622</v>
      </c>
      <c r="DB23" s="219">
        <f t="shared" si="334"/>
        <v>0.95691179620206746</v>
      </c>
      <c r="DC23" s="219">
        <f t="shared" si="334"/>
        <v>0.95643298104281749</v>
      </c>
      <c r="DD23" s="219">
        <f t="shared" si="334"/>
        <v>0.95595440547091259</v>
      </c>
      <c r="DE23" s="219">
        <f t="shared" si="334"/>
        <v>0.95547606936646912</v>
      </c>
      <c r="DF23" s="219">
        <f t="shared" si="334"/>
        <v>0.95499797260966346</v>
      </c>
      <c r="DG23" s="219">
        <f t="shared" si="334"/>
        <v>0.95452011508073198</v>
      </c>
      <c r="DH23" s="219">
        <f t="shared" si="334"/>
        <v>0.95404249665997087</v>
      </c>
      <c r="DI23" s="219">
        <f t="shared" si="334"/>
        <v>0.95356511722773629</v>
      </c>
      <c r="DJ23" s="219">
        <f t="shared" si="334"/>
        <v>0.95308797666444423</v>
      </c>
      <c r="DK23" s="219">
        <f t="shared" si="334"/>
        <v>0.95261107485057062</v>
      </c>
      <c r="DL23" s="219">
        <f t="shared" si="334"/>
        <v>0.95213441166665103</v>
      </c>
      <c r="DM23" s="219">
        <f t="shared" si="334"/>
        <v>0.95165798699328097</v>
      </c>
      <c r="DN23" s="219">
        <f t="shared" si="334"/>
        <v>0.95118180071111547</v>
      </c>
      <c r="DO23" s="219">
        <f t="shared" si="334"/>
        <v>0.9507058527008696</v>
      </c>
      <c r="DP23" s="219">
        <f t="shared" si="334"/>
        <v>0.95023014284331786</v>
      </c>
      <c r="DQ23" s="219">
        <f t="shared" si="334"/>
        <v>0.94975467101929445</v>
      </c>
      <c r="DR23" s="219">
        <f t="shared" si="334"/>
        <v>0.94927943710969331</v>
      </c>
      <c r="DS23" s="219">
        <f t="shared" si="334"/>
        <v>0.9488044409954679</v>
      </c>
      <c r="DT23" s="219">
        <f t="shared" si="334"/>
        <v>0.94832968255763128</v>
      </c>
      <c r="DU23" s="219">
        <f t="shared" si="334"/>
        <v>0.94785516167725592</v>
      </c>
      <c r="DV23" s="219">
        <f t="shared" si="334"/>
        <v>0.94738087823547401</v>
      </c>
      <c r="DW23" s="219">
        <f t="shared" si="334"/>
        <v>0.94690683211347704</v>
      </c>
      <c r="DX23" s="219">
        <f t="shared" si="334"/>
        <v>0.9464330231925161</v>
      </c>
      <c r="DY23" s="219">
        <f t="shared" si="334"/>
        <v>0.94595945135390158</v>
      </c>
      <c r="DZ23" s="219">
        <f t="shared" si="334"/>
        <v>0.94548611647900327</v>
      </c>
      <c r="EA23" s="219">
        <f t="shared" si="334"/>
        <v>0.94501301844925034</v>
      </c>
      <c r="EB23" s="219">
        <f t="shared" si="334"/>
        <v>0.94454015714613127</v>
      </c>
      <c r="EC23" s="219">
        <f t="shared" si="334"/>
        <v>0.9440675324511939</v>
      </c>
      <c r="ED23" s="219">
        <f t="shared" si="334"/>
        <v>0.94359514424604529</v>
      </c>
      <c r="EE23" s="219">
        <f t="shared" si="334"/>
        <v>0.94312299241235187</v>
      </c>
      <c r="EF23" s="219">
        <f t="shared" ref="EF23:FA23" si="335">IF(EF5&gt;Op_End_Date,0%,IF(AND(EF17=1, EF16=103),((1-Degradation_Factor)^(1/4))*EE23,100%))</f>
        <v>0.94265107683183902</v>
      </c>
      <c r="EG23" s="219">
        <f t="shared" si="335"/>
        <v>0.94217939738629153</v>
      </c>
      <c r="EH23" s="219">
        <f t="shared" si="335"/>
        <v>0.94170795395755325</v>
      </c>
      <c r="EI23" s="219">
        <f t="shared" si="335"/>
        <v>0.94123674642752719</v>
      </c>
      <c r="EJ23" s="219">
        <f t="shared" si="335"/>
        <v>0</v>
      </c>
      <c r="EK23" s="219">
        <f t="shared" si="335"/>
        <v>0</v>
      </c>
      <c r="EL23" s="219">
        <f t="shared" si="335"/>
        <v>0</v>
      </c>
      <c r="EM23" s="219">
        <f t="shared" si="335"/>
        <v>0</v>
      </c>
      <c r="EN23" s="219">
        <f t="shared" si="335"/>
        <v>0</v>
      </c>
      <c r="EO23" s="219">
        <f t="shared" si="335"/>
        <v>0</v>
      </c>
      <c r="EP23" s="219">
        <f t="shared" si="335"/>
        <v>0</v>
      </c>
      <c r="EQ23" s="219">
        <f t="shared" si="335"/>
        <v>0</v>
      </c>
      <c r="ER23" s="219">
        <f t="shared" si="335"/>
        <v>0</v>
      </c>
      <c r="ES23" s="219">
        <f t="shared" si="335"/>
        <v>0</v>
      </c>
      <c r="ET23" s="219">
        <f t="shared" si="335"/>
        <v>0</v>
      </c>
      <c r="EU23" s="219">
        <f t="shared" si="335"/>
        <v>0</v>
      </c>
      <c r="EV23" s="219">
        <f t="shared" si="335"/>
        <v>0</v>
      </c>
      <c r="EW23" s="219">
        <f t="shared" si="335"/>
        <v>0</v>
      </c>
      <c r="EX23" s="219">
        <f t="shared" si="335"/>
        <v>0</v>
      </c>
      <c r="EY23" s="219">
        <f t="shared" si="335"/>
        <v>0</v>
      </c>
      <c r="EZ23" s="219">
        <f t="shared" si="335"/>
        <v>0</v>
      </c>
      <c r="FA23" s="219">
        <f t="shared" si="335"/>
        <v>0</v>
      </c>
    </row>
    <row r="24" spans="2:157" outlineLevel="1" x14ac:dyDescent="0.2">
      <c r="B24" s="1"/>
      <c r="D24" s="21"/>
      <c r="E24" s="5"/>
      <c r="F24" s="21"/>
      <c r="G24" s="69"/>
      <c r="H24" s="82"/>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c r="BM24" s="82"/>
      <c r="BN24" s="82"/>
      <c r="BO24" s="82"/>
      <c r="BP24" s="82"/>
      <c r="BQ24" s="82"/>
      <c r="BR24" s="82"/>
      <c r="BS24" s="82"/>
      <c r="BT24" s="82"/>
      <c r="BU24" s="82"/>
      <c r="BV24" s="82"/>
      <c r="BW24" s="82"/>
      <c r="BX24" s="82"/>
      <c r="BY24" s="82"/>
      <c r="BZ24" s="82"/>
      <c r="CA24" s="82"/>
      <c r="CB24" s="82"/>
      <c r="CC24" s="82"/>
      <c r="CD24" s="82"/>
      <c r="CE24" s="82"/>
      <c r="CF24" s="82"/>
      <c r="CG24" s="82"/>
      <c r="CH24" s="82"/>
      <c r="CI24" s="82"/>
      <c r="CJ24" s="82"/>
      <c r="CK24" s="82"/>
      <c r="CL24" s="82"/>
      <c r="CM24" s="82"/>
      <c r="CN24" s="82"/>
      <c r="CO24" s="82"/>
      <c r="CP24" s="82"/>
      <c r="CQ24" s="82"/>
      <c r="CR24" s="82"/>
      <c r="CS24" s="82"/>
      <c r="CT24" s="82"/>
      <c r="CU24" s="245"/>
      <c r="CV24" s="82"/>
      <c r="CW24" s="82"/>
      <c r="CX24" s="82"/>
      <c r="CY24" s="82"/>
      <c r="CZ24" s="82"/>
      <c r="DA24" s="82"/>
      <c r="DB24" s="82"/>
      <c r="DC24" s="82"/>
      <c r="DD24" s="82"/>
      <c r="DE24" s="82"/>
      <c r="DF24" s="82"/>
      <c r="DG24" s="82"/>
      <c r="DH24" s="82"/>
      <c r="DI24" s="82"/>
      <c r="DJ24" s="82"/>
      <c r="DK24" s="82"/>
    </row>
    <row r="25" spans="2:157" outlineLevel="1" x14ac:dyDescent="0.2">
      <c r="B25" s="1"/>
      <c r="C25" s="27" t="s">
        <v>26</v>
      </c>
      <c r="D25" s="28"/>
      <c r="E25" s="211"/>
      <c r="F25" s="28"/>
      <c r="G25" s="68"/>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46"/>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row>
    <row r="26" spans="2:157" ht="15.5" customHeight="1" outlineLevel="1" x14ac:dyDescent="0.2">
      <c r="B26" s="1"/>
      <c r="C26" s="30" t="s">
        <v>312</v>
      </c>
      <c r="D26" s="22" t="s">
        <v>12</v>
      </c>
      <c r="E26" s="62"/>
      <c r="F26" s="22"/>
      <c r="G26" s="223" cm="1">
        <f t="array" ref="G26">_xlfn.IFS(G9=1,Inputs_Assumptions!$E$53,G9=2,Inputs_Assumptions!$E$54,G9=3,Inputs_Assumptions!$E$55,G9=4,Inputs_Assumptions!$E$56,"TRUE",0)</f>
        <v>0.30207008693114301</v>
      </c>
      <c r="H26" s="223" cm="1">
        <f t="array" ref="H26">_xlfn.IFS(H9=1,Inputs_Assumptions!$E$53,H9=2,Inputs_Assumptions!$E$54,H9=3,Inputs_Assumptions!$E$55,H9=4,Inputs_Assumptions!$E$56,"TRUE",0)</f>
        <v>0.19160291021284578</v>
      </c>
      <c r="I26" s="223" cm="1">
        <f t="array" ref="I26">_xlfn.IFS(I9=1,Inputs_Assumptions!$E$53,I9=2,Inputs_Assumptions!$E$54,I9=3,Inputs_Assumptions!$E$55,I9=4,Inputs_Assumptions!$E$56,"TRUE",0)</f>
        <v>0.19498704024126692</v>
      </c>
      <c r="J26" s="223" cm="1">
        <f t="array" ref="J26">_xlfn.IFS(J9=1,Inputs_Assumptions!$E$53,J9=2,Inputs_Assumptions!$E$54,J9=3,Inputs_Assumptions!$E$55,J9=4,Inputs_Assumptions!$E$56,"TRUE",0)</f>
        <v>0.31133996261474428</v>
      </c>
      <c r="K26" s="223" cm="1">
        <f t="array" ref="K26">_xlfn.IFS(K9=1,Inputs_Assumptions!$E$53,K9=2,Inputs_Assumptions!$E$54,K9=3,Inputs_Assumptions!$E$55,K9=4,Inputs_Assumptions!$E$56,"TRUE",0)</f>
        <v>0.30207008693114301</v>
      </c>
      <c r="L26" s="223" cm="1">
        <f t="array" ref="L26">_xlfn.IFS(L9=1,Inputs_Assumptions!$E$53,L9=2,Inputs_Assumptions!$E$54,L9=3,Inputs_Assumptions!$E$55,L9=4,Inputs_Assumptions!$E$56,"TRUE",0)</f>
        <v>0.19160291021284578</v>
      </c>
      <c r="M26" s="223" cm="1">
        <f t="array" ref="M26">_xlfn.IFS(M9=1,Inputs_Assumptions!$E$53,M9=2,Inputs_Assumptions!$E$54,M9=3,Inputs_Assumptions!$E$55,M9=4,Inputs_Assumptions!$E$56,"TRUE",0)</f>
        <v>0.19498704024126692</v>
      </c>
      <c r="N26" s="223" cm="1">
        <f t="array" ref="N26">_xlfn.IFS(N9=1,Inputs_Assumptions!$E$53,N9=2,Inputs_Assumptions!$E$54,N9=3,Inputs_Assumptions!$E$55,N9=4,Inputs_Assumptions!$E$56,"TRUE",0)</f>
        <v>0.31133996261474428</v>
      </c>
      <c r="O26" s="223" cm="1">
        <f t="array" ref="O26">_xlfn.IFS(O9=1,Inputs_Assumptions!$E$53,O9=2,Inputs_Assumptions!$E$54,O9=3,Inputs_Assumptions!$E$55,O9=4,Inputs_Assumptions!$E$56,"TRUE",0)</f>
        <v>0.30207008693114301</v>
      </c>
      <c r="P26" s="223" cm="1">
        <f t="array" ref="P26">_xlfn.IFS(P9=1,Inputs_Assumptions!$E$53,P9=2,Inputs_Assumptions!$E$54,P9=3,Inputs_Assumptions!$E$55,P9=4,Inputs_Assumptions!$E$56,"TRUE",0)</f>
        <v>0.19160291021284578</v>
      </c>
      <c r="Q26" s="223" cm="1">
        <f t="array" ref="Q26">_xlfn.IFS(Q9=1,Inputs_Assumptions!$E$53,Q9=2,Inputs_Assumptions!$E$54,Q9=3,Inputs_Assumptions!$E$55,Q9=4,Inputs_Assumptions!$E$56,"TRUE",0)</f>
        <v>0.19498704024126692</v>
      </c>
      <c r="R26" s="223" cm="1">
        <f t="array" ref="R26">_xlfn.IFS(R9=1,Inputs_Assumptions!$E$53,R9=2,Inputs_Assumptions!$E$54,R9=3,Inputs_Assumptions!$E$55,R9=4,Inputs_Assumptions!$E$56,"TRUE",0)</f>
        <v>0.31133996261474428</v>
      </c>
      <c r="S26" s="223" cm="1">
        <f t="array" ref="S26">_xlfn.IFS(S9=1,Inputs_Assumptions!$E$53,S9=2,Inputs_Assumptions!$E$54,S9=3,Inputs_Assumptions!$E$55,S9=4,Inputs_Assumptions!$E$56,"TRUE",0)</f>
        <v>0.30207008693114301</v>
      </c>
      <c r="T26" s="223" cm="1">
        <f t="array" ref="T26">_xlfn.IFS(T9=1,Inputs_Assumptions!$E$53,T9=2,Inputs_Assumptions!$E$54,T9=3,Inputs_Assumptions!$E$55,T9=4,Inputs_Assumptions!$E$56,"TRUE",0)</f>
        <v>0.19160291021284578</v>
      </c>
      <c r="U26" s="223" cm="1">
        <f t="array" ref="U26">_xlfn.IFS(U9=1,Inputs_Assumptions!$E$53,U9=2,Inputs_Assumptions!$E$54,U9=3,Inputs_Assumptions!$E$55,U9=4,Inputs_Assumptions!$E$56,"TRUE",0)</f>
        <v>0.19498704024126692</v>
      </c>
      <c r="V26" s="223" cm="1">
        <f t="array" ref="V26">_xlfn.IFS(V9=1,Inputs_Assumptions!$E$53,V9=2,Inputs_Assumptions!$E$54,V9=3,Inputs_Assumptions!$E$55,V9=4,Inputs_Assumptions!$E$56,"TRUE",0)</f>
        <v>0.31133996261474428</v>
      </c>
      <c r="W26" s="223" cm="1">
        <f t="array" ref="W26">_xlfn.IFS(W9=1,Inputs_Assumptions!$E$53,W9=2,Inputs_Assumptions!$E$54,W9=3,Inputs_Assumptions!$E$55,W9=4,Inputs_Assumptions!$E$56,"TRUE",0)</f>
        <v>0.30207008693114301</v>
      </c>
      <c r="X26" s="223" cm="1">
        <f t="array" ref="X26">_xlfn.IFS(X9=1,Inputs_Assumptions!$E$53,X9=2,Inputs_Assumptions!$E$54,X9=3,Inputs_Assumptions!$E$55,X9=4,Inputs_Assumptions!$E$56,"TRUE",0)</f>
        <v>0.19160291021284578</v>
      </c>
      <c r="Y26" s="223" cm="1">
        <f t="array" ref="Y26">_xlfn.IFS(Y9=1,Inputs_Assumptions!$E$53,Y9=2,Inputs_Assumptions!$E$54,Y9=3,Inputs_Assumptions!$E$55,Y9=4,Inputs_Assumptions!$E$56,"TRUE",0)</f>
        <v>0.19498704024126692</v>
      </c>
      <c r="Z26" s="223" cm="1">
        <f t="array" ref="Z26">_xlfn.IFS(Z9=1,Inputs_Assumptions!$E$53,Z9=2,Inputs_Assumptions!$E$54,Z9=3,Inputs_Assumptions!$E$55,Z9=4,Inputs_Assumptions!$E$56,"TRUE",0)</f>
        <v>0.31133996261474428</v>
      </c>
      <c r="AA26" s="223" cm="1">
        <f t="array" ref="AA26">_xlfn.IFS(AA9=1,Inputs_Assumptions!$E$53,AA9=2,Inputs_Assumptions!$E$54,AA9=3,Inputs_Assumptions!$E$55,AA9=4,Inputs_Assumptions!$E$56,"TRUE",0)</f>
        <v>0.30207008693114301</v>
      </c>
      <c r="AB26" s="223" cm="1">
        <f t="array" ref="AB26">_xlfn.IFS(AB9=1,Inputs_Assumptions!$E$53,AB9=2,Inputs_Assumptions!$E$54,AB9=3,Inputs_Assumptions!$E$55,AB9=4,Inputs_Assumptions!$E$56,"TRUE",0)</f>
        <v>0.19160291021284578</v>
      </c>
      <c r="AC26" s="223" cm="1">
        <f t="array" ref="AC26">_xlfn.IFS(AC9=1,Inputs_Assumptions!$E$53,AC9=2,Inputs_Assumptions!$E$54,AC9=3,Inputs_Assumptions!$E$55,AC9=4,Inputs_Assumptions!$E$56,"TRUE",0)</f>
        <v>0.19498704024126692</v>
      </c>
      <c r="AD26" s="223" cm="1">
        <f t="array" ref="AD26">_xlfn.IFS(AD9=1,Inputs_Assumptions!$E$53,AD9=2,Inputs_Assumptions!$E$54,AD9=3,Inputs_Assumptions!$E$55,AD9=4,Inputs_Assumptions!$E$56,"TRUE",0)</f>
        <v>0.31133996261474428</v>
      </c>
      <c r="AE26" s="223" cm="1">
        <f t="array" ref="AE26">_xlfn.IFS(AE9=1,Inputs_Assumptions!$E$53,AE9=2,Inputs_Assumptions!$E$54,AE9=3,Inputs_Assumptions!$E$55,AE9=4,Inputs_Assumptions!$E$56,"TRUE",0)</f>
        <v>0.30207008693114301</v>
      </c>
      <c r="AF26" s="223" cm="1">
        <f t="array" ref="AF26">_xlfn.IFS(AF9=1,Inputs_Assumptions!$E$53,AF9=2,Inputs_Assumptions!$E$54,AF9=3,Inputs_Assumptions!$E$55,AF9=4,Inputs_Assumptions!$E$56,"TRUE",0)</f>
        <v>0.19160291021284578</v>
      </c>
      <c r="AG26" s="223" cm="1">
        <f t="array" ref="AG26">_xlfn.IFS(AG9=1,Inputs_Assumptions!$E$53,AG9=2,Inputs_Assumptions!$E$54,AG9=3,Inputs_Assumptions!$E$55,AG9=4,Inputs_Assumptions!$E$56,"TRUE",0)</f>
        <v>0.19498704024126692</v>
      </c>
      <c r="AH26" s="223" cm="1">
        <f t="array" ref="AH26">_xlfn.IFS(AH9=1,Inputs_Assumptions!$E$53,AH9=2,Inputs_Assumptions!$E$54,AH9=3,Inputs_Assumptions!$E$55,AH9=4,Inputs_Assumptions!$E$56,"TRUE",0)</f>
        <v>0.31133996261474428</v>
      </c>
      <c r="AI26" s="223" cm="1">
        <f t="array" ref="AI26">_xlfn.IFS(AI9=1,Inputs_Assumptions!$E$53,AI9=2,Inputs_Assumptions!$E$54,AI9=3,Inputs_Assumptions!$E$55,AI9=4,Inputs_Assumptions!$E$56,"TRUE",0)</f>
        <v>0.30207008693114301</v>
      </c>
      <c r="AJ26" s="223" cm="1">
        <f t="array" ref="AJ26">_xlfn.IFS(AJ9=1,Inputs_Assumptions!$E$53,AJ9=2,Inputs_Assumptions!$E$54,AJ9=3,Inputs_Assumptions!$E$55,AJ9=4,Inputs_Assumptions!$E$56,"TRUE",0)</f>
        <v>0.19160291021284578</v>
      </c>
      <c r="AK26" s="223" cm="1">
        <f t="array" ref="AK26">_xlfn.IFS(AK9=1,Inputs_Assumptions!$E$53,AK9=2,Inputs_Assumptions!$E$54,AK9=3,Inputs_Assumptions!$E$55,AK9=4,Inputs_Assumptions!$E$56,"TRUE",0)</f>
        <v>0.19498704024126692</v>
      </c>
      <c r="AL26" s="223" cm="1">
        <f t="array" ref="AL26">_xlfn.IFS(AL9=1,Inputs_Assumptions!$E$53,AL9=2,Inputs_Assumptions!$E$54,AL9=3,Inputs_Assumptions!$E$55,AL9=4,Inputs_Assumptions!$E$56,"TRUE",0)</f>
        <v>0.31133996261474428</v>
      </c>
      <c r="AM26" s="223" cm="1">
        <f t="array" ref="AM26">_xlfn.IFS(AM9=1,Inputs_Assumptions!$E$53,AM9=2,Inputs_Assumptions!$E$54,AM9=3,Inputs_Assumptions!$E$55,AM9=4,Inputs_Assumptions!$E$56,"TRUE",0)</f>
        <v>0.30207008693114301</v>
      </c>
      <c r="AN26" s="223" cm="1">
        <f t="array" ref="AN26">_xlfn.IFS(AN9=1,Inputs_Assumptions!$E$53,AN9=2,Inputs_Assumptions!$E$54,AN9=3,Inputs_Assumptions!$E$55,AN9=4,Inputs_Assumptions!$E$56,"TRUE",0)</f>
        <v>0.19160291021284578</v>
      </c>
      <c r="AO26" s="223" cm="1">
        <f t="array" ref="AO26">_xlfn.IFS(AO9=1,Inputs_Assumptions!$E$53,AO9=2,Inputs_Assumptions!$E$54,AO9=3,Inputs_Assumptions!$E$55,AO9=4,Inputs_Assumptions!$E$56,"TRUE",0)</f>
        <v>0.19498704024126692</v>
      </c>
      <c r="AP26" s="223" cm="1">
        <f t="array" ref="AP26">_xlfn.IFS(AP9=1,Inputs_Assumptions!$E$53,AP9=2,Inputs_Assumptions!$E$54,AP9=3,Inputs_Assumptions!$E$55,AP9=4,Inputs_Assumptions!$E$56,"TRUE",0)</f>
        <v>0.31133996261474428</v>
      </c>
      <c r="AQ26" s="223" cm="1">
        <f t="array" ref="AQ26">_xlfn.IFS(AQ9=1,Inputs_Assumptions!$E$53,AQ9=2,Inputs_Assumptions!$E$54,AQ9=3,Inputs_Assumptions!$E$55,AQ9=4,Inputs_Assumptions!$E$56,"TRUE",0)</f>
        <v>0.30207008693114301</v>
      </c>
      <c r="AR26" s="223" cm="1">
        <f t="array" ref="AR26">_xlfn.IFS(AR9=1,Inputs_Assumptions!$E$53,AR9=2,Inputs_Assumptions!$E$54,AR9=3,Inputs_Assumptions!$E$55,AR9=4,Inputs_Assumptions!$E$56,"TRUE",0)</f>
        <v>0.19160291021284578</v>
      </c>
      <c r="AS26" s="223" cm="1">
        <f t="array" ref="AS26">_xlfn.IFS(AS9=1,Inputs_Assumptions!$E$53,AS9=2,Inputs_Assumptions!$E$54,AS9=3,Inputs_Assumptions!$E$55,AS9=4,Inputs_Assumptions!$E$56,"TRUE",0)</f>
        <v>0.19498704024126692</v>
      </c>
      <c r="AT26" s="223" cm="1">
        <f t="array" ref="AT26">_xlfn.IFS(AT9=1,Inputs_Assumptions!$E$53,AT9=2,Inputs_Assumptions!$E$54,AT9=3,Inputs_Assumptions!$E$55,AT9=4,Inputs_Assumptions!$E$56,"TRUE",0)</f>
        <v>0.31133996261474428</v>
      </c>
      <c r="AU26" s="223" cm="1">
        <f t="array" ref="AU26">_xlfn.IFS(AU9=1,Inputs_Assumptions!$E$53,AU9=2,Inputs_Assumptions!$E$54,AU9=3,Inputs_Assumptions!$E$55,AU9=4,Inputs_Assumptions!$E$56,"TRUE",0)</f>
        <v>0.30207008693114301</v>
      </c>
      <c r="AV26" s="223" cm="1">
        <f t="array" ref="AV26">_xlfn.IFS(AV9=1,Inputs_Assumptions!$E$53,AV9=2,Inputs_Assumptions!$E$54,AV9=3,Inputs_Assumptions!$E$55,AV9=4,Inputs_Assumptions!$E$56,"TRUE",0)</f>
        <v>0.19160291021284578</v>
      </c>
      <c r="AW26" s="223" cm="1">
        <f t="array" ref="AW26">_xlfn.IFS(AW9=1,Inputs_Assumptions!$E$53,AW9=2,Inputs_Assumptions!$E$54,AW9=3,Inputs_Assumptions!$E$55,AW9=4,Inputs_Assumptions!$E$56,"TRUE",0)</f>
        <v>0.19498704024126692</v>
      </c>
      <c r="AX26" s="223" cm="1">
        <f t="array" ref="AX26">_xlfn.IFS(AX9=1,Inputs_Assumptions!$E$53,AX9=2,Inputs_Assumptions!$E$54,AX9=3,Inputs_Assumptions!$E$55,AX9=4,Inputs_Assumptions!$E$56,"TRUE",0)</f>
        <v>0.31133996261474428</v>
      </c>
      <c r="AY26" s="223" cm="1">
        <f t="array" ref="AY26">_xlfn.IFS(AY9=1,Inputs_Assumptions!$E$53,AY9=2,Inputs_Assumptions!$E$54,AY9=3,Inputs_Assumptions!$E$55,AY9=4,Inputs_Assumptions!$E$56,"TRUE",0)</f>
        <v>0.30207008693114301</v>
      </c>
      <c r="AZ26" s="223" cm="1">
        <f t="array" ref="AZ26">_xlfn.IFS(AZ9=1,Inputs_Assumptions!$E$53,AZ9=2,Inputs_Assumptions!$E$54,AZ9=3,Inputs_Assumptions!$E$55,AZ9=4,Inputs_Assumptions!$E$56,"TRUE",0)</f>
        <v>0.19160291021284578</v>
      </c>
      <c r="BA26" s="223" cm="1">
        <f t="array" ref="BA26">_xlfn.IFS(BA9=1,Inputs_Assumptions!$E$53,BA9=2,Inputs_Assumptions!$E$54,BA9=3,Inputs_Assumptions!$E$55,BA9=4,Inputs_Assumptions!$E$56,"TRUE",0)</f>
        <v>0.19498704024126692</v>
      </c>
      <c r="BB26" s="223" cm="1">
        <f t="array" ref="BB26">_xlfn.IFS(BB9=1,Inputs_Assumptions!$E$53,BB9=2,Inputs_Assumptions!$E$54,BB9=3,Inputs_Assumptions!$E$55,BB9=4,Inputs_Assumptions!$E$56,"TRUE",0)</f>
        <v>0.31133996261474428</v>
      </c>
      <c r="BC26" s="223" cm="1">
        <f t="array" ref="BC26">_xlfn.IFS(BC9=1,Inputs_Assumptions!$E$53,BC9=2,Inputs_Assumptions!$E$54,BC9=3,Inputs_Assumptions!$E$55,BC9=4,Inputs_Assumptions!$E$56,"TRUE",0)</f>
        <v>0.30207008693114301</v>
      </c>
      <c r="BD26" s="223" cm="1">
        <f t="array" ref="BD26">_xlfn.IFS(BD9=1,Inputs_Assumptions!$E$53,BD9=2,Inputs_Assumptions!$E$54,BD9=3,Inputs_Assumptions!$E$55,BD9=4,Inputs_Assumptions!$E$56,"TRUE",0)</f>
        <v>0.19160291021284578</v>
      </c>
      <c r="BE26" s="223" cm="1">
        <f t="array" ref="BE26">_xlfn.IFS(BE9=1,Inputs_Assumptions!$E$53,BE9=2,Inputs_Assumptions!$E$54,BE9=3,Inputs_Assumptions!$E$55,BE9=4,Inputs_Assumptions!$E$56,"TRUE",0)</f>
        <v>0.19498704024126692</v>
      </c>
      <c r="BF26" s="223" cm="1">
        <f t="array" ref="BF26">_xlfn.IFS(BF9=1,Inputs_Assumptions!$E$53,BF9=2,Inputs_Assumptions!$E$54,BF9=3,Inputs_Assumptions!$E$55,BF9=4,Inputs_Assumptions!$E$56,"TRUE",0)</f>
        <v>0.31133996261474428</v>
      </c>
      <c r="BG26" s="223" cm="1">
        <f t="array" ref="BG26">_xlfn.IFS(BG9=1,Inputs_Assumptions!$E$53,BG9=2,Inputs_Assumptions!$E$54,BG9=3,Inputs_Assumptions!$E$55,BG9=4,Inputs_Assumptions!$E$56,"TRUE",0)</f>
        <v>0.30207008693114301</v>
      </c>
      <c r="BH26" s="223" cm="1">
        <f t="array" ref="BH26">_xlfn.IFS(BH9=1,Inputs_Assumptions!$E$53,BH9=2,Inputs_Assumptions!$E$54,BH9=3,Inputs_Assumptions!$E$55,BH9=4,Inputs_Assumptions!$E$56,"TRUE",0)</f>
        <v>0.19160291021284578</v>
      </c>
      <c r="BI26" s="223" cm="1">
        <f t="array" ref="BI26">_xlfn.IFS(BI9=1,Inputs_Assumptions!$E$53,BI9=2,Inputs_Assumptions!$E$54,BI9=3,Inputs_Assumptions!$E$55,BI9=4,Inputs_Assumptions!$E$56,"TRUE",0)</f>
        <v>0.19498704024126692</v>
      </c>
      <c r="BJ26" s="223" cm="1">
        <f t="array" ref="BJ26">_xlfn.IFS(BJ9=1,Inputs_Assumptions!$E$53,BJ9=2,Inputs_Assumptions!$E$54,BJ9=3,Inputs_Assumptions!$E$55,BJ9=4,Inputs_Assumptions!$E$56,"TRUE",0)</f>
        <v>0.31133996261474428</v>
      </c>
      <c r="BK26" s="223" cm="1">
        <f t="array" ref="BK26">_xlfn.IFS(BK9=1,Inputs_Assumptions!$E$53,BK9=2,Inputs_Assumptions!$E$54,BK9=3,Inputs_Assumptions!$E$55,BK9=4,Inputs_Assumptions!$E$56,"TRUE",0)</f>
        <v>0.30207008693114301</v>
      </c>
      <c r="BL26" s="223" cm="1">
        <f t="array" ref="BL26">_xlfn.IFS(BL9=1,Inputs_Assumptions!$E$53,BL9=2,Inputs_Assumptions!$E$54,BL9=3,Inputs_Assumptions!$E$55,BL9=4,Inputs_Assumptions!$E$56,"TRUE",0)</f>
        <v>0.19160291021284578</v>
      </c>
      <c r="BM26" s="223" cm="1">
        <f t="array" ref="BM26">_xlfn.IFS(BM9=1,Inputs_Assumptions!$E$53,BM9=2,Inputs_Assumptions!$E$54,BM9=3,Inputs_Assumptions!$E$55,BM9=4,Inputs_Assumptions!$E$56,"TRUE",0)</f>
        <v>0.19498704024126692</v>
      </c>
      <c r="BN26" s="223" cm="1">
        <f t="array" ref="BN26">_xlfn.IFS(BN9=1,Inputs_Assumptions!$E$53,BN9=2,Inputs_Assumptions!$E$54,BN9=3,Inputs_Assumptions!$E$55,BN9=4,Inputs_Assumptions!$E$56,"TRUE",0)</f>
        <v>0.31133996261474428</v>
      </c>
      <c r="BO26" s="223" cm="1">
        <f t="array" ref="BO26">_xlfn.IFS(BO9=1,Inputs_Assumptions!$E$53,BO9=2,Inputs_Assumptions!$E$54,BO9=3,Inputs_Assumptions!$E$55,BO9=4,Inputs_Assumptions!$E$56,"TRUE",0)</f>
        <v>0.30207008693114301</v>
      </c>
      <c r="BP26" s="223" cm="1">
        <f t="array" ref="BP26">_xlfn.IFS(BP9=1,Inputs_Assumptions!$E$53,BP9=2,Inputs_Assumptions!$E$54,BP9=3,Inputs_Assumptions!$E$55,BP9=4,Inputs_Assumptions!$E$56,"TRUE",0)</f>
        <v>0.19160291021284578</v>
      </c>
      <c r="BQ26" s="223" cm="1">
        <f t="array" ref="BQ26">_xlfn.IFS(BQ9=1,Inputs_Assumptions!$E$53,BQ9=2,Inputs_Assumptions!$E$54,BQ9=3,Inputs_Assumptions!$E$55,BQ9=4,Inputs_Assumptions!$E$56,"TRUE",0)</f>
        <v>0.19498704024126692</v>
      </c>
      <c r="BR26" s="223" cm="1">
        <f t="array" ref="BR26">_xlfn.IFS(BR9=1,Inputs_Assumptions!$E$53,BR9=2,Inputs_Assumptions!$E$54,BR9=3,Inputs_Assumptions!$E$55,BR9=4,Inputs_Assumptions!$E$56,"TRUE",0)</f>
        <v>0.31133996261474428</v>
      </c>
      <c r="BS26" s="223" cm="1">
        <f t="array" ref="BS26">_xlfn.IFS(BS9=1,Inputs_Assumptions!$E$53,BS9=2,Inputs_Assumptions!$E$54,BS9=3,Inputs_Assumptions!$E$55,BS9=4,Inputs_Assumptions!$E$56,"TRUE",0)</f>
        <v>0.30207008693114301</v>
      </c>
      <c r="BT26" s="223" cm="1">
        <f t="array" ref="BT26">_xlfn.IFS(BT9=1,Inputs_Assumptions!$E$53,BT9=2,Inputs_Assumptions!$E$54,BT9=3,Inputs_Assumptions!$E$55,BT9=4,Inputs_Assumptions!$E$56,"TRUE",0)</f>
        <v>0.19160291021284578</v>
      </c>
      <c r="BU26" s="223" cm="1">
        <f t="array" ref="BU26">_xlfn.IFS(BU9=1,Inputs_Assumptions!$E$53,BU9=2,Inputs_Assumptions!$E$54,BU9=3,Inputs_Assumptions!$E$55,BU9=4,Inputs_Assumptions!$E$56,"TRUE",0)</f>
        <v>0.19498704024126692</v>
      </c>
      <c r="BV26" s="223" cm="1">
        <f t="array" ref="BV26">_xlfn.IFS(BV9=1,Inputs_Assumptions!$E$53,BV9=2,Inputs_Assumptions!$E$54,BV9=3,Inputs_Assumptions!$E$55,BV9=4,Inputs_Assumptions!$E$56,"TRUE",0)</f>
        <v>0.31133996261474428</v>
      </c>
      <c r="BW26" s="223" cm="1">
        <f t="array" ref="BW26">_xlfn.IFS(BW9=1,Inputs_Assumptions!$E$53,BW9=2,Inputs_Assumptions!$E$54,BW9=3,Inputs_Assumptions!$E$55,BW9=4,Inputs_Assumptions!$E$56,"TRUE",0)</f>
        <v>0.30207008693114301</v>
      </c>
      <c r="BX26" s="223" cm="1">
        <f t="array" ref="BX26">_xlfn.IFS(BX9=1,Inputs_Assumptions!$E$53,BX9=2,Inputs_Assumptions!$E$54,BX9=3,Inputs_Assumptions!$E$55,BX9=4,Inputs_Assumptions!$E$56,"TRUE",0)</f>
        <v>0.19160291021284578</v>
      </c>
      <c r="BY26" s="223" cm="1">
        <f t="array" ref="BY26">_xlfn.IFS(BY9=1,Inputs_Assumptions!$E$53,BY9=2,Inputs_Assumptions!$E$54,BY9=3,Inputs_Assumptions!$E$55,BY9=4,Inputs_Assumptions!$E$56,"TRUE",0)</f>
        <v>0.19498704024126692</v>
      </c>
      <c r="BZ26" s="223" cm="1">
        <f t="array" ref="BZ26">_xlfn.IFS(BZ9=1,Inputs_Assumptions!$E$53,BZ9=2,Inputs_Assumptions!$E$54,BZ9=3,Inputs_Assumptions!$E$55,BZ9=4,Inputs_Assumptions!$E$56,"TRUE",0)</f>
        <v>0.31133996261474428</v>
      </c>
      <c r="CA26" s="223" cm="1">
        <f t="array" ref="CA26">_xlfn.IFS(CA9=1,Inputs_Assumptions!$E$53,CA9=2,Inputs_Assumptions!$E$54,CA9=3,Inputs_Assumptions!$E$55,CA9=4,Inputs_Assumptions!$E$56,"TRUE",0)</f>
        <v>0.30207008693114301</v>
      </c>
      <c r="CB26" s="223" cm="1">
        <f t="array" ref="CB26">_xlfn.IFS(CB9=1,Inputs_Assumptions!$E$53,CB9=2,Inputs_Assumptions!$E$54,CB9=3,Inputs_Assumptions!$E$55,CB9=4,Inputs_Assumptions!$E$56,"TRUE",0)</f>
        <v>0.19160291021284578</v>
      </c>
      <c r="CC26" s="223" cm="1">
        <f t="array" ref="CC26">_xlfn.IFS(CC9=1,Inputs_Assumptions!$E$53,CC9=2,Inputs_Assumptions!$E$54,CC9=3,Inputs_Assumptions!$E$55,CC9=4,Inputs_Assumptions!$E$56,"TRUE",0)</f>
        <v>0.19498704024126692</v>
      </c>
      <c r="CD26" s="223" cm="1">
        <f t="array" ref="CD26">_xlfn.IFS(CD9=1,Inputs_Assumptions!$E$53,CD9=2,Inputs_Assumptions!$E$54,CD9=3,Inputs_Assumptions!$E$55,CD9=4,Inputs_Assumptions!$E$56,"TRUE",0)</f>
        <v>0.31133996261474428</v>
      </c>
      <c r="CE26" s="223" cm="1">
        <f t="array" ref="CE26">_xlfn.IFS(CE9=1,Inputs_Assumptions!$E$53,CE9=2,Inputs_Assumptions!$E$54,CE9=3,Inputs_Assumptions!$E$55,CE9=4,Inputs_Assumptions!$E$56,"TRUE",0)</f>
        <v>0.30207008693114301</v>
      </c>
      <c r="CF26" s="223" cm="1">
        <f t="array" ref="CF26">_xlfn.IFS(CF9=1,Inputs_Assumptions!$E$53,CF9=2,Inputs_Assumptions!$E$54,CF9=3,Inputs_Assumptions!$E$55,CF9=4,Inputs_Assumptions!$E$56,"TRUE",0)</f>
        <v>0.19160291021284578</v>
      </c>
      <c r="CG26" s="223" cm="1">
        <f t="array" ref="CG26">_xlfn.IFS(CG9=1,Inputs_Assumptions!$E$53,CG9=2,Inputs_Assumptions!$E$54,CG9=3,Inputs_Assumptions!$E$55,CG9=4,Inputs_Assumptions!$E$56,"TRUE",0)</f>
        <v>0.19498704024126692</v>
      </c>
      <c r="CH26" s="223" cm="1">
        <f t="array" ref="CH26">_xlfn.IFS(CH9=1,Inputs_Assumptions!$E$53,CH9=2,Inputs_Assumptions!$E$54,CH9=3,Inputs_Assumptions!$E$55,CH9=4,Inputs_Assumptions!$E$56,"TRUE",0)</f>
        <v>0.31133996261474428</v>
      </c>
      <c r="CI26" s="223" cm="1">
        <f t="array" ref="CI26">_xlfn.IFS(CI9=1,Inputs_Assumptions!$E$53,CI9=2,Inputs_Assumptions!$E$54,CI9=3,Inputs_Assumptions!$E$55,CI9=4,Inputs_Assumptions!$E$56,"TRUE",0)</f>
        <v>0.30207008693114301</v>
      </c>
      <c r="CJ26" s="223" cm="1">
        <f t="array" ref="CJ26">_xlfn.IFS(CJ9=1,Inputs_Assumptions!$E$53,CJ9=2,Inputs_Assumptions!$E$54,CJ9=3,Inputs_Assumptions!$E$55,CJ9=4,Inputs_Assumptions!$E$56,"TRUE",0)</f>
        <v>0.19160291021284578</v>
      </c>
      <c r="CK26" s="223" cm="1">
        <f t="array" ref="CK26">_xlfn.IFS(CK9=1,Inputs_Assumptions!$E$53,CK9=2,Inputs_Assumptions!$E$54,CK9=3,Inputs_Assumptions!$E$55,CK9=4,Inputs_Assumptions!$E$56,"TRUE",0)</f>
        <v>0.19498704024126692</v>
      </c>
      <c r="CL26" s="223" cm="1">
        <f t="array" ref="CL26">_xlfn.IFS(CL9=1,Inputs_Assumptions!$E$53,CL9=2,Inputs_Assumptions!$E$54,CL9=3,Inputs_Assumptions!$E$55,CL9=4,Inputs_Assumptions!$E$56,"TRUE",0)</f>
        <v>0.31133996261474428</v>
      </c>
      <c r="CM26" s="223" cm="1">
        <f t="array" ref="CM26">_xlfn.IFS(CM9=1,Inputs_Assumptions!$E$53,CM9=2,Inputs_Assumptions!$E$54,CM9=3,Inputs_Assumptions!$E$55,CM9=4,Inputs_Assumptions!$E$56,"TRUE",0)</f>
        <v>0.30207008693114301</v>
      </c>
      <c r="CN26" s="223" cm="1">
        <f t="array" ref="CN26">_xlfn.IFS(CN9=1,Inputs_Assumptions!$E$53,CN9=2,Inputs_Assumptions!$E$54,CN9=3,Inputs_Assumptions!$E$55,CN9=4,Inputs_Assumptions!$E$56,"TRUE",0)</f>
        <v>0.19160291021284578</v>
      </c>
      <c r="CO26" s="223" cm="1">
        <f t="array" ref="CO26">_xlfn.IFS(CO9=1,Inputs_Assumptions!$E$53,CO9=2,Inputs_Assumptions!$E$54,CO9=3,Inputs_Assumptions!$E$55,CO9=4,Inputs_Assumptions!$E$56,"TRUE",0)</f>
        <v>0.19498704024126692</v>
      </c>
      <c r="CP26" s="223" cm="1">
        <f t="array" ref="CP26">_xlfn.IFS(CP9=1,Inputs_Assumptions!$E$53,CP9=2,Inputs_Assumptions!$E$54,CP9=3,Inputs_Assumptions!$E$55,CP9=4,Inputs_Assumptions!$E$56,"TRUE",0)</f>
        <v>0.31133996261474428</v>
      </c>
      <c r="CQ26" s="223" cm="1">
        <f t="array" ref="CQ26">_xlfn.IFS(CQ9=1,Inputs_Assumptions!$E$53,CQ9=2,Inputs_Assumptions!$E$54,CQ9=3,Inputs_Assumptions!$E$55,CQ9=4,Inputs_Assumptions!$E$56,"TRUE",0)</f>
        <v>0.30207008693114301</v>
      </c>
      <c r="CR26" s="223" cm="1">
        <f t="array" ref="CR26">_xlfn.IFS(CR9=1,Inputs_Assumptions!$E$53,CR9=2,Inputs_Assumptions!$E$54,CR9=3,Inputs_Assumptions!$E$55,CR9=4,Inputs_Assumptions!$E$56,"TRUE",0)</f>
        <v>0.19160291021284578</v>
      </c>
      <c r="CS26" s="223" cm="1">
        <f t="array" ref="CS26">_xlfn.IFS(CS9=1,Inputs_Assumptions!$E$53,CS9=2,Inputs_Assumptions!$E$54,CS9=3,Inputs_Assumptions!$E$55,CS9=4,Inputs_Assumptions!$E$56,"TRUE",0)</f>
        <v>0.19498704024126692</v>
      </c>
      <c r="CT26" s="223" cm="1">
        <f t="array" ref="CT26">_xlfn.IFS(CT9=1,Inputs_Assumptions!$E$53,CT9=2,Inputs_Assumptions!$E$54,CT9=3,Inputs_Assumptions!$E$55,CT9=4,Inputs_Assumptions!$E$56,"TRUE",0)</f>
        <v>0.31133996261474428</v>
      </c>
      <c r="CU26" s="247" cm="1">
        <f t="array" ref="CU26">_xlfn.IFS(CU9=1,Inputs_Assumptions!$E$53,CU9=2,Inputs_Assumptions!$E$54,CU9=3,Inputs_Assumptions!$E$55,CU9=4,Inputs_Assumptions!$E$56,"TRUE",0)</f>
        <v>0.30207008693114301</v>
      </c>
      <c r="CV26" s="223" cm="1">
        <f t="array" ref="CV26">_xlfn.IFS(CV9=1,Inputs_Assumptions!$E$53,CV9=2,Inputs_Assumptions!$E$54,CV9=3,Inputs_Assumptions!$E$55,CV9=4,Inputs_Assumptions!$E$56,"TRUE",0)</f>
        <v>0.19160291021284578</v>
      </c>
      <c r="CW26" s="223" cm="1">
        <f t="array" ref="CW26">_xlfn.IFS(CW9=1,Inputs_Assumptions!$E$53,CW9=2,Inputs_Assumptions!$E$54,CW9=3,Inputs_Assumptions!$E$55,CW9=4,Inputs_Assumptions!$E$56,"TRUE",0)</f>
        <v>0.19498704024126692</v>
      </c>
      <c r="CX26" s="223" cm="1">
        <f t="array" ref="CX26">_xlfn.IFS(CX9=1,Inputs_Assumptions!$E$53,CX9=2,Inputs_Assumptions!$E$54,CX9=3,Inputs_Assumptions!$E$55,CX9=4,Inputs_Assumptions!$E$56,"TRUE",0)</f>
        <v>0.31133996261474428</v>
      </c>
      <c r="CY26" s="223" cm="1">
        <f t="array" ref="CY26">_xlfn.IFS(CY9=1,Inputs_Assumptions!$E$53,CY9=2,Inputs_Assumptions!$E$54,CY9=3,Inputs_Assumptions!$E$55,CY9=4,Inputs_Assumptions!$E$56,"TRUE",0)</f>
        <v>0.30207008693114301</v>
      </c>
      <c r="CZ26" s="223" cm="1">
        <f t="array" ref="CZ26">_xlfn.IFS(CZ9=1,Inputs_Assumptions!$E$53,CZ9=2,Inputs_Assumptions!$E$54,CZ9=3,Inputs_Assumptions!$E$55,CZ9=4,Inputs_Assumptions!$E$56,"TRUE",0)</f>
        <v>0.19160291021284578</v>
      </c>
      <c r="DA26" s="223" cm="1">
        <f t="array" ref="DA26">_xlfn.IFS(DA9=1,Inputs_Assumptions!$E$53,DA9=2,Inputs_Assumptions!$E$54,DA9=3,Inputs_Assumptions!$E$55,DA9=4,Inputs_Assumptions!$E$56,"TRUE",0)</f>
        <v>0.19498704024126692</v>
      </c>
      <c r="DB26" s="223" cm="1">
        <f t="array" ref="DB26">_xlfn.IFS(DB9=1,Inputs_Assumptions!$E$53,DB9=2,Inputs_Assumptions!$E$54,DB9=3,Inputs_Assumptions!$E$55,DB9=4,Inputs_Assumptions!$E$56,"TRUE",0)</f>
        <v>0.31133996261474428</v>
      </c>
      <c r="DC26" s="223" cm="1">
        <f t="array" ref="DC26">_xlfn.IFS(DC9=1,Inputs_Assumptions!$E$53,DC9=2,Inputs_Assumptions!$E$54,DC9=3,Inputs_Assumptions!$E$55,DC9=4,Inputs_Assumptions!$E$56,"TRUE",0)</f>
        <v>0.30207008693114301</v>
      </c>
      <c r="DD26" s="223" cm="1">
        <f t="array" ref="DD26">_xlfn.IFS(DD9=1,Inputs_Assumptions!$E$53,DD9=2,Inputs_Assumptions!$E$54,DD9=3,Inputs_Assumptions!$E$55,DD9=4,Inputs_Assumptions!$E$56,"TRUE",0)</f>
        <v>0.19160291021284578</v>
      </c>
      <c r="DE26" s="223" cm="1">
        <f t="array" ref="DE26">_xlfn.IFS(DE9=1,Inputs_Assumptions!$E$53,DE9=2,Inputs_Assumptions!$E$54,DE9=3,Inputs_Assumptions!$E$55,DE9=4,Inputs_Assumptions!$E$56,"TRUE",0)</f>
        <v>0.19498704024126692</v>
      </c>
      <c r="DF26" s="223" cm="1">
        <f t="array" ref="DF26">_xlfn.IFS(DF9=1,Inputs_Assumptions!$E$53,DF9=2,Inputs_Assumptions!$E$54,DF9=3,Inputs_Assumptions!$E$55,DF9=4,Inputs_Assumptions!$E$56,"TRUE",0)</f>
        <v>0.31133996261474428</v>
      </c>
      <c r="DG26" s="223" cm="1">
        <f t="array" ref="DG26">_xlfn.IFS(DG9=1,Inputs_Assumptions!$E$53,DG9=2,Inputs_Assumptions!$E$54,DG9=3,Inputs_Assumptions!$E$55,DG9=4,Inputs_Assumptions!$E$56,"TRUE",0)</f>
        <v>0.30207008693114301</v>
      </c>
      <c r="DH26" s="223" cm="1">
        <f t="array" ref="DH26">_xlfn.IFS(DH9=1,Inputs_Assumptions!$E$53,DH9=2,Inputs_Assumptions!$E$54,DH9=3,Inputs_Assumptions!$E$55,DH9=4,Inputs_Assumptions!$E$56,"TRUE",0)</f>
        <v>0.19160291021284578</v>
      </c>
      <c r="DI26" s="223" cm="1">
        <f t="array" ref="DI26">_xlfn.IFS(DI9=1,Inputs_Assumptions!$E$53,DI9=2,Inputs_Assumptions!$E$54,DI9=3,Inputs_Assumptions!$E$55,DI9=4,Inputs_Assumptions!$E$56,"TRUE",0)</f>
        <v>0.19498704024126692</v>
      </c>
      <c r="DJ26" s="223" cm="1">
        <f t="array" ref="DJ26">_xlfn.IFS(DJ9=1,Inputs_Assumptions!$E$53,DJ9=2,Inputs_Assumptions!$E$54,DJ9=3,Inputs_Assumptions!$E$55,DJ9=4,Inputs_Assumptions!$E$56,"TRUE",0)</f>
        <v>0.31133996261474428</v>
      </c>
      <c r="DK26" s="223" cm="1">
        <f t="array" ref="DK26">_xlfn.IFS(DK9=1,Inputs_Assumptions!$E$53,DK9=2,Inputs_Assumptions!$E$54,DK9=3,Inputs_Assumptions!$E$55,DK9=4,Inputs_Assumptions!$E$56,"TRUE",0)</f>
        <v>0.30207008693114301</v>
      </c>
      <c r="DL26" s="223" cm="1">
        <f t="array" ref="DL26">_xlfn.IFS(DL9=1,Inputs_Assumptions!$E$53,DL9=2,Inputs_Assumptions!$E$54,DL9=3,Inputs_Assumptions!$E$55,DL9=4,Inputs_Assumptions!$E$56,"TRUE",0)</f>
        <v>0.19160291021284578</v>
      </c>
      <c r="DM26" s="223" cm="1">
        <f t="array" ref="DM26">_xlfn.IFS(DM9=1,Inputs_Assumptions!$E$53,DM9=2,Inputs_Assumptions!$E$54,DM9=3,Inputs_Assumptions!$E$55,DM9=4,Inputs_Assumptions!$E$56,"TRUE",0)</f>
        <v>0.19498704024126692</v>
      </c>
      <c r="DN26" s="223" cm="1">
        <f t="array" ref="DN26">_xlfn.IFS(DN9=1,Inputs_Assumptions!$E$53,DN9=2,Inputs_Assumptions!$E$54,DN9=3,Inputs_Assumptions!$E$55,DN9=4,Inputs_Assumptions!$E$56,"TRUE",0)</f>
        <v>0.31133996261474428</v>
      </c>
      <c r="DO26" s="223" cm="1">
        <f t="array" ref="DO26">_xlfn.IFS(DO9=1,Inputs_Assumptions!$E$53,DO9=2,Inputs_Assumptions!$E$54,DO9=3,Inputs_Assumptions!$E$55,DO9=4,Inputs_Assumptions!$E$56,"TRUE",0)</f>
        <v>0.30207008693114301</v>
      </c>
      <c r="DP26" s="223" cm="1">
        <f t="array" ref="DP26">_xlfn.IFS(DP9=1,Inputs_Assumptions!$E$53,DP9=2,Inputs_Assumptions!$E$54,DP9=3,Inputs_Assumptions!$E$55,DP9=4,Inputs_Assumptions!$E$56,"TRUE",0)</f>
        <v>0.19160291021284578</v>
      </c>
      <c r="DQ26" s="223" cm="1">
        <f t="array" ref="DQ26">_xlfn.IFS(DQ9=1,Inputs_Assumptions!$E$53,DQ9=2,Inputs_Assumptions!$E$54,DQ9=3,Inputs_Assumptions!$E$55,DQ9=4,Inputs_Assumptions!$E$56,"TRUE",0)</f>
        <v>0.19498704024126692</v>
      </c>
      <c r="DR26" s="223" cm="1">
        <f t="array" ref="DR26">_xlfn.IFS(DR9=1,Inputs_Assumptions!$E$53,DR9=2,Inputs_Assumptions!$E$54,DR9=3,Inputs_Assumptions!$E$55,DR9=4,Inputs_Assumptions!$E$56,"TRUE",0)</f>
        <v>0.31133996261474428</v>
      </c>
      <c r="DS26" s="223" cm="1">
        <f t="array" ref="DS26">_xlfn.IFS(DS9=1,Inputs_Assumptions!$E$53,DS9=2,Inputs_Assumptions!$E$54,DS9=3,Inputs_Assumptions!$E$55,DS9=4,Inputs_Assumptions!$E$56,"TRUE",0)</f>
        <v>0.30207008693114301</v>
      </c>
      <c r="DT26" s="223" cm="1">
        <f t="array" ref="DT26">_xlfn.IFS(DT9=1,Inputs_Assumptions!$E$53,DT9=2,Inputs_Assumptions!$E$54,DT9=3,Inputs_Assumptions!$E$55,DT9=4,Inputs_Assumptions!$E$56,"TRUE",0)</f>
        <v>0.19160291021284578</v>
      </c>
      <c r="DU26" s="223" cm="1">
        <f t="array" ref="DU26">_xlfn.IFS(DU9=1,Inputs_Assumptions!$E$53,DU9=2,Inputs_Assumptions!$E$54,DU9=3,Inputs_Assumptions!$E$55,DU9=4,Inputs_Assumptions!$E$56,"TRUE",0)</f>
        <v>0.19498704024126692</v>
      </c>
      <c r="DV26" s="223" cm="1">
        <f t="array" ref="DV26">_xlfn.IFS(DV9=1,Inputs_Assumptions!$E$53,DV9=2,Inputs_Assumptions!$E$54,DV9=3,Inputs_Assumptions!$E$55,DV9=4,Inputs_Assumptions!$E$56,"TRUE",0)</f>
        <v>0.31133996261474428</v>
      </c>
      <c r="DW26" s="223" cm="1">
        <f t="array" ref="DW26">_xlfn.IFS(DW9=1,Inputs_Assumptions!$E$53,DW9=2,Inputs_Assumptions!$E$54,DW9=3,Inputs_Assumptions!$E$55,DW9=4,Inputs_Assumptions!$E$56,"TRUE",0)</f>
        <v>0.30207008693114301</v>
      </c>
      <c r="DX26" s="223" cm="1">
        <f t="array" ref="DX26">_xlfn.IFS(DX9=1,Inputs_Assumptions!$E$53,DX9=2,Inputs_Assumptions!$E$54,DX9=3,Inputs_Assumptions!$E$55,DX9=4,Inputs_Assumptions!$E$56,"TRUE",0)</f>
        <v>0.19160291021284578</v>
      </c>
      <c r="DY26" s="223" cm="1">
        <f t="array" ref="DY26">_xlfn.IFS(DY9=1,Inputs_Assumptions!$E$53,DY9=2,Inputs_Assumptions!$E$54,DY9=3,Inputs_Assumptions!$E$55,DY9=4,Inputs_Assumptions!$E$56,"TRUE",0)</f>
        <v>0.19498704024126692</v>
      </c>
      <c r="DZ26" s="223" cm="1">
        <f t="array" ref="DZ26">_xlfn.IFS(DZ9=1,Inputs_Assumptions!$E$53,DZ9=2,Inputs_Assumptions!$E$54,DZ9=3,Inputs_Assumptions!$E$55,DZ9=4,Inputs_Assumptions!$E$56,"TRUE",0)</f>
        <v>0.31133996261474428</v>
      </c>
      <c r="EA26" s="223" cm="1">
        <f t="array" ref="EA26">_xlfn.IFS(EA9=1,Inputs_Assumptions!$E$53,EA9=2,Inputs_Assumptions!$E$54,EA9=3,Inputs_Assumptions!$E$55,EA9=4,Inputs_Assumptions!$E$56,"TRUE",0)</f>
        <v>0.30207008693114301</v>
      </c>
      <c r="EB26" s="223" cm="1">
        <f t="array" ref="EB26">_xlfn.IFS(EB9=1,Inputs_Assumptions!$E$53,EB9=2,Inputs_Assumptions!$E$54,EB9=3,Inputs_Assumptions!$E$55,EB9=4,Inputs_Assumptions!$E$56,"TRUE",0)</f>
        <v>0.19160291021284578</v>
      </c>
      <c r="EC26" s="223" cm="1">
        <f t="array" ref="EC26">_xlfn.IFS(EC9=1,Inputs_Assumptions!$E$53,EC9=2,Inputs_Assumptions!$E$54,EC9=3,Inputs_Assumptions!$E$55,EC9=4,Inputs_Assumptions!$E$56,"TRUE",0)</f>
        <v>0.19498704024126692</v>
      </c>
      <c r="ED26" s="223" cm="1">
        <f t="array" ref="ED26">_xlfn.IFS(ED9=1,Inputs_Assumptions!$E$53,ED9=2,Inputs_Assumptions!$E$54,ED9=3,Inputs_Assumptions!$E$55,ED9=4,Inputs_Assumptions!$E$56,"TRUE",0)</f>
        <v>0.31133996261474428</v>
      </c>
      <c r="EE26" s="223" cm="1">
        <f t="array" ref="EE26">_xlfn.IFS(EE9=1,Inputs_Assumptions!$E$53,EE9=2,Inputs_Assumptions!$E$54,EE9=3,Inputs_Assumptions!$E$55,EE9=4,Inputs_Assumptions!$E$56,"TRUE",0)</f>
        <v>0.30207008693114301</v>
      </c>
      <c r="EF26" s="223" cm="1">
        <f t="array" ref="EF26">_xlfn.IFS(EF9=1,Inputs_Assumptions!$E$53,EF9=2,Inputs_Assumptions!$E$54,EF9=3,Inputs_Assumptions!$E$55,EF9=4,Inputs_Assumptions!$E$56,"TRUE",0)</f>
        <v>0.19160291021284578</v>
      </c>
      <c r="EG26" s="223" cm="1">
        <f t="array" ref="EG26">_xlfn.IFS(EG9=1,Inputs_Assumptions!$E$53,EG9=2,Inputs_Assumptions!$E$54,EG9=3,Inputs_Assumptions!$E$55,EG9=4,Inputs_Assumptions!$E$56,"TRUE",0)</f>
        <v>0.19498704024126692</v>
      </c>
      <c r="EH26" s="223" cm="1">
        <f t="array" ref="EH26">_xlfn.IFS(EH9=1,Inputs_Assumptions!$E$53,EH9=2,Inputs_Assumptions!$E$54,EH9=3,Inputs_Assumptions!$E$55,EH9=4,Inputs_Assumptions!$E$56,"TRUE",0)</f>
        <v>0.31133996261474428</v>
      </c>
      <c r="EI26" s="223" cm="1">
        <f t="array" ref="EI26">_xlfn.IFS(EI9=1,Inputs_Assumptions!$E$53,EI9=2,Inputs_Assumptions!$E$54,EI9=3,Inputs_Assumptions!$E$55,EI9=4,Inputs_Assumptions!$E$56,"TRUE",0)</f>
        <v>0.30207008693114301</v>
      </c>
      <c r="EJ26" s="223" cm="1">
        <f t="array" ref="EJ26">_xlfn.IFS(EJ9=1,Inputs_Assumptions!$E$53,EJ9=2,Inputs_Assumptions!$E$54,EJ9=3,Inputs_Assumptions!$E$55,EJ9=4,Inputs_Assumptions!$E$56,"TRUE",0)</f>
        <v>0.19160291021284578</v>
      </c>
      <c r="EK26" s="223" cm="1">
        <f t="array" ref="EK26">_xlfn.IFS(EK9=1,Inputs_Assumptions!$E$53,EK9=2,Inputs_Assumptions!$E$54,EK9=3,Inputs_Assumptions!$E$55,EK9=4,Inputs_Assumptions!$E$56,"TRUE",0)</f>
        <v>0.19498704024126692</v>
      </c>
      <c r="EL26" s="223" cm="1">
        <f t="array" ref="EL26">_xlfn.IFS(EL9=1,Inputs_Assumptions!$E$53,EL9=2,Inputs_Assumptions!$E$54,EL9=3,Inputs_Assumptions!$E$55,EL9=4,Inputs_Assumptions!$E$56,"TRUE",0)</f>
        <v>0.31133996261474428</v>
      </c>
      <c r="EM26" s="223" cm="1">
        <f t="array" ref="EM26">_xlfn.IFS(EM9=1,Inputs_Assumptions!$E$53,EM9=2,Inputs_Assumptions!$E$54,EM9=3,Inputs_Assumptions!$E$55,EM9=4,Inputs_Assumptions!$E$56,"TRUE",0)</f>
        <v>0.30207008693114301</v>
      </c>
      <c r="EN26" s="223" cm="1">
        <f t="array" ref="EN26">_xlfn.IFS(EN9=1,Inputs_Assumptions!$E$53,EN9=2,Inputs_Assumptions!$E$54,EN9=3,Inputs_Assumptions!$E$55,EN9=4,Inputs_Assumptions!$E$56,"TRUE",0)</f>
        <v>0.19160291021284578</v>
      </c>
      <c r="EO26" s="223" cm="1">
        <f t="array" ref="EO26">_xlfn.IFS(EO9=1,Inputs_Assumptions!$E$53,EO9=2,Inputs_Assumptions!$E$54,EO9=3,Inputs_Assumptions!$E$55,EO9=4,Inputs_Assumptions!$E$56,"TRUE",0)</f>
        <v>0.19498704024126692</v>
      </c>
      <c r="EP26" s="223" cm="1">
        <f t="array" ref="EP26">_xlfn.IFS(EP9=1,Inputs_Assumptions!$E$53,EP9=2,Inputs_Assumptions!$E$54,EP9=3,Inputs_Assumptions!$E$55,EP9=4,Inputs_Assumptions!$E$56,"TRUE",0)</f>
        <v>0.31133996261474428</v>
      </c>
      <c r="EQ26" s="223" cm="1">
        <f t="array" ref="EQ26">_xlfn.IFS(EQ9=1,Inputs_Assumptions!$E$53,EQ9=2,Inputs_Assumptions!$E$54,EQ9=3,Inputs_Assumptions!$E$55,EQ9=4,Inputs_Assumptions!$E$56,"TRUE",0)</f>
        <v>0.30207008693114301</v>
      </c>
      <c r="ER26" s="223" cm="1">
        <f t="array" ref="ER26">_xlfn.IFS(ER9=1,Inputs_Assumptions!$E$53,ER9=2,Inputs_Assumptions!$E$54,ER9=3,Inputs_Assumptions!$E$55,ER9=4,Inputs_Assumptions!$E$56,"TRUE",0)</f>
        <v>0.19160291021284578</v>
      </c>
      <c r="ES26" s="223" cm="1">
        <f t="array" ref="ES26">_xlfn.IFS(ES9=1,Inputs_Assumptions!$E$53,ES9=2,Inputs_Assumptions!$E$54,ES9=3,Inputs_Assumptions!$E$55,ES9=4,Inputs_Assumptions!$E$56,"TRUE",0)</f>
        <v>0.19498704024126692</v>
      </c>
      <c r="ET26" s="223" cm="1">
        <f t="array" ref="ET26">_xlfn.IFS(ET9=1,Inputs_Assumptions!$E$53,ET9=2,Inputs_Assumptions!$E$54,ET9=3,Inputs_Assumptions!$E$55,ET9=4,Inputs_Assumptions!$E$56,"TRUE",0)</f>
        <v>0.31133996261474428</v>
      </c>
      <c r="EU26" s="223" cm="1">
        <f t="array" ref="EU26">_xlfn.IFS(EU9=1,Inputs_Assumptions!$E$53,EU9=2,Inputs_Assumptions!$E$54,EU9=3,Inputs_Assumptions!$E$55,EU9=4,Inputs_Assumptions!$E$56,"TRUE",0)</f>
        <v>0.30207008693114301</v>
      </c>
      <c r="EV26" s="223" cm="1">
        <f t="array" ref="EV26">_xlfn.IFS(EV9=1,Inputs_Assumptions!$E$53,EV9=2,Inputs_Assumptions!$E$54,EV9=3,Inputs_Assumptions!$E$55,EV9=4,Inputs_Assumptions!$E$56,"TRUE",0)</f>
        <v>0.19160291021284578</v>
      </c>
      <c r="EW26" s="223" cm="1">
        <f t="array" ref="EW26">_xlfn.IFS(EW9=1,Inputs_Assumptions!$E$53,EW9=2,Inputs_Assumptions!$E$54,EW9=3,Inputs_Assumptions!$E$55,EW9=4,Inputs_Assumptions!$E$56,"TRUE",0)</f>
        <v>0.19498704024126692</v>
      </c>
      <c r="EX26" s="223" cm="1">
        <f t="array" ref="EX26">_xlfn.IFS(EX9=1,Inputs_Assumptions!$E$53,EX9=2,Inputs_Assumptions!$E$54,EX9=3,Inputs_Assumptions!$E$55,EX9=4,Inputs_Assumptions!$E$56,"TRUE",0)</f>
        <v>0.31133996261474428</v>
      </c>
      <c r="EY26" s="223" cm="1">
        <f t="array" ref="EY26">_xlfn.IFS(EY9=1,Inputs_Assumptions!$E$53,EY9=2,Inputs_Assumptions!$E$54,EY9=3,Inputs_Assumptions!$E$55,EY9=4,Inputs_Assumptions!$E$56,"TRUE",0)</f>
        <v>0.30207008693114301</v>
      </c>
      <c r="EZ26" s="223" cm="1">
        <f t="array" ref="EZ26">_xlfn.IFS(EZ9=1,Inputs_Assumptions!$E$53,EZ9=2,Inputs_Assumptions!$E$54,EZ9=3,Inputs_Assumptions!$E$55,EZ9=4,Inputs_Assumptions!$E$56,"TRUE",0)</f>
        <v>0.19160291021284578</v>
      </c>
      <c r="FA26" s="223" cm="1">
        <f t="array" ref="FA26">_xlfn.IFS(FA9=1,Inputs_Assumptions!$E$53,FA9=2,Inputs_Assumptions!$E$54,FA9=3,Inputs_Assumptions!$E$55,FA9=4,Inputs_Assumptions!$E$56,"TRUE",0)</f>
        <v>0.19498704024126692</v>
      </c>
    </row>
    <row r="27" spans="2:157" ht="15.5" customHeight="1" outlineLevel="1" x14ac:dyDescent="0.2">
      <c r="B27" s="1"/>
      <c r="C27" s="30" t="s">
        <v>316</v>
      </c>
      <c r="D27" s="22" t="s">
        <v>12</v>
      </c>
      <c r="E27" s="62"/>
      <c r="F27" s="22"/>
      <c r="G27" s="223" cm="1">
        <f t="array" ref="G27">_xlfn.IFS(G5&lt;Inputs_Assumptions!$E$72,Inputs_Assumptions!$E$69,G5&lt;Inputs_Assumptions!$E$73,Inputs_Assumptions!$E$70,G5&lt;Inputs_Assumptions!$E$74,Inputs_Assumptions!$E$71,"TRUE",0)</f>
        <v>3.5000000000000001E-3</v>
      </c>
      <c r="H27" s="223" cm="1">
        <f t="array" ref="H27">_xlfn.IFS(H5&lt;Inputs_Assumptions!$E$72,Inputs_Assumptions!$E$69,H5&lt;Inputs_Assumptions!$E$73,Inputs_Assumptions!$E$70,H5&lt;Inputs_Assumptions!$E$74,Inputs_Assumptions!$E$71,"TRUE",0)</f>
        <v>3.5000000000000001E-3</v>
      </c>
      <c r="I27" s="223" cm="1">
        <f t="array" ref="I27">_xlfn.IFS(I5&lt;Inputs_Assumptions!$E$72,Inputs_Assumptions!$E$69,I5&lt;Inputs_Assumptions!$E$73,Inputs_Assumptions!$E$70,I5&lt;Inputs_Assumptions!$E$74,Inputs_Assumptions!$E$71,"TRUE",0)</f>
        <v>3.5000000000000001E-3</v>
      </c>
      <c r="J27" s="223" cm="1">
        <f t="array" ref="J27">_xlfn.IFS(J5&lt;Inputs_Assumptions!$E$72,Inputs_Assumptions!$E$69,J5&lt;Inputs_Assumptions!$E$73,Inputs_Assumptions!$E$70,J5&lt;Inputs_Assumptions!$E$74,Inputs_Assumptions!$E$71,"TRUE",0)</f>
        <v>3.5000000000000001E-3</v>
      </c>
      <c r="K27" s="223" cm="1">
        <f t="array" ref="K27">_xlfn.IFS(K5&lt;Inputs_Assumptions!$E$72,Inputs_Assumptions!$E$69,K5&lt;Inputs_Assumptions!$E$73,Inputs_Assumptions!$E$70,K5&lt;Inputs_Assumptions!$E$74,Inputs_Assumptions!$E$71,"TRUE",0)</f>
        <v>3.5000000000000001E-3</v>
      </c>
      <c r="L27" s="223" cm="1">
        <f t="array" ref="L27">_xlfn.IFS(L5&lt;Inputs_Assumptions!$E$72,Inputs_Assumptions!$E$69,L5&lt;Inputs_Assumptions!$E$73,Inputs_Assumptions!$E$70,L5&lt;Inputs_Assumptions!$E$74,Inputs_Assumptions!$E$71,"TRUE",0)</f>
        <v>3.5000000000000001E-3</v>
      </c>
      <c r="M27" s="223" cm="1">
        <f t="array" ref="M27">_xlfn.IFS(M5&lt;Inputs_Assumptions!$E$72,Inputs_Assumptions!$E$69,M5&lt;Inputs_Assumptions!$E$73,Inputs_Assumptions!$E$70,M5&lt;Inputs_Assumptions!$E$74,Inputs_Assumptions!$E$71,"TRUE",0)</f>
        <v>3.5000000000000001E-3</v>
      </c>
      <c r="N27" s="223" cm="1">
        <f t="array" ref="N27">_xlfn.IFS(N5&lt;Inputs_Assumptions!$E$72,Inputs_Assumptions!$E$69,N5&lt;Inputs_Assumptions!$E$73,Inputs_Assumptions!$E$70,N5&lt;Inputs_Assumptions!$E$74,Inputs_Assumptions!$E$71,"TRUE",0)</f>
        <v>3.5000000000000001E-3</v>
      </c>
      <c r="O27" s="223" cm="1">
        <f t="array" ref="O27">_xlfn.IFS(O5&lt;Inputs_Assumptions!$E$72,Inputs_Assumptions!$E$69,O5&lt;Inputs_Assumptions!$E$73,Inputs_Assumptions!$E$70,O5&lt;Inputs_Assumptions!$E$74,Inputs_Assumptions!$E$71,"TRUE",0)</f>
        <v>3.5000000000000001E-3</v>
      </c>
      <c r="P27" s="223" cm="1">
        <f t="array" ref="P27">_xlfn.IFS(P5&lt;Inputs_Assumptions!$E$72,Inputs_Assumptions!$E$69,P5&lt;Inputs_Assumptions!$E$73,Inputs_Assumptions!$E$70,P5&lt;Inputs_Assumptions!$E$74,Inputs_Assumptions!$E$71,"TRUE",0)</f>
        <v>3.5000000000000001E-3</v>
      </c>
      <c r="Q27" s="223" cm="1">
        <f t="array" ref="Q27">_xlfn.IFS(Q5&lt;Inputs_Assumptions!$E$72,Inputs_Assumptions!$E$69,Q5&lt;Inputs_Assumptions!$E$73,Inputs_Assumptions!$E$70,Q5&lt;Inputs_Assumptions!$E$74,Inputs_Assumptions!$E$71,"TRUE",0)</f>
        <v>3.5000000000000001E-3</v>
      </c>
      <c r="R27" s="223" cm="1">
        <f t="array" ref="R27">_xlfn.IFS(R5&lt;Inputs_Assumptions!$E$72,Inputs_Assumptions!$E$69,R5&lt;Inputs_Assumptions!$E$73,Inputs_Assumptions!$E$70,R5&lt;Inputs_Assumptions!$E$74,Inputs_Assumptions!$E$71,"TRUE",0)</f>
        <v>3.5000000000000001E-3</v>
      </c>
      <c r="S27" s="223" cm="1">
        <f t="array" ref="S27">_xlfn.IFS(S5&lt;Inputs_Assumptions!$E$72,Inputs_Assumptions!$E$69,S5&lt;Inputs_Assumptions!$E$73,Inputs_Assumptions!$E$70,S5&lt;Inputs_Assumptions!$E$74,Inputs_Assumptions!$E$71,"TRUE",0)</f>
        <v>3.5000000000000001E-3</v>
      </c>
      <c r="T27" s="223" cm="1">
        <f t="array" ref="T27">_xlfn.IFS(T5&lt;Inputs_Assumptions!$E$72,Inputs_Assumptions!$E$69,T5&lt;Inputs_Assumptions!$E$73,Inputs_Assumptions!$E$70,T5&lt;Inputs_Assumptions!$E$74,Inputs_Assumptions!$E$71,"TRUE",0)</f>
        <v>3.5000000000000001E-3</v>
      </c>
      <c r="U27" s="223" cm="1">
        <f t="array" ref="U27">_xlfn.IFS(U5&lt;Inputs_Assumptions!$E$72,Inputs_Assumptions!$E$69,U5&lt;Inputs_Assumptions!$E$73,Inputs_Assumptions!$E$70,U5&lt;Inputs_Assumptions!$E$74,Inputs_Assumptions!$E$71,"TRUE",0)</f>
        <v>3.5000000000000001E-3</v>
      </c>
      <c r="V27" s="223" cm="1">
        <f t="array" ref="V27">_xlfn.IFS(V5&lt;Inputs_Assumptions!$E$72,Inputs_Assumptions!$E$69,V5&lt;Inputs_Assumptions!$E$73,Inputs_Assumptions!$E$70,V5&lt;Inputs_Assumptions!$E$74,Inputs_Assumptions!$E$71,"TRUE",0)</f>
        <v>3.5000000000000001E-3</v>
      </c>
      <c r="W27" s="223" cm="1">
        <f t="array" ref="W27">_xlfn.IFS(W5&lt;Inputs_Assumptions!$E$72,Inputs_Assumptions!$E$69,W5&lt;Inputs_Assumptions!$E$73,Inputs_Assumptions!$E$70,W5&lt;Inputs_Assumptions!$E$74,Inputs_Assumptions!$E$71,"TRUE",0)</f>
        <v>3.5000000000000001E-3</v>
      </c>
      <c r="X27" s="223" cm="1">
        <f t="array" ref="X27">_xlfn.IFS(X5&lt;Inputs_Assumptions!$E$72,Inputs_Assumptions!$E$69,X5&lt;Inputs_Assumptions!$E$73,Inputs_Assumptions!$E$70,X5&lt;Inputs_Assumptions!$E$74,Inputs_Assumptions!$E$71,"TRUE",0)</f>
        <v>3.5000000000000001E-3</v>
      </c>
      <c r="Y27" s="223" cm="1">
        <f t="array" ref="Y27">_xlfn.IFS(Y5&lt;Inputs_Assumptions!$E$72,Inputs_Assumptions!$E$69,Y5&lt;Inputs_Assumptions!$E$73,Inputs_Assumptions!$E$70,Y5&lt;Inputs_Assumptions!$E$74,Inputs_Assumptions!$E$71,"TRUE",0)</f>
        <v>3.5000000000000001E-3</v>
      </c>
      <c r="Z27" s="223" cm="1">
        <f t="array" ref="Z27">_xlfn.IFS(Z5&lt;Inputs_Assumptions!$E$72,Inputs_Assumptions!$E$69,Z5&lt;Inputs_Assumptions!$E$73,Inputs_Assumptions!$E$70,Z5&lt;Inputs_Assumptions!$E$74,Inputs_Assumptions!$E$71,"TRUE",0)</f>
        <v>3.5000000000000001E-3</v>
      </c>
      <c r="AA27" s="223" cm="1">
        <f t="array" ref="AA27">_xlfn.IFS(AA5&lt;Inputs_Assumptions!$E$72,Inputs_Assumptions!$E$69,AA5&lt;Inputs_Assumptions!$E$73,Inputs_Assumptions!$E$70,AA5&lt;Inputs_Assumptions!$E$74,Inputs_Assumptions!$E$71,"TRUE",0)</f>
        <v>3.5000000000000001E-3</v>
      </c>
      <c r="AB27" s="223" cm="1">
        <f t="array" ref="AB27">_xlfn.IFS(AB5&lt;Inputs_Assumptions!$E$72,Inputs_Assumptions!$E$69,AB5&lt;Inputs_Assumptions!$E$73,Inputs_Assumptions!$E$70,AB5&lt;Inputs_Assumptions!$E$74,Inputs_Assumptions!$E$71,"TRUE",0)</f>
        <v>3.5000000000000001E-3</v>
      </c>
      <c r="AC27" s="223" cm="1">
        <f t="array" ref="AC27">_xlfn.IFS(AC5&lt;Inputs_Assumptions!$E$72,Inputs_Assumptions!$E$69,AC5&lt;Inputs_Assumptions!$E$73,Inputs_Assumptions!$E$70,AC5&lt;Inputs_Assumptions!$E$74,Inputs_Assumptions!$E$71,"TRUE",0)</f>
        <v>3.5000000000000001E-3</v>
      </c>
      <c r="AD27" s="223" cm="1">
        <f t="array" ref="AD27">_xlfn.IFS(AD5&lt;Inputs_Assumptions!$E$72,Inputs_Assumptions!$E$69,AD5&lt;Inputs_Assumptions!$E$73,Inputs_Assumptions!$E$70,AD5&lt;Inputs_Assumptions!$E$74,Inputs_Assumptions!$E$71,"TRUE",0)</f>
        <v>3.5000000000000001E-3</v>
      </c>
      <c r="AE27" s="223" cm="1">
        <f t="array" ref="AE27">_xlfn.IFS(AE5&lt;Inputs_Assumptions!$E$72,Inputs_Assumptions!$E$69,AE5&lt;Inputs_Assumptions!$E$73,Inputs_Assumptions!$E$70,AE5&lt;Inputs_Assumptions!$E$74,Inputs_Assumptions!$E$71,"TRUE",0)</f>
        <v>3.5000000000000001E-3</v>
      </c>
      <c r="AF27" s="223" cm="1">
        <f t="array" ref="AF27">_xlfn.IFS(AF5&lt;Inputs_Assumptions!$E$72,Inputs_Assumptions!$E$69,AF5&lt;Inputs_Assumptions!$E$73,Inputs_Assumptions!$E$70,AF5&lt;Inputs_Assumptions!$E$74,Inputs_Assumptions!$E$71,"TRUE",0)</f>
        <v>3.5000000000000001E-3</v>
      </c>
      <c r="AG27" s="223" cm="1">
        <f t="array" ref="AG27">_xlfn.IFS(AG5&lt;Inputs_Assumptions!$E$72,Inputs_Assumptions!$E$69,AG5&lt;Inputs_Assumptions!$E$73,Inputs_Assumptions!$E$70,AG5&lt;Inputs_Assumptions!$E$74,Inputs_Assumptions!$E$71,"TRUE",0)</f>
        <v>3.5000000000000001E-3</v>
      </c>
      <c r="AH27" s="223" cm="1">
        <f t="array" ref="AH27">_xlfn.IFS(AH5&lt;Inputs_Assumptions!$E$72,Inputs_Assumptions!$E$69,AH5&lt;Inputs_Assumptions!$E$73,Inputs_Assumptions!$E$70,AH5&lt;Inputs_Assumptions!$E$74,Inputs_Assumptions!$E$71,"TRUE",0)</f>
        <v>3.5000000000000001E-3</v>
      </c>
      <c r="AI27" s="223" cm="1">
        <f t="array" ref="AI27">_xlfn.IFS(AI5&lt;Inputs_Assumptions!$E$72,Inputs_Assumptions!$E$69,AI5&lt;Inputs_Assumptions!$E$73,Inputs_Assumptions!$E$70,AI5&lt;Inputs_Assumptions!$E$74,Inputs_Assumptions!$E$71,"TRUE",0)</f>
        <v>3.5000000000000001E-3</v>
      </c>
      <c r="AJ27" s="223" cm="1">
        <f t="array" ref="AJ27">_xlfn.IFS(AJ5&lt;Inputs_Assumptions!$E$72,Inputs_Assumptions!$E$69,AJ5&lt;Inputs_Assumptions!$E$73,Inputs_Assumptions!$E$70,AJ5&lt;Inputs_Assumptions!$E$74,Inputs_Assumptions!$E$71,"TRUE",0)</f>
        <v>3.5000000000000001E-3</v>
      </c>
      <c r="AK27" s="223" cm="1">
        <f t="array" ref="AK27">_xlfn.IFS(AK5&lt;Inputs_Assumptions!$E$72,Inputs_Assumptions!$E$69,AK5&lt;Inputs_Assumptions!$E$73,Inputs_Assumptions!$E$70,AK5&lt;Inputs_Assumptions!$E$74,Inputs_Assumptions!$E$71,"TRUE",0)</f>
        <v>3.5000000000000001E-3</v>
      </c>
      <c r="AL27" s="223" cm="1">
        <f t="array" ref="AL27">_xlfn.IFS(AL5&lt;Inputs_Assumptions!$E$72,Inputs_Assumptions!$E$69,AL5&lt;Inputs_Assumptions!$E$73,Inputs_Assumptions!$E$70,AL5&lt;Inputs_Assumptions!$E$74,Inputs_Assumptions!$E$71,"TRUE",0)</f>
        <v>3.5000000000000001E-3</v>
      </c>
      <c r="AM27" s="223" cm="1">
        <f t="array" ref="AM27">_xlfn.IFS(AM5&lt;Inputs_Assumptions!$E$72,Inputs_Assumptions!$E$69,AM5&lt;Inputs_Assumptions!$E$73,Inputs_Assumptions!$E$70,AM5&lt;Inputs_Assumptions!$E$74,Inputs_Assumptions!$E$71,"TRUE",0)</f>
        <v>3.5000000000000001E-3</v>
      </c>
      <c r="AN27" s="223" cm="1">
        <f t="array" ref="AN27">_xlfn.IFS(AN5&lt;Inputs_Assumptions!$E$72,Inputs_Assumptions!$E$69,AN5&lt;Inputs_Assumptions!$E$73,Inputs_Assumptions!$E$70,AN5&lt;Inputs_Assumptions!$E$74,Inputs_Assumptions!$E$71,"TRUE",0)</f>
        <v>3.5000000000000001E-3</v>
      </c>
      <c r="AO27" s="223" cm="1">
        <f t="array" ref="AO27">_xlfn.IFS(AO5&lt;Inputs_Assumptions!$E$72,Inputs_Assumptions!$E$69,AO5&lt;Inputs_Assumptions!$E$73,Inputs_Assumptions!$E$70,AO5&lt;Inputs_Assumptions!$E$74,Inputs_Assumptions!$E$71,"TRUE",0)</f>
        <v>3.5000000000000001E-3</v>
      </c>
      <c r="AP27" s="223" cm="1">
        <f t="array" ref="AP27">_xlfn.IFS(AP5&lt;Inputs_Assumptions!$E$72,Inputs_Assumptions!$E$69,AP5&lt;Inputs_Assumptions!$E$73,Inputs_Assumptions!$E$70,AP5&lt;Inputs_Assumptions!$E$74,Inputs_Assumptions!$E$71,"TRUE",0)</f>
        <v>3.5000000000000001E-3</v>
      </c>
      <c r="AQ27" s="223" cm="1">
        <f t="array" ref="AQ27">_xlfn.IFS(AQ5&lt;Inputs_Assumptions!$E$72,Inputs_Assumptions!$E$69,AQ5&lt;Inputs_Assumptions!$E$73,Inputs_Assumptions!$E$70,AQ5&lt;Inputs_Assumptions!$E$74,Inputs_Assumptions!$E$71,"TRUE",0)</f>
        <v>0.01</v>
      </c>
      <c r="AR27" s="223" cm="1">
        <f t="array" ref="AR27">_xlfn.IFS(AR5&lt;Inputs_Assumptions!$E$72,Inputs_Assumptions!$E$69,AR5&lt;Inputs_Assumptions!$E$73,Inputs_Assumptions!$E$70,AR5&lt;Inputs_Assumptions!$E$74,Inputs_Assumptions!$E$71,"TRUE",0)</f>
        <v>0.01</v>
      </c>
      <c r="AS27" s="223" cm="1">
        <f t="array" ref="AS27">_xlfn.IFS(AS5&lt;Inputs_Assumptions!$E$72,Inputs_Assumptions!$E$69,AS5&lt;Inputs_Assumptions!$E$73,Inputs_Assumptions!$E$70,AS5&lt;Inputs_Assumptions!$E$74,Inputs_Assumptions!$E$71,"TRUE",0)</f>
        <v>0.01</v>
      </c>
      <c r="AT27" s="223" cm="1">
        <f t="array" ref="AT27">_xlfn.IFS(AT5&lt;Inputs_Assumptions!$E$72,Inputs_Assumptions!$E$69,AT5&lt;Inputs_Assumptions!$E$73,Inputs_Assumptions!$E$70,AT5&lt;Inputs_Assumptions!$E$74,Inputs_Assumptions!$E$71,"TRUE",0)</f>
        <v>0.01</v>
      </c>
      <c r="AU27" s="223" cm="1">
        <f t="array" ref="AU27">_xlfn.IFS(AU5&lt;Inputs_Assumptions!$E$72,Inputs_Assumptions!$E$69,AU5&lt;Inputs_Assumptions!$E$73,Inputs_Assumptions!$E$70,AU5&lt;Inputs_Assumptions!$E$74,Inputs_Assumptions!$E$71,"TRUE",0)</f>
        <v>0.01</v>
      </c>
      <c r="AV27" s="223" cm="1">
        <f t="array" ref="AV27">_xlfn.IFS(AV5&lt;Inputs_Assumptions!$E$72,Inputs_Assumptions!$E$69,AV5&lt;Inputs_Assumptions!$E$73,Inputs_Assumptions!$E$70,AV5&lt;Inputs_Assumptions!$E$74,Inputs_Assumptions!$E$71,"TRUE",0)</f>
        <v>0.01</v>
      </c>
      <c r="AW27" s="223" cm="1">
        <f t="array" ref="AW27">_xlfn.IFS(AW5&lt;Inputs_Assumptions!$E$72,Inputs_Assumptions!$E$69,AW5&lt;Inputs_Assumptions!$E$73,Inputs_Assumptions!$E$70,AW5&lt;Inputs_Assumptions!$E$74,Inputs_Assumptions!$E$71,"TRUE",0)</f>
        <v>0.01</v>
      </c>
      <c r="AX27" s="223" cm="1">
        <f t="array" ref="AX27">_xlfn.IFS(AX5&lt;Inputs_Assumptions!$E$72,Inputs_Assumptions!$E$69,AX5&lt;Inputs_Assumptions!$E$73,Inputs_Assumptions!$E$70,AX5&lt;Inputs_Assumptions!$E$74,Inputs_Assumptions!$E$71,"TRUE",0)</f>
        <v>0.01</v>
      </c>
      <c r="AY27" s="223" cm="1">
        <f t="array" ref="AY27">_xlfn.IFS(AY5&lt;Inputs_Assumptions!$E$72,Inputs_Assumptions!$E$69,AY5&lt;Inputs_Assumptions!$E$73,Inputs_Assumptions!$E$70,AY5&lt;Inputs_Assumptions!$E$74,Inputs_Assumptions!$E$71,"TRUE",0)</f>
        <v>0.01</v>
      </c>
      <c r="AZ27" s="223" cm="1">
        <f t="array" ref="AZ27">_xlfn.IFS(AZ5&lt;Inputs_Assumptions!$E$72,Inputs_Assumptions!$E$69,AZ5&lt;Inputs_Assumptions!$E$73,Inputs_Assumptions!$E$70,AZ5&lt;Inputs_Assumptions!$E$74,Inputs_Assumptions!$E$71,"TRUE",0)</f>
        <v>0.01</v>
      </c>
      <c r="BA27" s="223" cm="1">
        <f t="array" ref="BA27">_xlfn.IFS(BA5&lt;Inputs_Assumptions!$E$72,Inputs_Assumptions!$E$69,BA5&lt;Inputs_Assumptions!$E$73,Inputs_Assumptions!$E$70,BA5&lt;Inputs_Assumptions!$E$74,Inputs_Assumptions!$E$71,"TRUE",0)</f>
        <v>0.01</v>
      </c>
      <c r="BB27" s="223" cm="1">
        <f t="array" ref="BB27">_xlfn.IFS(BB5&lt;Inputs_Assumptions!$E$72,Inputs_Assumptions!$E$69,BB5&lt;Inputs_Assumptions!$E$73,Inputs_Assumptions!$E$70,BB5&lt;Inputs_Assumptions!$E$74,Inputs_Assumptions!$E$71,"TRUE",0)</f>
        <v>0.01</v>
      </c>
      <c r="BC27" s="223" cm="1">
        <f t="array" ref="BC27">_xlfn.IFS(BC5&lt;Inputs_Assumptions!$E$72,Inputs_Assumptions!$E$69,BC5&lt;Inputs_Assumptions!$E$73,Inputs_Assumptions!$E$70,BC5&lt;Inputs_Assumptions!$E$74,Inputs_Assumptions!$E$71,"TRUE",0)</f>
        <v>0.01</v>
      </c>
      <c r="BD27" s="223" cm="1">
        <f t="array" ref="BD27">_xlfn.IFS(BD5&lt;Inputs_Assumptions!$E$72,Inputs_Assumptions!$E$69,BD5&lt;Inputs_Assumptions!$E$73,Inputs_Assumptions!$E$70,BD5&lt;Inputs_Assumptions!$E$74,Inputs_Assumptions!$E$71,"TRUE",0)</f>
        <v>0.01</v>
      </c>
      <c r="BE27" s="223" cm="1">
        <f t="array" ref="BE27">_xlfn.IFS(BE5&lt;Inputs_Assumptions!$E$72,Inputs_Assumptions!$E$69,BE5&lt;Inputs_Assumptions!$E$73,Inputs_Assumptions!$E$70,BE5&lt;Inputs_Assumptions!$E$74,Inputs_Assumptions!$E$71,"TRUE",0)</f>
        <v>0.01</v>
      </c>
      <c r="BF27" s="223" cm="1">
        <f t="array" ref="BF27">_xlfn.IFS(BF5&lt;Inputs_Assumptions!$E$72,Inputs_Assumptions!$E$69,BF5&lt;Inputs_Assumptions!$E$73,Inputs_Assumptions!$E$70,BF5&lt;Inputs_Assumptions!$E$74,Inputs_Assumptions!$E$71,"TRUE",0)</f>
        <v>0.01</v>
      </c>
      <c r="BG27" s="223" cm="1">
        <f t="array" ref="BG27">_xlfn.IFS(BG5&lt;Inputs_Assumptions!$E$72,Inputs_Assumptions!$E$69,BG5&lt;Inputs_Assumptions!$E$73,Inputs_Assumptions!$E$70,BG5&lt;Inputs_Assumptions!$E$74,Inputs_Assumptions!$E$71,"TRUE",0)</f>
        <v>0.01</v>
      </c>
      <c r="BH27" s="223" cm="1">
        <f t="array" ref="BH27">_xlfn.IFS(BH5&lt;Inputs_Assumptions!$E$72,Inputs_Assumptions!$E$69,BH5&lt;Inputs_Assumptions!$E$73,Inputs_Assumptions!$E$70,BH5&lt;Inputs_Assumptions!$E$74,Inputs_Assumptions!$E$71,"TRUE",0)</f>
        <v>0.01</v>
      </c>
      <c r="BI27" s="223" cm="1">
        <f t="array" ref="BI27">_xlfn.IFS(BI5&lt;Inputs_Assumptions!$E$72,Inputs_Assumptions!$E$69,BI5&lt;Inputs_Assumptions!$E$73,Inputs_Assumptions!$E$70,BI5&lt;Inputs_Assumptions!$E$74,Inputs_Assumptions!$E$71,"TRUE",0)</f>
        <v>0.01</v>
      </c>
      <c r="BJ27" s="223" cm="1">
        <f t="array" ref="BJ27">_xlfn.IFS(BJ5&lt;Inputs_Assumptions!$E$72,Inputs_Assumptions!$E$69,BJ5&lt;Inputs_Assumptions!$E$73,Inputs_Assumptions!$E$70,BJ5&lt;Inputs_Assumptions!$E$74,Inputs_Assumptions!$E$71,"TRUE",0)</f>
        <v>0.01</v>
      </c>
      <c r="BK27" s="223" cm="1">
        <f t="array" ref="BK27">_xlfn.IFS(BK5&lt;Inputs_Assumptions!$E$72,Inputs_Assumptions!$E$69,BK5&lt;Inputs_Assumptions!$E$73,Inputs_Assumptions!$E$70,BK5&lt;Inputs_Assumptions!$E$74,Inputs_Assumptions!$E$71,"TRUE",0)</f>
        <v>0.01</v>
      </c>
      <c r="BL27" s="223" cm="1">
        <f t="array" ref="BL27">_xlfn.IFS(BL5&lt;Inputs_Assumptions!$E$72,Inputs_Assumptions!$E$69,BL5&lt;Inputs_Assumptions!$E$73,Inputs_Assumptions!$E$70,BL5&lt;Inputs_Assumptions!$E$74,Inputs_Assumptions!$E$71,"TRUE",0)</f>
        <v>0.01</v>
      </c>
      <c r="BM27" s="223" cm="1">
        <f t="array" ref="BM27">_xlfn.IFS(BM5&lt;Inputs_Assumptions!$E$72,Inputs_Assumptions!$E$69,BM5&lt;Inputs_Assumptions!$E$73,Inputs_Assumptions!$E$70,BM5&lt;Inputs_Assumptions!$E$74,Inputs_Assumptions!$E$71,"TRUE",0)</f>
        <v>0.01</v>
      </c>
      <c r="BN27" s="223" cm="1">
        <f t="array" ref="BN27">_xlfn.IFS(BN5&lt;Inputs_Assumptions!$E$72,Inputs_Assumptions!$E$69,BN5&lt;Inputs_Assumptions!$E$73,Inputs_Assumptions!$E$70,BN5&lt;Inputs_Assumptions!$E$74,Inputs_Assumptions!$E$71,"TRUE",0)</f>
        <v>0.01</v>
      </c>
      <c r="BO27" s="223" cm="1">
        <f t="array" ref="BO27">_xlfn.IFS(BO5&lt;Inputs_Assumptions!$E$72,Inputs_Assumptions!$E$69,BO5&lt;Inputs_Assumptions!$E$73,Inputs_Assumptions!$E$70,BO5&lt;Inputs_Assumptions!$E$74,Inputs_Assumptions!$E$71,"TRUE",0)</f>
        <v>0.01</v>
      </c>
      <c r="BP27" s="223" cm="1">
        <f t="array" ref="BP27">_xlfn.IFS(BP5&lt;Inputs_Assumptions!$E$72,Inputs_Assumptions!$E$69,BP5&lt;Inputs_Assumptions!$E$73,Inputs_Assumptions!$E$70,BP5&lt;Inputs_Assumptions!$E$74,Inputs_Assumptions!$E$71,"TRUE",0)</f>
        <v>0.01</v>
      </c>
      <c r="BQ27" s="223" cm="1">
        <f t="array" ref="BQ27">_xlfn.IFS(BQ5&lt;Inputs_Assumptions!$E$72,Inputs_Assumptions!$E$69,BQ5&lt;Inputs_Assumptions!$E$73,Inputs_Assumptions!$E$70,BQ5&lt;Inputs_Assumptions!$E$74,Inputs_Assumptions!$E$71,"TRUE",0)</f>
        <v>0.01</v>
      </c>
      <c r="BR27" s="223" cm="1">
        <f t="array" ref="BR27">_xlfn.IFS(BR5&lt;Inputs_Assumptions!$E$72,Inputs_Assumptions!$E$69,BR5&lt;Inputs_Assumptions!$E$73,Inputs_Assumptions!$E$70,BR5&lt;Inputs_Assumptions!$E$74,Inputs_Assumptions!$E$71,"TRUE",0)</f>
        <v>0.01</v>
      </c>
      <c r="BS27" s="223" cm="1">
        <f t="array" ref="BS27">_xlfn.IFS(BS5&lt;Inputs_Assumptions!$E$72,Inputs_Assumptions!$E$69,BS5&lt;Inputs_Assumptions!$E$73,Inputs_Assumptions!$E$70,BS5&lt;Inputs_Assumptions!$E$74,Inputs_Assumptions!$E$71,"TRUE",0)</f>
        <v>0.01</v>
      </c>
      <c r="BT27" s="223" cm="1">
        <f t="array" ref="BT27">_xlfn.IFS(BT5&lt;Inputs_Assumptions!$E$72,Inputs_Assumptions!$E$69,BT5&lt;Inputs_Assumptions!$E$73,Inputs_Assumptions!$E$70,BT5&lt;Inputs_Assumptions!$E$74,Inputs_Assumptions!$E$71,"TRUE",0)</f>
        <v>0.01</v>
      </c>
      <c r="BU27" s="223" cm="1">
        <f t="array" ref="BU27">_xlfn.IFS(BU5&lt;Inputs_Assumptions!$E$72,Inputs_Assumptions!$E$69,BU5&lt;Inputs_Assumptions!$E$73,Inputs_Assumptions!$E$70,BU5&lt;Inputs_Assumptions!$E$74,Inputs_Assumptions!$E$71,"TRUE",0)</f>
        <v>0.01</v>
      </c>
      <c r="BV27" s="223" cm="1">
        <f t="array" ref="BV27">_xlfn.IFS(BV5&lt;Inputs_Assumptions!$E$72,Inputs_Assumptions!$E$69,BV5&lt;Inputs_Assumptions!$E$73,Inputs_Assumptions!$E$70,BV5&lt;Inputs_Assumptions!$E$74,Inputs_Assumptions!$E$71,"TRUE",0)</f>
        <v>0.01</v>
      </c>
      <c r="BW27" s="223" cm="1">
        <f t="array" ref="BW27">_xlfn.IFS(BW5&lt;Inputs_Assumptions!$E$72,Inputs_Assumptions!$E$69,BW5&lt;Inputs_Assumptions!$E$73,Inputs_Assumptions!$E$70,BW5&lt;Inputs_Assumptions!$E$74,Inputs_Assumptions!$E$71,"TRUE",0)</f>
        <v>0.01</v>
      </c>
      <c r="BX27" s="223" cm="1">
        <f t="array" ref="BX27">_xlfn.IFS(BX5&lt;Inputs_Assumptions!$E$72,Inputs_Assumptions!$E$69,BX5&lt;Inputs_Assumptions!$E$73,Inputs_Assumptions!$E$70,BX5&lt;Inputs_Assumptions!$E$74,Inputs_Assumptions!$E$71,"TRUE",0)</f>
        <v>0.01</v>
      </c>
      <c r="BY27" s="223" cm="1">
        <f t="array" ref="BY27">_xlfn.IFS(BY5&lt;Inputs_Assumptions!$E$72,Inputs_Assumptions!$E$69,BY5&lt;Inputs_Assumptions!$E$73,Inputs_Assumptions!$E$70,BY5&lt;Inputs_Assumptions!$E$74,Inputs_Assumptions!$E$71,"TRUE",0)</f>
        <v>0.01</v>
      </c>
      <c r="BZ27" s="223" cm="1">
        <f t="array" ref="BZ27">_xlfn.IFS(BZ5&lt;Inputs_Assumptions!$E$72,Inputs_Assumptions!$E$69,BZ5&lt;Inputs_Assumptions!$E$73,Inputs_Assumptions!$E$70,BZ5&lt;Inputs_Assumptions!$E$74,Inputs_Assumptions!$E$71,"TRUE",0)</f>
        <v>0.01</v>
      </c>
      <c r="CA27" s="223" cm="1">
        <f t="array" ref="CA27">_xlfn.IFS(CA5&lt;Inputs_Assumptions!$E$72,Inputs_Assumptions!$E$69,CA5&lt;Inputs_Assumptions!$E$73,Inputs_Assumptions!$E$70,CA5&lt;Inputs_Assumptions!$E$74,Inputs_Assumptions!$E$71,"TRUE",0)</f>
        <v>0.01</v>
      </c>
      <c r="CB27" s="223" cm="1">
        <f t="array" ref="CB27">_xlfn.IFS(CB5&lt;Inputs_Assumptions!$E$72,Inputs_Assumptions!$E$69,CB5&lt;Inputs_Assumptions!$E$73,Inputs_Assumptions!$E$70,CB5&lt;Inputs_Assumptions!$E$74,Inputs_Assumptions!$E$71,"TRUE",0)</f>
        <v>0.01</v>
      </c>
      <c r="CC27" s="223" cm="1">
        <f t="array" ref="CC27">_xlfn.IFS(CC5&lt;Inputs_Assumptions!$E$72,Inputs_Assumptions!$E$69,CC5&lt;Inputs_Assumptions!$E$73,Inputs_Assumptions!$E$70,CC5&lt;Inputs_Assumptions!$E$74,Inputs_Assumptions!$E$71,"TRUE",0)</f>
        <v>0.01</v>
      </c>
      <c r="CD27" s="223" cm="1">
        <f t="array" ref="CD27">_xlfn.IFS(CD5&lt;Inputs_Assumptions!$E$72,Inputs_Assumptions!$E$69,CD5&lt;Inputs_Assumptions!$E$73,Inputs_Assumptions!$E$70,CD5&lt;Inputs_Assumptions!$E$74,Inputs_Assumptions!$E$71,"TRUE",0)</f>
        <v>0.01</v>
      </c>
      <c r="CE27" s="223" cm="1">
        <f t="array" ref="CE27">_xlfn.IFS(CE5&lt;Inputs_Assumptions!$E$72,Inputs_Assumptions!$E$69,CE5&lt;Inputs_Assumptions!$E$73,Inputs_Assumptions!$E$70,CE5&lt;Inputs_Assumptions!$E$74,Inputs_Assumptions!$E$71,"TRUE",0)</f>
        <v>1.4999999999999999E-2</v>
      </c>
      <c r="CF27" s="223" cm="1">
        <f t="array" ref="CF27">_xlfn.IFS(CF5&lt;Inputs_Assumptions!$E$72,Inputs_Assumptions!$E$69,CF5&lt;Inputs_Assumptions!$E$73,Inputs_Assumptions!$E$70,CF5&lt;Inputs_Assumptions!$E$74,Inputs_Assumptions!$E$71,"TRUE",0)</f>
        <v>1.4999999999999999E-2</v>
      </c>
      <c r="CG27" s="223" cm="1">
        <f t="array" ref="CG27">_xlfn.IFS(CG5&lt;Inputs_Assumptions!$E$72,Inputs_Assumptions!$E$69,CG5&lt;Inputs_Assumptions!$E$73,Inputs_Assumptions!$E$70,CG5&lt;Inputs_Assumptions!$E$74,Inputs_Assumptions!$E$71,"TRUE",0)</f>
        <v>1.4999999999999999E-2</v>
      </c>
      <c r="CH27" s="223" cm="1">
        <f t="array" ref="CH27">_xlfn.IFS(CH5&lt;Inputs_Assumptions!$E$72,Inputs_Assumptions!$E$69,CH5&lt;Inputs_Assumptions!$E$73,Inputs_Assumptions!$E$70,CH5&lt;Inputs_Assumptions!$E$74,Inputs_Assumptions!$E$71,"TRUE",0)</f>
        <v>1.4999999999999999E-2</v>
      </c>
      <c r="CI27" s="223" cm="1">
        <f t="array" ref="CI27">_xlfn.IFS(CI5&lt;Inputs_Assumptions!$E$72,Inputs_Assumptions!$E$69,CI5&lt;Inputs_Assumptions!$E$73,Inputs_Assumptions!$E$70,CI5&lt;Inputs_Assumptions!$E$74,Inputs_Assumptions!$E$71,"TRUE",0)</f>
        <v>1.4999999999999999E-2</v>
      </c>
      <c r="CJ27" s="223" cm="1">
        <f t="array" ref="CJ27">_xlfn.IFS(CJ5&lt;Inputs_Assumptions!$E$72,Inputs_Assumptions!$E$69,CJ5&lt;Inputs_Assumptions!$E$73,Inputs_Assumptions!$E$70,CJ5&lt;Inputs_Assumptions!$E$74,Inputs_Assumptions!$E$71,"TRUE",0)</f>
        <v>1.4999999999999999E-2</v>
      </c>
      <c r="CK27" s="223" cm="1">
        <f t="array" ref="CK27">_xlfn.IFS(CK5&lt;Inputs_Assumptions!$E$72,Inputs_Assumptions!$E$69,CK5&lt;Inputs_Assumptions!$E$73,Inputs_Assumptions!$E$70,CK5&lt;Inputs_Assumptions!$E$74,Inputs_Assumptions!$E$71,"TRUE",0)</f>
        <v>1.4999999999999999E-2</v>
      </c>
      <c r="CL27" s="223" cm="1">
        <f t="array" ref="CL27">_xlfn.IFS(CL5&lt;Inputs_Assumptions!$E$72,Inputs_Assumptions!$E$69,CL5&lt;Inputs_Assumptions!$E$73,Inputs_Assumptions!$E$70,CL5&lt;Inputs_Assumptions!$E$74,Inputs_Assumptions!$E$71,"TRUE",0)</f>
        <v>1.4999999999999999E-2</v>
      </c>
      <c r="CM27" s="223" cm="1">
        <f t="array" ref="CM27">_xlfn.IFS(CM5&lt;Inputs_Assumptions!$E$72,Inputs_Assumptions!$E$69,CM5&lt;Inputs_Assumptions!$E$73,Inputs_Assumptions!$E$70,CM5&lt;Inputs_Assumptions!$E$74,Inputs_Assumptions!$E$71,"TRUE",0)</f>
        <v>1.4999999999999999E-2</v>
      </c>
      <c r="CN27" s="223" cm="1">
        <f t="array" ref="CN27">_xlfn.IFS(CN5&lt;Inputs_Assumptions!$E$72,Inputs_Assumptions!$E$69,CN5&lt;Inputs_Assumptions!$E$73,Inputs_Assumptions!$E$70,CN5&lt;Inputs_Assumptions!$E$74,Inputs_Assumptions!$E$71,"TRUE",0)</f>
        <v>1.4999999999999999E-2</v>
      </c>
      <c r="CO27" s="223" cm="1">
        <f t="array" ref="CO27">_xlfn.IFS(CO5&lt;Inputs_Assumptions!$E$72,Inputs_Assumptions!$E$69,CO5&lt;Inputs_Assumptions!$E$73,Inputs_Assumptions!$E$70,CO5&lt;Inputs_Assumptions!$E$74,Inputs_Assumptions!$E$71,"TRUE",0)</f>
        <v>1.4999999999999999E-2</v>
      </c>
      <c r="CP27" s="223" cm="1">
        <f t="array" ref="CP27">_xlfn.IFS(CP5&lt;Inputs_Assumptions!$E$72,Inputs_Assumptions!$E$69,CP5&lt;Inputs_Assumptions!$E$73,Inputs_Assumptions!$E$70,CP5&lt;Inputs_Assumptions!$E$74,Inputs_Assumptions!$E$71,"TRUE",0)</f>
        <v>1.4999999999999999E-2</v>
      </c>
      <c r="CQ27" s="223" cm="1">
        <f t="array" ref="CQ27">_xlfn.IFS(CQ5&lt;Inputs_Assumptions!$E$72,Inputs_Assumptions!$E$69,CQ5&lt;Inputs_Assumptions!$E$73,Inputs_Assumptions!$E$70,CQ5&lt;Inputs_Assumptions!$E$74,Inputs_Assumptions!$E$71,"TRUE",0)</f>
        <v>1.4999999999999999E-2</v>
      </c>
      <c r="CR27" s="223" cm="1">
        <f t="array" ref="CR27">_xlfn.IFS(CR5&lt;Inputs_Assumptions!$E$72,Inputs_Assumptions!$E$69,CR5&lt;Inputs_Assumptions!$E$73,Inputs_Assumptions!$E$70,CR5&lt;Inputs_Assumptions!$E$74,Inputs_Assumptions!$E$71,"TRUE",0)</f>
        <v>1.4999999999999999E-2</v>
      </c>
      <c r="CS27" s="223" cm="1">
        <f t="array" ref="CS27">_xlfn.IFS(CS5&lt;Inputs_Assumptions!$E$72,Inputs_Assumptions!$E$69,CS5&lt;Inputs_Assumptions!$E$73,Inputs_Assumptions!$E$70,CS5&lt;Inputs_Assumptions!$E$74,Inputs_Assumptions!$E$71,"TRUE",0)</f>
        <v>1.4999999999999999E-2</v>
      </c>
      <c r="CT27" s="223" cm="1">
        <f t="array" ref="CT27">_xlfn.IFS(CT5&lt;Inputs_Assumptions!$E$72,Inputs_Assumptions!$E$69,CT5&lt;Inputs_Assumptions!$E$73,Inputs_Assumptions!$E$70,CT5&lt;Inputs_Assumptions!$E$74,Inputs_Assumptions!$E$71,"TRUE",0)</f>
        <v>1.4999999999999999E-2</v>
      </c>
      <c r="CU27" s="247" cm="1">
        <f t="array" ref="CU27">_xlfn.IFS(CU5&lt;Inputs_Assumptions!$E$72,Inputs_Assumptions!$E$69,CU5&lt;Inputs_Assumptions!$E$73,Inputs_Assumptions!$E$70,CU5&lt;Inputs_Assumptions!$E$74,Inputs_Assumptions!$E$71,"TRUE",0)</f>
        <v>1.4999999999999999E-2</v>
      </c>
      <c r="CV27" s="223" cm="1">
        <f t="array" ref="CV27">_xlfn.IFS(CV5&lt;Inputs_Assumptions!$E$72,Inputs_Assumptions!$E$69,CV5&lt;Inputs_Assumptions!$E$73,Inputs_Assumptions!$E$70,CV5&lt;Inputs_Assumptions!$E$74,Inputs_Assumptions!$E$71,"TRUE",0)</f>
        <v>1.4999999999999999E-2</v>
      </c>
      <c r="CW27" s="223" cm="1">
        <f t="array" ref="CW27">_xlfn.IFS(CW5&lt;Inputs_Assumptions!$E$72,Inputs_Assumptions!$E$69,CW5&lt;Inputs_Assumptions!$E$73,Inputs_Assumptions!$E$70,CW5&lt;Inputs_Assumptions!$E$74,Inputs_Assumptions!$E$71,"TRUE",0)</f>
        <v>1.4999999999999999E-2</v>
      </c>
      <c r="CX27" s="223" cm="1">
        <f t="array" ref="CX27">_xlfn.IFS(CX5&lt;Inputs_Assumptions!$E$72,Inputs_Assumptions!$E$69,CX5&lt;Inputs_Assumptions!$E$73,Inputs_Assumptions!$E$70,CX5&lt;Inputs_Assumptions!$E$74,Inputs_Assumptions!$E$71,"TRUE",0)</f>
        <v>1.4999999999999999E-2</v>
      </c>
      <c r="CY27" s="223" cm="1">
        <f t="array" ref="CY27">_xlfn.IFS(CY5&lt;Inputs_Assumptions!$E$72,Inputs_Assumptions!$E$69,CY5&lt;Inputs_Assumptions!$E$73,Inputs_Assumptions!$E$70,CY5&lt;Inputs_Assumptions!$E$74,Inputs_Assumptions!$E$71,"TRUE",0)</f>
        <v>1.4999999999999999E-2</v>
      </c>
      <c r="CZ27" s="223" cm="1">
        <f t="array" ref="CZ27">_xlfn.IFS(CZ5&lt;Inputs_Assumptions!$E$72,Inputs_Assumptions!$E$69,CZ5&lt;Inputs_Assumptions!$E$73,Inputs_Assumptions!$E$70,CZ5&lt;Inputs_Assumptions!$E$74,Inputs_Assumptions!$E$71,"TRUE",0)</f>
        <v>1.4999999999999999E-2</v>
      </c>
      <c r="DA27" s="223" cm="1">
        <f t="array" ref="DA27">_xlfn.IFS(DA5&lt;Inputs_Assumptions!$E$72,Inputs_Assumptions!$E$69,DA5&lt;Inputs_Assumptions!$E$73,Inputs_Assumptions!$E$70,DA5&lt;Inputs_Assumptions!$E$74,Inputs_Assumptions!$E$71,"TRUE",0)</f>
        <v>1.4999999999999999E-2</v>
      </c>
      <c r="DB27" s="223" cm="1">
        <f t="array" ref="DB27">_xlfn.IFS(DB5&lt;Inputs_Assumptions!$E$72,Inputs_Assumptions!$E$69,DB5&lt;Inputs_Assumptions!$E$73,Inputs_Assumptions!$E$70,DB5&lt;Inputs_Assumptions!$E$74,Inputs_Assumptions!$E$71,"TRUE",0)</f>
        <v>1.4999999999999999E-2</v>
      </c>
      <c r="DC27" s="223" cm="1">
        <f t="array" ref="DC27">_xlfn.IFS(DC5&lt;Inputs_Assumptions!$E$72,Inputs_Assumptions!$E$69,DC5&lt;Inputs_Assumptions!$E$73,Inputs_Assumptions!$E$70,DC5&lt;Inputs_Assumptions!$E$74,Inputs_Assumptions!$E$71,"TRUE",0)</f>
        <v>1.4999999999999999E-2</v>
      </c>
      <c r="DD27" s="223" cm="1">
        <f t="array" ref="DD27">_xlfn.IFS(DD5&lt;Inputs_Assumptions!$E$72,Inputs_Assumptions!$E$69,DD5&lt;Inputs_Assumptions!$E$73,Inputs_Assumptions!$E$70,DD5&lt;Inputs_Assumptions!$E$74,Inputs_Assumptions!$E$71,"TRUE",0)</f>
        <v>1.4999999999999999E-2</v>
      </c>
      <c r="DE27" s="223" cm="1">
        <f t="array" ref="DE27">_xlfn.IFS(DE5&lt;Inputs_Assumptions!$E$72,Inputs_Assumptions!$E$69,DE5&lt;Inputs_Assumptions!$E$73,Inputs_Assumptions!$E$70,DE5&lt;Inputs_Assumptions!$E$74,Inputs_Assumptions!$E$71,"TRUE",0)</f>
        <v>1.4999999999999999E-2</v>
      </c>
      <c r="DF27" s="223" cm="1">
        <f t="array" ref="DF27">_xlfn.IFS(DF5&lt;Inputs_Assumptions!$E$72,Inputs_Assumptions!$E$69,DF5&lt;Inputs_Assumptions!$E$73,Inputs_Assumptions!$E$70,DF5&lt;Inputs_Assumptions!$E$74,Inputs_Assumptions!$E$71,"TRUE",0)</f>
        <v>1.4999999999999999E-2</v>
      </c>
      <c r="DG27" s="223" cm="1">
        <f t="array" ref="DG27">_xlfn.IFS(DG5&lt;Inputs_Assumptions!$E$72,Inputs_Assumptions!$E$69,DG5&lt;Inputs_Assumptions!$E$73,Inputs_Assumptions!$E$70,DG5&lt;Inputs_Assumptions!$E$74,Inputs_Assumptions!$E$71,"TRUE",0)</f>
        <v>1.4999999999999999E-2</v>
      </c>
      <c r="DH27" s="223" cm="1">
        <f t="array" ref="DH27">_xlfn.IFS(DH5&lt;Inputs_Assumptions!$E$72,Inputs_Assumptions!$E$69,DH5&lt;Inputs_Assumptions!$E$73,Inputs_Assumptions!$E$70,DH5&lt;Inputs_Assumptions!$E$74,Inputs_Assumptions!$E$71,"TRUE",0)</f>
        <v>1.4999999999999999E-2</v>
      </c>
      <c r="DI27" s="223" cm="1">
        <f t="array" ref="DI27">_xlfn.IFS(DI5&lt;Inputs_Assumptions!$E$72,Inputs_Assumptions!$E$69,DI5&lt;Inputs_Assumptions!$E$73,Inputs_Assumptions!$E$70,DI5&lt;Inputs_Assumptions!$E$74,Inputs_Assumptions!$E$71,"TRUE",0)</f>
        <v>1.4999999999999999E-2</v>
      </c>
      <c r="DJ27" s="223" cm="1">
        <f t="array" ref="DJ27">_xlfn.IFS(DJ5&lt;Inputs_Assumptions!$E$72,Inputs_Assumptions!$E$69,DJ5&lt;Inputs_Assumptions!$E$73,Inputs_Assumptions!$E$70,DJ5&lt;Inputs_Assumptions!$E$74,Inputs_Assumptions!$E$71,"TRUE",0)</f>
        <v>1.4999999999999999E-2</v>
      </c>
      <c r="DK27" s="223" cm="1">
        <f t="array" ref="DK27">_xlfn.IFS(DK5&lt;Inputs_Assumptions!$E$72,Inputs_Assumptions!$E$69,DK5&lt;Inputs_Assumptions!$E$73,Inputs_Assumptions!$E$70,DK5&lt;Inputs_Assumptions!$E$74,Inputs_Assumptions!$E$71,"TRUE",0)</f>
        <v>1.4999999999999999E-2</v>
      </c>
      <c r="DL27" s="223" cm="1">
        <f t="array" ref="DL27">_xlfn.IFS(DL5&lt;Inputs_Assumptions!$E$72,Inputs_Assumptions!$E$69,DL5&lt;Inputs_Assumptions!$E$73,Inputs_Assumptions!$E$70,DL5&lt;Inputs_Assumptions!$E$74,Inputs_Assumptions!$E$71,"TRUE",0)</f>
        <v>1.4999999999999999E-2</v>
      </c>
      <c r="DM27" s="223" cm="1">
        <f t="array" ref="DM27">_xlfn.IFS(DM5&lt;Inputs_Assumptions!$E$72,Inputs_Assumptions!$E$69,DM5&lt;Inputs_Assumptions!$E$73,Inputs_Assumptions!$E$70,DM5&lt;Inputs_Assumptions!$E$74,Inputs_Assumptions!$E$71,"TRUE",0)</f>
        <v>1.4999999999999999E-2</v>
      </c>
      <c r="DN27" s="223" cm="1">
        <f t="array" ref="DN27">_xlfn.IFS(DN5&lt;Inputs_Assumptions!$E$72,Inputs_Assumptions!$E$69,DN5&lt;Inputs_Assumptions!$E$73,Inputs_Assumptions!$E$70,DN5&lt;Inputs_Assumptions!$E$74,Inputs_Assumptions!$E$71,"TRUE",0)</f>
        <v>1.4999999999999999E-2</v>
      </c>
      <c r="DO27" s="223" cm="1">
        <f t="array" ref="DO27">_xlfn.IFS(DO5&lt;Inputs_Assumptions!$E$72,Inputs_Assumptions!$E$69,DO5&lt;Inputs_Assumptions!$E$73,Inputs_Assumptions!$E$70,DO5&lt;Inputs_Assumptions!$E$74,Inputs_Assumptions!$E$71,"TRUE",0)</f>
        <v>1.4999999999999999E-2</v>
      </c>
      <c r="DP27" s="223" cm="1">
        <f t="array" ref="DP27">_xlfn.IFS(DP5&lt;Inputs_Assumptions!$E$72,Inputs_Assumptions!$E$69,DP5&lt;Inputs_Assumptions!$E$73,Inputs_Assumptions!$E$70,DP5&lt;Inputs_Assumptions!$E$74,Inputs_Assumptions!$E$71,"TRUE",0)</f>
        <v>1.4999999999999999E-2</v>
      </c>
      <c r="DQ27" s="223" cm="1">
        <f t="array" ref="DQ27">_xlfn.IFS(DQ5&lt;Inputs_Assumptions!$E$72,Inputs_Assumptions!$E$69,DQ5&lt;Inputs_Assumptions!$E$73,Inputs_Assumptions!$E$70,DQ5&lt;Inputs_Assumptions!$E$74,Inputs_Assumptions!$E$71,"TRUE",0)</f>
        <v>1.4999999999999999E-2</v>
      </c>
      <c r="DR27" s="223" cm="1">
        <f t="array" ref="DR27">_xlfn.IFS(DR5&lt;Inputs_Assumptions!$E$72,Inputs_Assumptions!$E$69,DR5&lt;Inputs_Assumptions!$E$73,Inputs_Assumptions!$E$70,DR5&lt;Inputs_Assumptions!$E$74,Inputs_Assumptions!$E$71,"TRUE",0)</f>
        <v>1.4999999999999999E-2</v>
      </c>
      <c r="DS27" s="223" cm="1">
        <f t="array" ref="DS27">_xlfn.IFS(DS5&lt;Inputs_Assumptions!$E$72,Inputs_Assumptions!$E$69,DS5&lt;Inputs_Assumptions!$E$73,Inputs_Assumptions!$E$70,DS5&lt;Inputs_Assumptions!$E$74,Inputs_Assumptions!$E$71,"TRUE",0)</f>
        <v>1.4999999999999999E-2</v>
      </c>
      <c r="DT27" s="223" cm="1">
        <f t="array" ref="DT27">_xlfn.IFS(DT5&lt;Inputs_Assumptions!$E$72,Inputs_Assumptions!$E$69,DT5&lt;Inputs_Assumptions!$E$73,Inputs_Assumptions!$E$70,DT5&lt;Inputs_Assumptions!$E$74,Inputs_Assumptions!$E$71,"TRUE",0)</f>
        <v>1.4999999999999999E-2</v>
      </c>
      <c r="DU27" s="223" cm="1">
        <f t="array" ref="DU27">_xlfn.IFS(DU5&lt;Inputs_Assumptions!$E$72,Inputs_Assumptions!$E$69,DU5&lt;Inputs_Assumptions!$E$73,Inputs_Assumptions!$E$70,DU5&lt;Inputs_Assumptions!$E$74,Inputs_Assumptions!$E$71,"TRUE",0)</f>
        <v>1.4999999999999999E-2</v>
      </c>
      <c r="DV27" s="223" cm="1">
        <f t="array" ref="DV27">_xlfn.IFS(DV5&lt;Inputs_Assumptions!$E$72,Inputs_Assumptions!$E$69,DV5&lt;Inputs_Assumptions!$E$73,Inputs_Assumptions!$E$70,DV5&lt;Inputs_Assumptions!$E$74,Inputs_Assumptions!$E$71,"TRUE",0)</f>
        <v>1.4999999999999999E-2</v>
      </c>
      <c r="DW27" s="223" cm="1">
        <f t="array" ref="DW27">_xlfn.IFS(DW5&lt;Inputs_Assumptions!$E$72,Inputs_Assumptions!$E$69,DW5&lt;Inputs_Assumptions!$E$73,Inputs_Assumptions!$E$70,DW5&lt;Inputs_Assumptions!$E$74,Inputs_Assumptions!$E$71,"TRUE",0)</f>
        <v>1.4999999999999999E-2</v>
      </c>
      <c r="DX27" s="223" cm="1">
        <f t="array" ref="DX27">_xlfn.IFS(DX5&lt;Inputs_Assumptions!$E$72,Inputs_Assumptions!$E$69,DX5&lt;Inputs_Assumptions!$E$73,Inputs_Assumptions!$E$70,DX5&lt;Inputs_Assumptions!$E$74,Inputs_Assumptions!$E$71,"TRUE",0)</f>
        <v>1.4999999999999999E-2</v>
      </c>
      <c r="DY27" s="223" cm="1">
        <f t="array" ref="DY27">_xlfn.IFS(DY5&lt;Inputs_Assumptions!$E$72,Inputs_Assumptions!$E$69,DY5&lt;Inputs_Assumptions!$E$73,Inputs_Assumptions!$E$70,DY5&lt;Inputs_Assumptions!$E$74,Inputs_Assumptions!$E$71,"TRUE",0)</f>
        <v>1.4999999999999999E-2</v>
      </c>
      <c r="DZ27" s="223" cm="1">
        <f t="array" ref="DZ27">_xlfn.IFS(DZ5&lt;Inputs_Assumptions!$E$72,Inputs_Assumptions!$E$69,DZ5&lt;Inputs_Assumptions!$E$73,Inputs_Assumptions!$E$70,DZ5&lt;Inputs_Assumptions!$E$74,Inputs_Assumptions!$E$71,"TRUE",0)</f>
        <v>1.4999999999999999E-2</v>
      </c>
      <c r="EA27" s="223" cm="1">
        <f t="array" ref="EA27">_xlfn.IFS(EA5&lt;Inputs_Assumptions!$E$72,Inputs_Assumptions!$E$69,EA5&lt;Inputs_Assumptions!$E$73,Inputs_Assumptions!$E$70,EA5&lt;Inputs_Assumptions!$E$74,Inputs_Assumptions!$E$71,"TRUE",0)</f>
        <v>1.4999999999999999E-2</v>
      </c>
      <c r="EB27" s="223" cm="1">
        <f t="array" ref="EB27">_xlfn.IFS(EB5&lt;Inputs_Assumptions!$E$72,Inputs_Assumptions!$E$69,EB5&lt;Inputs_Assumptions!$E$73,Inputs_Assumptions!$E$70,EB5&lt;Inputs_Assumptions!$E$74,Inputs_Assumptions!$E$71,"TRUE",0)</f>
        <v>1.4999999999999999E-2</v>
      </c>
      <c r="EC27" s="223" cm="1">
        <f t="array" ref="EC27">_xlfn.IFS(EC5&lt;Inputs_Assumptions!$E$72,Inputs_Assumptions!$E$69,EC5&lt;Inputs_Assumptions!$E$73,Inputs_Assumptions!$E$70,EC5&lt;Inputs_Assumptions!$E$74,Inputs_Assumptions!$E$71,"TRUE",0)</f>
        <v>1.4999999999999999E-2</v>
      </c>
      <c r="ED27" s="223" cm="1">
        <f t="array" ref="ED27">_xlfn.IFS(ED5&lt;Inputs_Assumptions!$E$72,Inputs_Assumptions!$E$69,ED5&lt;Inputs_Assumptions!$E$73,Inputs_Assumptions!$E$70,ED5&lt;Inputs_Assumptions!$E$74,Inputs_Assumptions!$E$71,"TRUE",0)</f>
        <v>1.4999999999999999E-2</v>
      </c>
      <c r="EE27" s="223" cm="1">
        <f t="array" ref="EE27">_xlfn.IFS(EE5&lt;Inputs_Assumptions!$E$72,Inputs_Assumptions!$E$69,EE5&lt;Inputs_Assumptions!$E$73,Inputs_Assumptions!$E$70,EE5&lt;Inputs_Assumptions!$E$74,Inputs_Assumptions!$E$71,"TRUE",0)</f>
        <v>1.4999999999999999E-2</v>
      </c>
      <c r="EF27" s="223" cm="1">
        <f t="array" ref="EF27">_xlfn.IFS(EF5&lt;Inputs_Assumptions!$E$72,Inputs_Assumptions!$E$69,EF5&lt;Inputs_Assumptions!$E$73,Inputs_Assumptions!$E$70,EF5&lt;Inputs_Assumptions!$E$74,Inputs_Assumptions!$E$71,"TRUE",0)</f>
        <v>1.4999999999999999E-2</v>
      </c>
      <c r="EG27" s="223" cm="1">
        <f t="array" ref="EG27">_xlfn.IFS(EG5&lt;Inputs_Assumptions!$E$72,Inputs_Assumptions!$E$69,EG5&lt;Inputs_Assumptions!$E$73,Inputs_Assumptions!$E$70,EG5&lt;Inputs_Assumptions!$E$74,Inputs_Assumptions!$E$71,"TRUE",0)</f>
        <v>1.4999999999999999E-2</v>
      </c>
      <c r="EH27" s="223" cm="1">
        <f t="array" ref="EH27">_xlfn.IFS(EH5&lt;Inputs_Assumptions!$E$72,Inputs_Assumptions!$E$69,EH5&lt;Inputs_Assumptions!$E$73,Inputs_Assumptions!$E$70,EH5&lt;Inputs_Assumptions!$E$74,Inputs_Assumptions!$E$71,"TRUE",0)</f>
        <v>1.4999999999999999E-2</v>
      </c>
      <c r="EI27" s="223" cm="1">
        <f t="array" ref="EI27">_xlfn.IFS(EI5&lt;Inputs_Assumptions!$E$72,Inputs_Assumptions!$E$69,EI5&lt;Inputs_Assumptions!$E$73,Inputs_Assumptions!$E$70,EI5&lt;Inputs_Assumptions!$E$74,Inputs_Assumptions!$E$71,"TRUE",0)</f>
        <v>1.4999999999999999E-2</v>
      </c>
      <c r="EJ27" s="223" cm="1">
        <f t="array" ref="EJ27">_xlfn.IFS(EJ5&lt;Inputs_Assumptions!$E$72,Inputs_Assumptions!$E$69,EJ5&lt;Inputs_Assumptions!$E$73,Inputs_Assumptions!$E$70,EJ5&lt;Inputs_Assumptions!$E$74,Inputs_Assumptions!$E$71,"TRUE",0)</f>
        <v>1.4999999999999999E-2</v>
      </c>
      <c r="EK27" s="223" cm="1">
        <f t="array" ref="EK27">_xlfn.IFS(EK5&lt;Inputs_Assumptions!$E$72,Inputs_Assumptions!$E$69,EK5&lt;Inputs_Assumptions!$E$73,Inputs_Assumptions!$E$70,EK5&lt;Inputs_Assumptions!$E$74,Inputs_Assumptions!$E$71,"TRUE",0)</f>
        <v>1.4999999999999999E-2</v>
      </c>
      <c r="EL27" s="223" cm="1">
        <f t="array" ref="EL27">_xlfn.IFS(EL5&lt;Inputs_Assumptions!$E$72,Inputs_Assumptions!$E$69,EL5&lt;Inputs_Assumptions!$E$73,Inputs_Assumptions!$E$70,EL5&lt;Inputs_Assumptions!$E$74,Inputs_Assumptions!$E$71,"TRUE",0)</f>
        <v>1.4999999999999999E-2</v>
      </c>
      <c r="EM27" s="223" cm="1">
        <f t="array" ref="EM27">_xlfn.IFS(EM5&lt;Inputs_Assumptions!$E$72,Inputs_Assumptions!$E$69,EM5&lt;Inputs_Assumptions!$E$73,Inputs_Assumptions!$E$70,EM5&lt;Inputs_Assumptions!$E$74,Inputs_Assumptions!$E$71,"TRUE",0)</f>
        <v>1.4999999999999999E-2</v>
      </c>
      <c r="EN27" s="223" cm="1">
        <f t="array" ref="EN27">_xlfn.IFS(EN5&lt;Inputs_Assumptions!$E$72,Inputs_Assumptions!$E$69,EN5&lt;Inputs_Assumptions!$E$73,Inputs_Assumptions!$E$70,EN5&lt;Inputs_Assumptions!$E$74,Inputs_Assumptions!$E$71,"TRUE",0)</f>
        <v>1.4999999999999999E-2</v>
      </c>
      <c r="EO27" s="223" cm="1">
        <f t="array" ref="EO27">_xlfn.IFS(EO5&lt;Inputs_Assumptions!$E$72,Inputs_Assumptions!$E$69,EO5&lt;Inputs_Assumptions!$E$73,Inputs_Assumptions!$E$70,EO5&lt;Inputs_Assumptions!$E$74,Inputs_Assumptions!$E$71,"TRUE",0)</f>
        <v>1.4999999999999999E-2</v>
      </c>
      <c r="EP27" s="223" cm="1">
        <f t="array" ref="EP27">_xlfn.IFS(EP5&lt;Inputs_Assumptions!$E$72,Inputs_Assumptions!$E$69,EP5&lt;Inputs_Assumptions!$E$73,Inputs_Assumptions!$E$70,EP5&lt;Inputs_Assumptions!$E$74,Inputs_Assumptions!$E$71,"TRUE",0)</f>
        <v>1.4999999999999999E-2</v>
      </c>
      <c r="EQ27" s="223" cm="1">
        <f t="array" ref="EQ27">_xlfn.IFS(EQ5&lt;Inputs_Assumptions!$E$72,Inputs_Assumptions!$E$69,EQ5&lt;Inputs_Assumptions!$E$73,Inputs_Assumptions!$E$70,EQ5&lt;Inputs_Assumptions!$E$74,Inputs_Assumptions!$E$71,"TRUE",0)</f>
        <v>1.4999999999999999E-2</v>
      </c>
      <c r="ER27" s="223" cm="1">
        <f t="array" ref="ER27">_xlfn.IFS(ER5&lt;Inputs_Assumptions!$E$72,Inputs_Assumptions!$E$69,ER5&lt;Inputs_Assumptions!$E$73,Inputs_Assumptions!$E$70,ER5&lt;Inputs_Assumptions!$E$74,Inputs_Assumptions!$E$71,"TRUE",0)</f>
        <v>1.4999999999999999E-2</v>
      </c>
      <c r="ES27" s="223" cm="1">
        <f t="array" ref="ES27">_xlfn.IFS(ES5&lt;Inputs_Assumptions!$E$72,Inputs_Assumptions!$E$69,ES5&lt;Inputs_Assumptions!$E$73,Inputs_Assumptions!$E$70,ES5&lt;Inputs_Assumptions!$E$74,Inputs_Assumptions!$E$71,"TRUE",0)</f>
        <v>1.4999999999999999E-2</v>
      </c>
      <c r="ET27" s="223" cm="1">
        <f t="array" ref="ET27">_xlfn.IFS(ET5&lt;Inputs_Assumptions!$E$72,Inputs_Assumptions!$E$69,ET5&lt;Inputs_Assumptions!$E$73,Inputs_Assumptions!$E$70,ET5&lt;Inputs_Assumptions!$E$74,Inputs_Assumptions!$E$71,"TRUE",0)</f>
        <v>1.4999999999999999E-2</v>
      </c>
      <c r="EU27" s="223" cm="1">
        <f t="array" ref="EU27">_xlfn.IFS(EU5&lt;Inputs_Assumptions!$E$72,Inputs_Assumptions!$E$69,EU5&lt;Inputs_Assumptions!$E$73,Inputs_Assumptions!$E$70,EU5&lt;Inputs_Assumptions!$E$74,Inputs_Assumptions!$E$71,"TRUE",0)</f>
        <v>1.4999999999999999E-2</v>
      </c>
      <c r="EV27" s="223" cm="1">
        <f t="array" ref="EV27">_xlfn.IFS(EV5&lt;Inputs_Assumptions!$E$72,Inputs_Assumptions!$E$69,EV5&lt;Inputs_Assumptions!$E$73,Inputs_Assumptions!$E$70,EV5&lt;Inputs_Assumptions!$E$74,Inputs_Assumptions!$E$71,"TRUE",0)</f>
        <v>1.4999999999999999E-2</v>
      </c>
      <c r="EW27" s="223" cm="1">
        <f t="array" ref="EW27">_xlfn.IFS(EW5&lt;Inputs_Assumptions!$E$72,Inputs_Assumptions!$E$69,EW5&lt;Inputs_Assumptions!$E$73,Inputs_Assumptions!$E$70,EW5&lt;Inputs_Assumptions!$E$74,Inputs_Assumptions!$E$71,"TRUE",0)</f>
        <v>1.4999999999999999E-2</v>
      </c>
      <c r="EX27" s="223" cm="1">
        <f t="array" ref="EX27">_xlfn.IFS(EX5&lt;Inputs_Assumptions!$E$72,Inputs_Assumptions!$E$69,EX5&lt;Inputs_Assumptions!$E$73,Inputs_Assumptions!$E$70,EX5&lt;Inputs_Assumptions!$E$74,Inputs_Assumptions!$E$71,"TRUE",0)</f>
        <v>1.4999999999999999E-2</v>
      </c>
      <c r="EY27" s="223" cm="1">
        <f t="array" ref="EY27">_xlfn.IFS(EY5&lt;Inputs_Assumptions!$E$72,Inputs_Assumptions!$E$69,EY5&lt;Inputs_Assumptions!$E$73,Inputs_Assumptions!$E$70,EY5&lt;Inputs_Assumptions!$E$74,Inputs_Assumptions!$E$71,"TRUE",0)</f>
        <v>1.4999999999999999E-2</v>
      </c>
      <c r="EZ27" s="223" cm="1">
        <f t="array" ref="EZ27">_xlfn.IFS(EZ5&lt;Inputs_Assumptions!$E$72,Inputs_Assumptions!$E$69,EZ5&lt;Inputs_Assumptions!$E$73,Inputs_Assumptions!$E$70,EZ5&lt;Inputs_Assumptions!$E$74,Inputs_Assumptions!$E$71,"TRUE",0)</f>
        <v>1.4999999999999999E-2</v>
      </c>
      <c r="FA27" s="223" cm="1">
        <f t="array" ref="FA27">_xlfn.IFS(FA5&lt;Inputs_Assumptions!$E$72,Inputs_Assumptions!$E$69,FA5&lt;Inputs_Assumptions!$E$73,Inputs_Assumptions!$E$70,FA5&lt;Inputs_Assumptions!$E$74,Inputs_Assumptions!$E$71,"TRUE",0)</f>
        <v>1.4999999999999999E-2</v>
      </c>
    </row>
    <row r="28" spans="2:157" ht="15.5" customHeight="1" outlineLevel="1" x14ac:dyDescent="0.2">
      <c r="B28" s="1"/>
      <c r="C28" s="30" t="s">
        <v>339</v>
      </c>
      <c r="D28" s="22" t="s">
        <v>12</v>
      </c>
      <c r="E28" s="62"/>
      <c r="F28" s="22"/>
      <c r="G28" s="223" cm="1">
        <f t="array" ref="G28">_xlfn.IFS(G5&lt;Inputs_Assumptions!$E$63,Inputs_Assumptions!$E$58,G5&lt;Inputs_Assumptions!$E$64,Inputs_Assumptions!$E$59,G5&lt;Inputs_Assumptions!$E$65,Inputs_Assumptions!$E$60,G5&lt;Inputs_Assumptions!$E$66,Inputs_Assumptions!$E$61,G5&lt;Inputs_Assumptions!$E$74,Inputs_Assumptions!$E$62,"TRUE",0)</f>
        <v>2.5000000000000001E-2</v>
      </c>
      <c r="H28" s="223" cm="1">
        <f t="array" ref="H28">_xlfn.IFS(H5&lt;Inputs_Assumptions!$E$63,Inputs_Assumptions!$E$58,H5&lt;Inputs_Assumptions!$E$64,Inputs_Assumptions!$E$59,H5&lt;Inputs_Assumptions!$E$65,Inputs_Assumptions!$E$60,H5&lt;Inputs_Assumptions!$E$66,Inputs_Assumptions!$E$61,H5&lt;Inputs_Assumptions!$E$74,Inputs_Assumptions!$E$62,"TRUE",0)</f>
        <v>2.5000000000000001E-2</v>
      </c>
      <c r="I28" s="223" cm="1">
        <f t="array" ref="I28">_xlfn.IFS(I5&lt;Inputs_Assumptions!$E$63,Inputs_Assumptions!$E$58,I5&lt;Inputs_Assumptions!$E$64,Inputs_Assumptions!$E$59,I5&lt;Inputs_Assumptions!$E$65,Inputs_Assumptions!$E$60,I5&lt;Inputs_Assumptions!$E$66,Inputs_Assumptions!$E$61,I5&lt;Inputs_Assumptions!$E$74,Inputs_Assumptions!$E$62,"TRUE",0)</f>
        <v>2.5000000000000001E-2</v>
      </c>
      <c r="J28" s="223" cm="1">
        <f t="array" ref="J28">_xlfn.IFS(J5&lt;Inputs_Assumptions!$E$63,Inputs_Assumptions!$E$58,J5&lt;Inputs_Assumptions!$E$64,Inputs_Assumptions!$E$59,J5&lt;Inputs_Assumptions!$E$65,Inputs_Assumptions!$E$60,J5&lt;Inputs_Assumptions!$E$66,Inputs_Assumptions!$E$61,J5&lt;Inputs_Assumptions!$E$74,Inputs_Assumptions!$E$62,"TRUE",0)</f>
        <v>2.5000000000000001E-2</v>
      </c>
      <c r="K28" s="223" cm="1">
        <f t="array" ref="K28">_xlfn.IFS(K5&lt;Inputs_Assumptions!$E$63,Inputs_Assumptions!$E$58,K5&lt;Inputs_Assumptions!$E$64,Inputs_Assumptions!$E$59,K5&lt;Inputs_Assumptions!$E$65,Inputs_Assumptions!$E$60,K5&lt;Inputs_Assumptions!$E$66,Inputs_Assumptions!$E$61,K5&lt;Inputs_Assumptions!$E$74,Inputs_Assumptions!$E$62,"TRUE",0)</f>
        <v>2.5000000000000001E-2</v>
      </c>
      <c r="L28" s="223" cm="1">
        <f t="array" ref="L28">_xlfn.IFS(L5&lt;Inputs_Assumptions!$E$63,Inputs_Assumptions!$E$58,L5&lt;Inputs_Assumptions!$E$64,Inputs_Assumptions!$E$59,L5&lt;Inputs_Assumptions!$E$65,Inputs_Assumptions!$E$60,L5&lt;Inputs_Assumptions!$E$66,Inputs_Assumptions!$E$61,L5&lt;Inputs_Assumptions!$E$74,Inputs_Assumptions!$E$62,"TRUE",0)</f>
        <v>2.5000000000000001E-2</v>
      </c>
      <c r="M28" s="223" cm="1">
        <f t="array" ref="M28">_xlfn.IFS(M5&lt;Inputs_Assumptions!$E$63,Inputs_Assumptions!$E$58,M5&lt;Inputs_Assumptions!$E$64,Inputs_Assumptions!$E$59,M5&lt;Inputs_Assumptions!$E$65,Inputs_Assumptions!$E$60,M5&lt;Inputs_Assumptions!$E$66,Inputs_Assumptions!$E$61,M5&lt;Inputs_Assumptions!$E$74,Inputs_Assumptions!$E$62,"TRUE",0)</f>
        <v>2.5000000000000001E-2</v>
      </c>
      <c r="N28" s="223" cm="1">
        <f t="array" ref="N28">_xlfn.IFS(N5&lt;Inputs_Assumptions!$E$63,Inputs_Assumptions!$E$58,N5&lt;Inputs_Assumptions!$E$64,Inputs_Assumptions!$E$59,N5&lt;Inputs_Assumptions!$E$65,Inputs_Assumptions!$E$60,N5&lt;Inputs_Assumptions!$E$66,Inputs_Assumptions!$E$61,N5&lt;Inputs_Assumptions!$E$74,Inputs_Assumptions!$E$62,"TRUE",0)</f>
        <v>2.5000000000000001E-2</v>
      </c>
      <c r="O28" s="223" cm="1">
        <f t="array" ref="O28">_xlfn.IFS(O5&lt;Inputs_Assumptions!$E$63,Inputs_Assumptions!$E$58,O5&lt;Inputs_Assumptions!$E$64,Inputs_Assumptions!$E$59,O5&lt;Inputs_Assumptions!$E$65,Inputs_Assumptions!$E$60,O5&lt;Inputs_Assumptions!$E$66,Inputs_Assumptions!$E$61,O5&lt;Inputs_Assumptions!$E$74,Inputs_Assumptions!$E$62,"TRUE",0)</f>
        <v>2.5000000000000001E-2</v>
      </c>
      <c r="P28" s="223" cm="1">
        <f t="array" ref="P28">_xlfn.IFS(P5&lt;Inputs_Assumptions!$E$63,Inputs_Assumptions!$E$58,P5&lt;Inputs_Assumptions!$E$64,Inputs_Assumptions!$E$59,P5&lt;Inputs_Assumptions!$E$65,Inputs_Assumptions!$E$60,P5&lt;Inputs_Assumptions!$E$66,Inputs_Assumptions!$E$61,P5&lt;Inputs_Assumptions!$E$74,Inputs_Assumptions!$E$62,"TRUE",0)</f>
        <v>2.5000000000000001E-2</v>
      </c>
      <c r="Q28" s="223" cm="1">
        <f t="array" ref="Q28">_xlfn.IFS(Q5&lt;Inputs_Assumptions!$E$63,Inputs_Assumptions!$E$58,Q5&lt;Inputs_Assumptions!$E$64,Inputs_Assumptions!$E$59,Q5&lt;Inputs_Assumptions!$E$65,Inputs_Assumptions!$E$60,Q5&lt;Inputs_Assumptions!$E$66,Inputs_Assumptions!$E$61,Q5&lt;Inputs_Assumptions!$E$74,Inputs_Assumptions!$E$62,"TRUE",0)</f>
        <v>2.5000000000000001E-2</v>
      </c>
      <c r="R28" s="223" cm="1">
        <f t="array" ref="R28">_xlfn.IFS(R5&lt;Inputs_Assumptions!$E$63,Inputs_Assumptions!$E$58,R5&lt;Inputs_Assumptions!$E$64,Inputs_Assumptions!$E$59,R5&lt;Inputs_Assumptions!$E$65,Inputs_Assumptions!$E$60,R5&lt;Inputs_Assumptions!$E$66,Inputs_Assumptions!$E$61,R5&lt;Inputs_Assumptions!$E$74,Inputs_Assumptions!$E$62,"TRUE",0)</f>
        <v>2.5000000000000001E-2</v>
      </c>
      <c r="S28" s="223" cm="1">
        <f t="array" ref="S28">_xlfn.IFS(S5&lt;Inputs_Assumptions!$E$63,Inputs_Assumptions!$E$58,S5&lt;Inputs_Assumptions!$E$64,Inputs_Assumptions!$E$59,S5&lt;Inputs_Assumptions!$E$65,Inputs_Assumptions!$E$60,S5&lt;Inputs_Assumptions!$E$66,Inputs_Assumptions!$E$61,S5&lt;Inputs_Assumptions!$E$74,Inputs_Assumptions!$E$62,"TRUE",0)</f>
        <v>2.5000000000000001E-2</v>
      </c>
      <c r="T28" s="223" cm="1">
        <f t="array" ref="T28">_xlfn.IFS(T5&lt;Inputs_Assumptions!$E$63,Inputs_Assumptions!$E$58,T5&lt;Inputs_Assumptions!$E$64,Inputs_Assumptions!$E$59,T5&lt;Inputs_Assumptions!$E$65,Inputs_Assumptions!$E$60,T5&lt;Inputs_Assumptions!$E$66,Inputs_Assumptions!$E$61,T5&lt;Inputs_Assumptions!$E$74,Inputs_Assumptions!$E$62,"TRUE",0)</f>
        <v>2.5000000000000001E-2</v>
      </c>
      <c r="U28" s="223" cm="1">
        <f t="array" ref="U28">_xlfn.IFS(U5&lt;Inputs_Assumptions!$E$63,Inputs_Assumptions!$E$58,U5&lt;Inputs_Assumptions!$E$64,Inputs_Assumptions!$E$59,U5&lt;Inputs_Assumptions!$E$65,Inputs_Assumptions!$E$60,U5&lt;Inputs_Assumptions!$E$66,Inputs_Assumptions!$E$61,U5&lt;Inputs_Assumptions!$E$74,Inputs_Assumptions!$E$62,"TRUE",0)</f>
        <v>2.5000000000000001E-2</v>
      </c>
      <c r="V28" s="223" cm="1">
        <f t="array" ref="V28">_xlfn.IFS(V5&lt;Inputs_Assumptions!$E$63,Inputs_Assumptions!$E$58,V5&lt;Inputs_Assumptions!$E$64,Inputs_Assumptions!$E$59,V5&lt;Inputs_Assumptions!$E$65,Inputs_Assumptions!$E$60,V5&lt;Inputs_Assumptions!$E$66,Inputs_Assumptions!$E$61,V5&lt;Inputs_Assumptions!$E$74,Inputs_Assumptions!$E$62,"TRUE",0)</f>
        <v>2.5000000000000001E-2</v>
      </c>
      <c r="W28" s="223" cm="1">
        <f t="array" ref="W28">_xlfn.IFS(W5&lt;Inputs_Assumptions!$E$63,Inputs_Assumptions!$E$58,W5&lt;Inputs_Assumptions!$E$64,Inputs_Assumptions!$E$59,W5&lt;Inputs_Assumptions!$E$65,Inputs_Assumptions!$E$60,W5&lt;Inputs_Assumptions!$E$66,Inputs_Assumptions!$E$61,W5&lt;Inputs_Assumptions!$E$74,Inputs_Assumptions!$E$62,"TRUE",0)</f>
        <v>2.5000000000000001E-2</v>
      </c>
      <c r="X28" s="223" cm="1">
        <f t="array" ref="X28">_xlfn.IFS(X5&lt;Inputs_Assumptions!$E$63,Inputs_Assumptions!$E$58,X5&lt;Inputs_Assumptions!$E$64,Inputs_Assumptions!$E$59,X5&lt;Inputs_Assumptions!$E$65,Inputs_Assumptions!$E$60,X5&lt;Inputs_Assumptions!$E$66,Inputs_Assumptions!$E$61,X5&lt;Inputs_Assumptions!$E$74,Inputs_Assumptions!$E$62,"TRUE",0)</f>
        <v>2.5000000000000001E-2</v>
      </c>
      <c r="Y28" s="223" cm="1">
        <f t="array" ref="Y28">_xlfn.IFS(Y5&lt;Inputs_Assumptions!$E$63,Inputs_Assumptions!$E$58,Y5&lt;Inputs_Assumptions!$E$64,Inputs_Assumptions!$E$59,Y5&lt;Inputs_Assumptions!$E$65,Inputs_Assumptions!$E$60,Y5&lt;Inputs_Assumptions!$E$66,Inputs_Assumptions!$E$61,Y5&lt;Inputs_Assumptions!$E$74,Inputs_Assumptions!$E$62,"TRUE",0)</f>
        <v>2.5000000000000001E-2</v>
      </c>
      <c r="Z28" s="223" cm="1">
        <f t="array" ref="Z28">_xlfn.IFS(Z5&lt;Inputs_Assumptions!$E$63,Inputs_Assumptions!$E$58,Z5&lt;Inputs_Assumptions!$E$64,Inputs_Assumptions!$E$59,Z5&lt;Inputs_Assumptions!$E$65,Inputs_Assumptions!$E$60,Z5&lt;Inputs_Assumptions!$E$66,Inputs_Assumptions!$E$61,Z5&lt;Inputs_Assumptions!$E$74,Inputs_Assumptions!$E$62,"TRUE",0)</f>
        <v>2.5000000000000001E-2</v>
      </c>
      <c r="AA28" s="223" cm="1">
        <f t="array" ref="AA28">_xlfn.IFS(AA5&lt;Inputs_Assumptions!$E$63,Inputs_Assumptions!$E$58,AA5&lt;Inputs_Assumptions!$E$64,Inputs_Assumptions!$E$59,AA5&lt;Inputs_Assumptions!$E$65,Inputs_Assumptions!$E$60,AA5&lt;Inputs_Assumptions!$E$66,Inputs_Assumptions!$E$61,AA5&lt;Inputs_Assumptions!$E$74,Inputs_Assumptions!$E$62,"TRUE",0)</f>
        <v>2.5000000000000001E-2</v>
      </c>
      <c r="AB28" s="223" cm="1">
        <f t="array" ref="AB28">_xlfn.IFS(AB5&lt;Inputs_Assumptions!$E$63,Inputs_Assumptions!$E$58,AB5&lt;Inputs_Assumptions!$E$64,Inputs_Assumptions!$E$59,AB5&lt;Inputs_Assumptions!$E$65,Inputs_Assumptions!$E$60,AB5&lt;Inputs_Assumptions!$E$66,Inputs_Assumptions!$E$61,AB5&lt;Inputs_Assumptions!$E$74,Inputs_Assumptions!$E$62,"TRUE",0)</f>
        <v>2.5000000000000001E-2</v>
      </c>
      <c r="AC28" s="223" cm="1">
        <f t="array" ref="AC28">_xlfn.IFS(AC5&lt;Inputs_Assumptions!$E$63,Inputs_Assumptions!$E$58,AC5&lt;Inputs_Assumptions!$E$64,Inputs_Assumptions!$E$59,AC5&lt;Inputs_Assumptions!$E$65,Inputs_Assumptions!$E$60,AC5&lt;Inputs_Assumptions!$E$66,Inputs_Assumptions!$E$61,AC5&lt;Inputs_Assumptions!$E$74,Inputs_Assumptions!$E$62,"TRUE",0)</f>
        <v>2.5000000000000001E-2</v>
      </c>
      <c r="AD28" s="223" cm="1">
        <f t="array" ref="AD28">_xlfn.IFS(AD5&lt;Inputs_Assumptions!$E$63,Inputs_Assumptions!$E$58,AD5&lt;Inputs_Assumptions!$E$64,Inputs_Assumptions!$E$59,AD5&lt;Inputs_Assumptions!$E$65,Inputs_Assumptions!$E$60,AD5&lt;Inputs_Assumptions!$E$66,Inputs_Assumptions!$E$61,AD5&lt;Inputs_Assumptions!$E$74,Inputs_Assumptions!$E$62,"TRUE",0)</f>
        <v>2.5000000000000001E-2</v>
      </c>
      <c r="AE28" s="223" cm="1">
        <f t="array" ref="AE28">_xlfn.IFS(AE5&lt;Inputs_Assumptions!$E$63,Inputs_Assumptions!$E$58,AE5&lt;Inputs_Assumptions!$E$64,Inputs_Assumptions!$E$59,AE5&lt;Inputs_Assumptions!$E$65,Inputs_Assumptions!$E$60,AE5&lt;Inputs_Assumptions!$E$66,Inputs_Assumptions!$E$61,AE5&lt;Inputs_Assumptions!$E$74,Inputs_Assumptions!$E$62,"TRUE",0)</f>
        <v>2.5000000000000001E-2</v>
      </c>
      <c r="AF28" s="223" cm="1">
        <f t="array" ref="AF28">_xlfn.IFS(AF5&lt;Inputs_Assumptions!$E$63,Inputs_Assumptions!$E$58,AF5&lt;Inputs_Assumptions!$E$64,Inputs_Assumptions!$E$59,AF5&lt;Inputs_Assumptions!$E$65,Inputs_Assumptions!$E$60,AF5&lt;Inputs_Assumptions!$E$66,Inputs_Assumptions!$E$61,AF5&lt;Inputs_Assumptions!$E$74,Inputs_Assumptions!$E$62,"TRUE",0)</f>
        <v>2.5000000000000001E-2</v>
      </c>
      <c r="AG28" s="223" cm="1">
        <f t="array" ref="AG28">_xlfn.IFS(AG5&lt;Inputs_Assumptions!$E$63,Inputs_Assumptions!$E$58,AG5&lt;Inputs_Assumptions!$E$64,Inputs_Assumptions!$E$59,AG5&lt;Inputs_Assumptions!$E$65,Inputs_Assumptions!$E$60,AG5&lt;Inputs_Assumptions!$E$66,Inputs_Assumptions!$E$61,AG5&lt;Inputs_Assumptions!$E$74,Inputs_Assumptions!$E$62,"TRUE",0)</f>
        <v>2.5000000000000001E-2</v>
      </c>
      <c r="AH28" s="223" cm="1">
        <f t="array" ref="AH28">_xlfn.IFS(AH5&lt;Inputs_Assumptions!$E$63,Inputs_Assumptions!$E$58,AH5&lt;Inputs_Assumptions!$E$64,Inputs_Assumptions!$E$59,AH5&lt;Inputs_Assumptions!$E$65,Inputs_Assumptions!$E$60,AH5&lt;Inputs_Assumptions!$E$66,Inputs_Assumptions!$E$61,AH5&lt;Inputs_Assumptions!$E$74,Inputs_Assumptions!$E$62,"TRUE",0)</f>
        <v>2.5000000000000001E-2</v>
      </c>
      <c r="AI28" s="223" cm="1">
        <f t="array" ref="AI28">_xlfn.IFS(AI5&lt;Inputs_Assumptions!$E$63,Inputs_Assumptions!$E$58,AI5&lt;Inputs_Assumptions!$E$64,Inputs_Assumptions!$E$59,AI5&lt;Inputs_Assumptions!$E$65,Inputs_Assumptions!$E$60,AI5&lt;Inputs_Assumptions!$E$66,Inputs_Assumptions!$E$61,AI5&lt;Inputs_Assumptions!$E$74,Inputs_Assumptions!$E$62,"TRUE",0)</f>
        <v>3.5000000000000003E-2</v>
      </c>
      <c r="AJ28" s="223" cm="1">
        <f t="array" ref="AJ28">_xlfn.IFS(AJ5&lt;Inputs_Assumptions!$E$63,Inputs_Assumptions!$E$58,AJ5&lt;Inputs_Assumptions!$E$64,Inputs_Assumptions!$E$59,AJ5&lt;Inputs_Assumptions!$E$65,Inputs_Assumptions!$E$60,AJ5&lt;Inputs_Assumptions!$E$66,Inputs_Assumptions!$E$61,AJ5&lt;Inputs_Assumptions!$E$74,Inputs_Assumptions!$E$62,"TRUE",0)</f>
        <v>3.5000000000000003E-2</v>
      </c>
      <c r="AK28" s="223" cm="1">
        <f t="array" ref="AK28">_xlfn.IFS(AK5&lt;Inputs_Assumptions!$E$63,Inputs_Assumptions!$E$58,AK5&lt;Inputs_Assumptions!$E$64,Inputs_Assumptions!$E$59,AK5&lt;Inputs_Assumptions!$E$65,Inputs_Assumptions!$E$60,AK5&lt;Inputs_Assumptions!$E$66,Inputs_Assumptions!$E$61,AK5&lt;Inputs_Assumptions!$E$74,Inputs_Assumptions!$E$62,"TRUE",0)</f>
        <v>3.5000000000000003E-2</v>
      </c>
      <c r="AL28" s="223" cm="1">
        <f t="array" ref="AL28">_xlfn.IFS(AL5&lt;Inputs_Assumptions!$E$63,Inputs_Assumptions!$E$58,AL5&lt;Inputs_Assumptions!$E$64,Inputs_Assumptions!$E$59,AL5&lt;Inputs_Assumptions!$E$65,Inputs_Assumptions!$E$60,AL5&lt;Inputs_Assumptions!$E$66,Inputs_Assumptions!$E$61,AL5&lt;Inputs_Assumptions!$E$74,Inputs_Assumptions!$E$62,"TRUE",0)</f>
        <v>3.5000000000000003E-2</v>
      </c>
      <c r="AM28" s="223" cm="1">
        <f t="array" ref="AM28">_xlfn.IFS(AM5&lt;Inputs_Assumptions!$E$63,Inputs_Assumptions!$E$58,AM5&lt;Inputs_Assumptions!$E$64,Inputs_Assumptions!$E$59,AM5&lt;Inputs_Assumptions!$E$65,Inputs_Assumptions!$E$60,AM5&lt;Inputs_Assumptions!$E$66,Inputs_Assumptions!$E$61,AM5&lt;Inputs_Assumptions!$E$74,Inputs_Assumptions!$E$62,"TRUE",0)</f>
        <v>3.5000000000000003E-2</v>
      </c>
      <c r="AN28" s="223" cm="1">
        <f t="array" ref="AN28">_xlfn.IFS(AN5&lt;Inputs_Assumptions!$E$63,Inputs_Assumptions!$E$58,AN5&lt;Inputs_Assumptions!$E$64,Inputs_Assumptions!$E$59,AN5&lt;Inputs_Assumptions!$E$65,Inputs_Assumptions!$E$60,AN5&lt;Inputs_Assumptions!$E$66,Inputs_Assumptions!$E$61,AN5&lt;Inputs_Assumptions!$E$74,Inputs_Assumptions!$E$62,"TRUE",0)</f>
        <v>3.5000000000000003E-2</v>
      </c>
      <c r="AO28" s="223" cm="1">
        <f t="array" ref="AO28">_xlfn.IFS(AO5&lt;Inputs_Assumptions!$E$63,Inputs_Assumptions!$E$58,AO5&lt;Inputs_Assumptions!$E$64,Inputs_Assumptions!$E$59,AO5&lt;Inputs_Assumptions!$E$65,Inputs_Assumptions!$E$60,AO5&lt;Inputs_Assumptions!$E$66,Inputs_Assumptions!$E$61,AO5&lt;Inputs_Assumptions!$E$74,Inputs_Assumptions!$E$62,"TRUE",0)</f>
        <v>3.5000000000000003E-2</v>
      </c>
      <c r="AP28" s="223" cm="1">
        <f t="array" ref="AP28">_xlfn.IFS(AP5&lt;Inputs_Assumptions!$E$63,Inputs_Assumptions!$E$58,AP5&lt;Inputs_Assumptions!$E$64,Inputs_Assumptions!$E$59,AP5&lt;Inputs_Assumptions!$E$65,Inputs_Assumptions!$E$60,AP5&lt;Inputs_Assumptions!$E$66,Inputs_Assumptions!$E$61,AP5&lt;Inputs_Assumptions!$E$74,Inputs_Assumptions!$E$62,"TRUE",0)</f>
        <v>3.5000000000000003E-2</v>
      </c>
      <c r="AQ28" s="223" cm="1">
        <f t="array" ref="AQ28">_xlfn.IFS(AQ5&lt;Inputs_Assumptions!$E$63,Inputs_Assumptions!$E$58,AQ5&lt;Inputs_Assumptions!$E$64,Inputs_Assumptions!$E$59,AQ5&lt;Inputs_Assumptions!$E$65,Inputs_Assumptions!$E$60,AQ5&lt;Inputs_Assumptions!$E$66,Inputs_Assumptions!$E$61,AQ5&lt;Inputs_Assumptions!$E$74,Inputs_Assumptions!$E$62,"TRUE",0)</f>
        <v>3.5000000000000003E-2</v>
      </c>
      <c r="AR28" s="223" cm="1">
        <f t="array" ref="AR28">_xlfn.IFS(AR5&lt;Inputs_Assumptions!$E$63,Inputs_Assumptions!$E$58,AR5&lt;Inputs_Assumptions!$E$64,Inputs_Assumptions!$E$59,AR5&lt;Inputs_Assumptions!$E$65,Inputs_Assumptions!$E$60,AR5&lt;Inputs_Assumptions!$E$66,Inputs_Assumptions!$E$61,AR5&lt;Inputs_Assumptions!$E$74,Inputs_Assumptions!$E$62,"TRUE",0)</f>
        <v>3.5000000000000003E-2</v>
      </c>
      <c r="AS28" s="223" cm="1">
        <f t="array" ref="AS28">_xlfn.IFS(AS5&lt;Inputs_Assumptions!$E$63,Inputs_Assumptions!$E$58,AS5&lt;Inputs_Assumptions!$E$64,Inputs_Assumptions!$E$59,AS5&lt;Inputs_Assumptions!$E$65,Inputs_Assumptions!$E$60,AS5&lt;Inputs_Assumptions!$E$66,Inputs_Assumptions!$E$61,AS5&lt;Inputs_Assumptions!$E$74,Inputs_Assumptions!$E$62,"TRUE",0)</f>
        <v>3.5000000000000003E-2</v>
      </c>
      <c r="AT28" s="223" cm="1">
        <f t="array" ref="AT28">_xlfn.IFS(AT5&lt;Inputs_Assumptions!$E$63,Inputs_Assumptions!$E$58,AT5&lt;Inputs_Assumptions!$E$64,Inputs_Assumptions!$E$59,AT5&lt;Inputs_Assumptions!$E$65,Inputs_Assumptions!$E$60,AT5&lt;Inputs_Assumptions!$E$66,Inputs_Assumptions!$E$61,AT5&lt;Inputs_Assumptions!$E$74,Inputs_Assumptions!$E$62,"TRUE",0)</f>
        <v>3.5000000000000003E-2</v>
      </c>
      <c r="AU28" s="223" cm="1">
        <f t="array" ref="AU28">_xlfn.IFS(AU5&lt;Inputs_Assumptions!$E$63,Inputs_Assumptions!$E$58,AU5&lt;Inputs_Assumptions!$E$64,Inputs_Assumptions!$E$59,AU5&lt;Inputs_Assumptions!$E$65,Inputs_Assumptions!$E$60,AU5&lt;Inputs_Assumptions!$E$66,Inputs_Assumptions!$E$61,AU5&lt;Inputs_Assumptions!$E$74,Inputs_Assumptions!$E$62,"TRUE",0)</f>
        <v>3.5000000000000003E-2</v>
      </c>
      <c r="AV28" s="223" cm="1">
        <f t="array" ref="AV28">_xlfn.IFS(AV5&lt;Inputs_Assumptions!$E$63,Inputs_Assumptions!$E$58,AV5&lt;Inputs_Assumptions!$E$64,Inputs_Assumptions!$E$59,AV5&lt;Inputs_Assumptions!$E$65,Inputs_Assumptions!$E$60,AV5&lt;Inputs_Assumptions!$E$66,Inputs_Assumptions!$E$61,AV5&lt;Inputs_Assumptions!$E$74,Inputs_Assumptions!$E$62,"TRUE",0)</f>
        <v>3.5000000000000003E-2</v>
      </c>
      <c r="AW28" s="223" cm="1">
        <f t="array" ref="AW28">_xlfn.IFS(AW5&lt;Inputs_Assumptions!$E$63,Inputs_Assumptions!$E$58,AW5&lt;Inputs_Assumptions!$E$64,Inputs_Assumptions!$E$59,AW5&lt;Inputs_Assumptions!$E$65,Inputs_Assumptions!$E$60,AW5&lt;Inputs_Assumptions!$E$66,Inputs_Assumptions!$E$61,AW5&lt;Inputs_Assumptions!$E$74,Inputs_Assumptions!$E$62,"TRUE",0)</f>
        <v>3.5000000000000003E-2</v>
      </c>
      <c r="AX28" s="223" cm="1">
        <f t="array" ref="AX28">_xlfn.IFS(AX5&lt;Inputs_Assumptions!$E$63,Inputs_Assumptions!$E$58,AX5&lt;Inputs_Assumptions!$E$64,Inputs_Assumptions!$E$59,AX5&lt;Inputs_Assumptions!$E$65,Inputs_Assumptions!$E$60,AX5&lt;Inputs_Assumptions!$E$66,Inputs_Assumptions!$E$61,AX5&lt;Inputs_Assumptions!$E$74,Inputs_Assumptions!$E$62,"TRUE",0)</f>
        <v>3.5000000000000003E-2</v>
      </c>
      <c r="AY28" s="223" cm="1">
        <f t="array" ref="AY28">_xlfn.IFS(AY5&lt;Inputs_Assumptions!$E$63,Inputs_Assumptions!$E$58,AY5&lt;Inputs_Assumptions!$E$64,Inputs_Assumptions!$E$59,AY5&lt;Inputs_Assumptions!$E$65,Inputs_Assumptions!$E$60,AY5&lt;Inputs_Assumptions!$E$66,Inputs_Assumptions!$E$61,AY5&lt;Inputs_Assumptions!$E$74,Inputs_Assumptions!$E$62,"TRUE",0)</f>
        <v>3.5000000000000003E-2</v>
      </c>
      <c r="AZ28" s="223" cm="1">
        <f t="array" ref="AZ28">_xlfn.IFS(AZ5&lt;Inputs_Assumptions!$E$63,Inputs_Assumptions!$E$58,AZ5&lt;Inputs_Assumptions!$E$64,Inputs_Assumptions!$E$59,AZ5&lt;Inputs_Assumptions!$E$65,Inputs_Assumptions!$E$60,AZ5&lt;Inputs_Assumptions!$E$66,Inputs_Assumptions!$E$61,AZ5&lt;Inputs_Assumptions!$E$74,Inputs_Assumptions!$E$62,"TRUE",0)</f>
        <v>3.5000000000000003E-2</v>
      </c>
      <c r="BA28" s="223" cm="1">
        <f t="array" ref="BA28">_xlfn.IFS(BA5&lt;Inputs_Assumptions!$E$63,Inputs_Assumptions!$E$58,BA5&lt;Inputs_Assumptions!$E$64,Inputs_Assumptions!$E$59,BA5&lt;Inputs_Assumptions!$E$65,Inputs_Assumptions!$E$60,BA5&lt;Inputs_Assumptions!$E$66,Inputs_Assumptions!$E$61,BA5&lt;Inputs_Assumptions!$E$74,Inputs_Assumptions!$E$62,"TRUE",0)</f>
        <v>3.5000000000000003E-2</v>
      </c>
      <c r="BB28" s="223" cm="1">
        <f t="array" ref="BB28">_xlfn.IFS(BB5&lt;Inputs_Assumptions!$E$63,Inputs_Assumptions!$E$58,BB5&lt;Inputs_Assumptions!$E$64,Inputs_Assumptions!$E$59,BB5&lt;Inputs_Assumptions!$E$65,Inputs_Assumptions!$E$60,BB5&lt;Inputs_Assumptions!$E$66,Inputs_Assumptions!$E$61,BB5&lt;Inputs_Assumptions!$E$74,Inputs_Assumptions!$E$62,"TRUE",0)</f>
        <v>3.5000000000000003E-2</v>
      </c>
      <c r="BC28" s="223" cm="1">
        <f t="array" ref="BC28">_xlfn.IFS(BC5&lt;Inputs_Assumptions!$E$63,Inputs_Assumptions!$E$58,BC5&lt;Inputs_Assumptions!$E$64,Inputs_Assumptions!$E$59,BC5&lt;Inputs_Assumptions!$E$65,Inputs_Assumptions!$E$60,BC5&lt;Inputs_Assumptions!$E$66,Inputs_Assumptions!$E$61,BC5&lt;Inputs_Assumptions!$E$74,Inputs_Assumptions!$E$62,"TRUE",0)</f>
        <v>0.05</v>
      </c>
      <c r="BD28" s="223" cm="1">
        <f t="array" ref="BD28">_xlfn.IFS(BD5&lt;Inputs_Assumptions!$E$63,Inputs_Assumptions!$E$58,BD5&lt;Inputs_Assumptions!$E$64,Inputs_Assumptions!$E$59,BD5&lt;Inputs_Assumptions!$E$65,Inputs_Assumptions!$E$60,BD5&lt;Inputs_Assumptions!$E$66,Inputs_Assumptions!$E$61,BD5&lt;Inputs_Assumptions!$E$74,Inputs_Assumptions!$E$62,"TRUE",0)</f>
        <v>0.05</v>
      </c>
      <c r="BE28" s="223" cm="1">
        <f t="array" ref="BE28">_xlfn.IFS(BE5&lt;Inputs_Assumptions!$E$63,Inputs_Assumptions!$E$58,BE5&lt;Inputs_Assumptions!$E$64,Inputs_Assumptions!$E$59,BE5&lt;Inputs_Assumptions!$E$65,Inputs_Assumptions!$E$60,BE5&lt;Inputs_Assumptions!$E$66,Inputs_Assumptions!$E$61,BE5&lt;Inputs_Assumptions!$E$74,Inputs_Assumptions!$E$62,"TRUE",0)</f>
        <v>0.05</v>
      </c>
      <c r="BF28" s="223" cm="1">
        <f t="array" ref="BF28">_xlfn.IFS(BF5&lt;Inputs_Assumptions!$E$63,Inputs_Assumptions!$E$58,BF5&lt;Inputs_Assumptions!$E$64,Inputs_Assumptions!$E$59,BF5&lt;Inputs_Assumptions!$E$65,Inputs_Assumptions!$E$60,BF5&lt;Inputs_Assumptions!$E$66,Inputs_Assumptions!$E$61,BF5&lt;Inputs_Assumptions!$E$74,Inputs_Assumptions!$E$62,"TRUE",0)</f>
        <v>0.05</v>
      </c>
      <c r="BG28" s="223" cm="1">
        <f t="array" ref="BG28">_xlfn.IFS(BG5&lt;Inputs_Assumptions!$E$63,Inputs_Assumptions!$E$58,BG5&lt;Inputs_Assumptions!$E$64,Inputs_Assumptions!$E$59,BG5&lt;Inputs_Assumptions!$E$65,Inputs_Assumptions!$E$60,BG5&lt;Inputs_Assumptions!$E$66,Inputs_Assumptions!$E$61,BG5&lt;Inputs_Assumptions!$E$74,Inputs_Assumptions!$E$62,"TRUE",0)</f>
        <v>0.05</v>
      </c>
      <c r="BH28" s="223" cm="1">
        <f t="array" ref="BH28">_xlfn.IFS(BH5&lt;Inputs_Assumptions!$E$63,Inputs_Assumptions!$E$58,BH5&lt;Inputs_Assumptions!$E$64,Inputs_Assumptions!$E$59,BH5&lt;Inputs_Assumptions!$E$65,Inputs_Assumptions!$E$60,BH5&lt;Inputs_Assumptions!$E$66,Inputs_Assumptions!$E$61,BH5&lt;Inputs_Assumptions!$E$74,Inputs_Assumptions!$E$62,"TRUE",0)</f>
        <v>0.05</v>
      </c>
      <c r="BI28" s="223" cm="1">
        <f t="array" ref="BI28">_xlfn.IFS(BI5&lt;Inputs_Assumptions!$E$63,Inputs_Assumptions!$E$58,BI5&lt;Inputs_Assumptions!$E$64,Inputs_Assumptions!$E$59,BI5&lt;Inputs_Assumptions!$E$65,Inputs_Assumptions!$E$60,BI5&lt;Inputs_Assumptions!$E$66,Inputs_Assumptions!$E$61,BI5&lt;Inputs_Assumptions!$E$74,Inputs_Assumptions!$E$62,"TRUE",0)</f>
        <v>0.05</v>
      </c>
      <c r="BJ28" s="223" cm="1">
        <f t="array" ref="BJ28">_xlfn.IFS(BJ5&lt;Inputs_Assumptions!$E$63,Inputs_Assumptions!$E$58,BJ5&lt;Inputs_Assumptions!$E$64,Inputs_Assumptions!$E$59,BJ5&lt;Inputs_Assumptions!$E$65,Inputs_Assumptions!$E$60,BJ5&lt;Inputs_Assumptions!$E$66,Inputs_Assumptions!$E$61,BJ5&lt;Inputs_Assumptions!$E$74,Inputs_Assumptions!$E$62,"TRUE",0)</f>
        <v>0.05</v>
      </c>
      <c r="BK28" s="223" cm="1">
        <f t="array" ref="BK28">_xlfn.IFS(BK5&lt;Inputs_Assumptions!$E$63,Inputs_Assumptions!$E$58,BK5&lt;Inputs_Assumptions!$E$64,Inputs_Assumptions!$E$59,BK5&lt;Inputs_Assumptions!$E$65,Inputs_Assumptions!$E$60,BK5&lt;Inputs_Assumptions!$E$66,Inputs_Assumptions!$E$61,BK5&lt;Inputs_Assumptions!$E$74,Inputs_Assumptions!$E$62,"TRUE",0)</f>
        <v>0.05</v>
      </c>
      <c r="BL28" s="223" cm="1">
        <f t="array" ref="BL28">_xlfn.IFS(BL5&lt;Inputs_Assumptions!$E$63,Inputs_Assumptions!$E$58,BL5&lt;Inputs_Assumptions!$E$64,Inputs_Assumptions!$E$59,BL5&lt;Inputs_Assumptions!$E$65,Inputs_Assumptions!$E$60,BL5&lt;Inputs_Assumptions!$E$66,Inputs_Assumptions!$E$61,BL5&lt;Inputs_Assumptions!$E$74,Inputs_Assumptions!$E$62,"TRUE",0)</f>
        <v>0.05</v>
      </c>
      <c r="BM28" s="223" cm="1">
        <f t="array" ref="BM28">_xlfn.IFS(BM5&lt;Inputs_Assumptions!$E$63,Inputs_Assumptions!$E$58,BM5&lt;Inputs_Assumptions!$E$64,Inputs_Assumptions!$E$59,BM5&lt;Inputs_Assumptions!$E$65,Inputs_Assumptions!$E$60,BM5&lt;Inputs_Assumptions!$E$66,Inputs_Assumptions!$E$61,BM5&lt;Inputs_Assumptions!$E$74,Inputs_Assumptions!$E$62,"TRUE",0)</f>
        <v>0.05</v>
      </c>
      <c r="BN28" s="223" cm="1">
        <f t="array" ref="BN28">_xlfn.IFS(BN5&lt;Inputs_Assumptions!$E$63,Inputs_Assumptions!$E$58,BN5&lt;Inputs_Assumptions!$E$64,Inputs_Assumptions!$E$59,BN5&lt;Inputs_Assumptions!$E$65,Inputs_Assumptions!$E$60,BN5&lt;Inputs_Assumptions!$E$66,Inputs_Assumptions!$E$61,BN5&lt;Inputs_Assumptions!$E$74,Inputs_Assumptions!$E$62,"TRUE",0)</f>
        <v>0.05</v>
      </c>
      <c r="BO28" s="223" cm="1">
        <f t="array" ref="BO28">_xlfn.IFS(BO5&lt;Inputs_Assumptions!$E$63,Inputs_Assumptions!$E$58,BO5&lt;Inputs_Assumptions!$E$64,Inputs_Assumptions!$E$59,BO5&lt;Inputs_Assumptions!$E$65,Inputs_Assumptions!$E$60,BO5&lt;Inputs_Assumptions!$E$66,Inputs_Assumptions!$E$61,BO5&lt;Inputs_Assumptions!$E$74,Inputs_Assumptions!$E$62,"TRUE",0)</f>
        <v>0.05</v>
      </c>
      <c r="BP28" s="223" cm="1">
        <f t="array" ref="BP28">_xlfn.IFS(BP5&lt;Inputs_Assumptions!$E$63,Inputs_Assumptions!$E$58,BP5&lt;Inputs_Assumptions!$E$64,Inputs_Assumptions!$E$59,BP5&lt;Inputs_Assumptions!$E$65,Inputs_Assumptions!$E$60,BP5&lt;Inputs_Assumptions!$E$66,Inputs_Assumptions!$E$61,BP5&lt;Inputs_Assumptions!$E$74,Inputs_Assumptions!$E$62,"TRUE",0)</f>
        <v>0.05</v>
      </c>
      <c r="BQ28" s="223" cm="1">
        <f t="array" ref="BQ28">_xlfn.IFS(BQ5&lt;Inputs_Assumptions!$E$63,Inputs_Assumptions!$E$58,BQ5&lt;Inputs_Assumptions!$E$64,Inputs_Assumptions!$E$59,BQ5&lt;Inputs_Assumptions!$E$65,Inputs_Assumptions!$E$60,BQ5&lt;Inputs_Assumptions!$E$66,Inputs_Assumptions!$E$61,BQ5&lt;Inputs_Assumptions!$E$74,Inputs_Assumptions!$E$62,"TRUE",0)</f>
        <v>0.05</v>
      </c>
      <c r="BR28" s="223" cm="1">
        <f t="array" ref="BR28">_xlfn.IFS(BR5&lt;Inputs_Assumptions!$E$63,Inputs_Assumptions!$E$58,BR5&lt;Inputs_Assumptions!$E$64,Inputs_Assumptions!$E$59,BR5&lt;Inputs_Assumptions!$E$65,Inputs_Assumptions!$E$60,BR5&lt;Inputs_Assumptions!$E$66,Inputs_Assumptions!$E$61,BR5&lt;Inputs_Assumptions!$E$74,Inputs_Assumptions!$E$62,"TRUE",0)</f>
        <v>0.05</v>
      </c>
      <c r="BS28" s="223" cm="1">
        <f t="array" ref="BS28">_xlfn.IFS(BS5&lt;Inputs_Assumptions!$E$63,Inputs_Assumptions!$E$58,BS5&lt;Inputs_Assumptions!$E$64,Inputs_Assumptions!$E$59,BS5&lt;Inputs_Assumptions!$E$65,Inputs_Assumptions!$E$60,BS5&lt;Inputs_Assumptions!$E$66,Inputs_Assumptions!$E$61,BS5&lt;Inputs_Assumptions!$E$74,Inputs_Assumptions!$E$62,"TRUE",0)</f>
        <v>0.05</v>
      </c>
      <c r="BT28" s="223" cm="1">
        <f t="array" ref="BT28">_xlfn.IFS(BT5&lt;Inputs_Assumptions!$E$63,Inputs_Assumptions!$E$58,BT5&lt;Inputs_Assumptions!$E$64,Inputs_Assumptions!$E$59,BT5&lt;Inputs_Assumptions!$E$65,Inputs_Assumptions!$E$60,BT5&lt;Inputs_Assumptions!$E$66,Inputs_Assumptions!$E$61,BT5&lt;Inputs_Assumptions!$E$74,Inputs_Assumptions!$E$62,"TRUE",0)</f>
        <v>0.05</v>
      </c>
      <c r="BU28" s="223" cm="1">
        <f t="array" ref="BU28">_xlfn.IFS(BU5&lt;Inputs_Assumptions!$E$63,Inputs_Assumptions!$E$58,BU5&lt;Inputs_Assumptions!$E$64,Inputs_Assumptions!$E$59,BU5&lt;Inputs_Assumptions!$E$65,Inputs_Assumptions!$E$60,BU5&lt;Inputs_Assumptions!$E$66,Inputs_Assumptions!$E$61,BU5&lt;Inputs_Assumptions!$E$74,Inputs_Assumptions!$E$62,"TRUE",0)</f>
        <v>0.05</v>
      </c>
      <c r="BV28" s="223" cm="1">
        <f t="array" ref="BV28">_xlfn.IFS(BV5&lt;Inputs_Assumptions!$E$63,Inputs_Assumptions!$E$58,BV5&lt;Inputs_Assumptions!$E$64,Inputs_Assumptions!$E$59,BV5&lt;Inputs_Assumptions!$E$65,Inputs_Assumptions!$E$60,BV5&lt;Inputs_Assumptions!$E$66,Inputs_Assumptions!$E$61,BV5&lt;Inputs_Assumptions!$E$74,Inputs_Assumptions!$E$62,"TRUE",0)</f>
        <v>0.05</v>
      </c>
      <c r="BW28" s="223" cm="1">
        <f t="array" ref="BW28">_xlfn.IFS(BW5&lt;Inputs_Assumptions!$E$63,Inputs_Assumptions!$E$58,BW5&lt;Inputs_Assumptions!$E$64,Inputs_Assumptions!$E$59,BW5&lt;Inputs_Assumptions!$E$65,Inputs_Assumptions!$E$60,BW5&lt;Inputs_Assumptions!$E$66,Inputs_Assumptions!$E$61,BW5&lt;Inputs_Assumptions!$E$74,Inputs_Assumptions!$E$62,"TRUE",0)</f>
        <v>0.05</v>
      </c>
      <c r="BX28" s="223" cm="1">
        <f t="array" ref="BX28">_xlfn.IFS(BX5&lt;Inputs_Assumptions!$E$63,Inputs_Assumptions!$E$58,BX5&lt;Inputs_Assumptions!$E$64,Inputs_Assumptions!$E$59,BX5&lt;Inputs_Assumptions!$E$65,Inputs_Assumptions!$E$60,BX5&lt;Inputs_Assumptions!$E$66,Inputs_Assumptions!$E$61,BX5&lt;Inputs_Assumptions!$E$74,Inputs_Assumptions!$E$62,"TRUE",0)</f>
        <v>0.05</v>
      </c>
      <c r="BY28" s="223" cm="1">
        <f t="array" ref="BY28">_xlfn.IFS(BY5&lt;Inputs_Assumptions!$E$63,Inputs_Assumptions!$E$58,BY5&lt;Inputs_Assumptions!$E$64,Inputs_Assumptions!$E$59,BY5&lt;Inputs_Assumptions!$E$65,Inputs_Assumptions!$E$60,BY5&lt;Inputs_Assumptions!$E$66,Inputs_Assumptions!$E$61,BY5&lt;Inputs_Assumptions!$E$74,Inputs_Assumptions!$E$62,"TRUE",0)</f>
        <v>0.05</v>
      </c>
      <c r="BZ28" s="223" cm="1">
        <f t="array" ref="BZ28">_xlfn.IFS(BZ5&lt;Inputs_Assumptions!$E$63,Inputs_Assumptions!$E$58,BZ5&lt;Inputs_Assumptions!$E$64,Inputs_Assumptions!$E$59,BZ5&lt;Inputs_Assumptions!$E$65,Inputs_Assumptions!$E$60,BZ5&lt;Inputs_Assumptions!$E$66,Inputs_Assumptions!$E$61,BZ5&lt;Inputs_Assumptions!$E$74,Inputs_Assumptions!$E$62,"TRUE",0)</f>
        <v>0.05</v>
      </c>
      <c r="CA28" s="223" cm="1">
        <f t="array" ref="CA28">_xlfn.IFS(CA5&lt;Inputs_Assumptions!$E$63,Inputs_Assumptions!$E$58,CA5&lt;Inputs_Assumptions!$E$64,Inputs_Assumptions!$E$59,CA5&lt;Inputs_Assumptions!$E$65,Inputs_Assumptions!$E$60,CA5&lt;Inputs_Assumptions!$E$66,Inputs_Assumptions!$E$61,CA5&lt;Inputs_Assumptions!$E$74,Inputs_Assumptions!$E$62,"TRUE",0)</f>
        <v>0.05</v>
      </c>
      <c r="CB28" s="223" cm="1">
        <f t="array" ref="CB28">_xlfn.IFS(CB5&lt;Inputs_Assumptions!$E$63,Inputs_Assumptions!$E$58,CB5&lt;Inputs_Assumptions!$E$64,Inputs_Assumptions!$E$59,CB5&lt;Inputs_Assumptions!$E$65,Inputs_Assumptions!$E$60,CB5&lt;Inputs_Assumptions!$E$66,Inputs_Assumptions!$E$61,CB5&lt;Inputs_Assumptions!$E$74,Inputs_Assumptions!$E$62,"TRUE",0)</f>
        <v>0.05</v>
      </c>
      <c r="CC28" s="223" cm="1">
        <f t="array" ref="CC28">_xlfn.IFS(CC5&lt;Inputs_Assumptions!$E$63,Inputs_Assumptions!$E$58,CC5&lt;Inputs_Assumptions!$E$64,Inputs_Assumptions!$E$59,CC5&lt;Inputs_Assumptions!$E$65,Inputs_Assumptions!$E$60,CC5&lt;Inputs_Assumptions!$E$66,Inputs_Assumptions!$E$61,CC5&lt;Inputs_Assumptions!$E$74,Inputs_Assumptions!$E$62,"TRUE",0)</f>
        <v>0.05</v>
      </c>
      <c r="CD28" s="223" cm="1">
        <f t="array" ref="CD28">_xlfn.IFS(CD5&lt;Inputs_Assumptions!$E$63,Inputs_Assumptions!$E$58,CD5&lt;Inputs_Assumptions!$E$64,Inputs_Assumptions!$E$59,CD5&lt;Inputs_Assumptions!$E$65,Inputs_Assumptions!$E$60,CD5&lt;Inputs_Assumptions!$E$66,Inputs_Assumptions!$E$61,CD5&lt;Inputs_Assumptions!$E$74,Inputs_Assumptions!$E$62,"TRUE",0)</f>
        <v>0.05</v>
      </c>
      <c r="CE28" s="223" cm="1">
        <f t="array" ref="CE28">_xlfn.IFS(CE5&lt;Inputs_Assumptions!$E$63,Inputs_Assumptions!$E$58,CE5&lt;Inputs_Assumptions!$E$64,Inputs_Assumptions!$E$59,CE5&lt;Inputs_Assumptions!$E$65,Inputs_Assumptions!$E$60,CE5&lt;Inputs_Assumptions!$E$66,Inputs_Assumptions!$E$61,CE5&lt;Inputs_Assumptions!$E$74,Inputs_Assumptions!$E$62,"TRUE",0)</f>
        <v>6.5000000000000002E-2</v>
      </c>
      <c r="CF28" s="223" cm="1">
        <f t="array" ref="CF28">_xlfn.IFS(CF5&lt;Inputs_Assumptions!$E$63,Inputs_Assumptions!$E$58,CF5&lt;Inputs_Assumptions!$E$64,Inputs_Assumptions!$E$59,CF5&lt;Inputs_Assumptions!$E$65,Inputs_Assumptions!$E$60,CF5&lt;Inputs_Assumptions!$E$66,Inputs_Assumptions!$E$61,CF5&lt;Inputs_Assumptions!$E$74,Inputs_Assumptions!$E$62,"TRUE",0)</f>
        <v>6.5000000000000002E-2</v>
      </c>
      <c r="CG28" s="223" cm="1">
        <f t="array" ref="CG28">_xlfn.IFS(CG5&lt;Inputs_Assumptions!$E$63,Inputs_Assumptions!$E$58,CG5&lt;Inputs_Assumptions!$E$64,Inputs_Assumptions!$E$59,CG5&lt;Inputs_Assumptions!$E$65,Inputs_Assumptions!$E$60,CG5&lt;Inputs_Assumptions!$E$66,Inputs_Assumptions!$E$61,CG5&lt;Inputs_Assumptions!$E$74,Inputs_Assumptions!$E$62,"TRUE",0)</f>
        <v>6.5000000000000002E-2</v>
      </c>
      <c r="CH28" s="223" cm="1">
        <f t="array" ref="CH28">_xlfn.IFS(CH5&lt;Inputs_Assumptions!$E$63,Inputs_Assumptions!$E$58,CH5&lt;Inputs_Assumptions!$E$64,Inputs_Assumptions!$E$59,CH5&lt;Inputs_Assumptions!$E$65,Inputs_Assumptions!$E$60,CH5&lt;Inputs_Assumptions!$E$66,Inputs_Assumptions!$E$61,CH5&lt;Inputs_Assumptions!$E$74,Inputs_Assumptions!$E$62,"TRUE",0)</f>
        <v>6.5000000000000002E-2</v>
      </c>
      <c r="CI28" s="223" cm="1">
        <f t="array" ref="CI28">_xlfn.IFS(CI5&lt;Inputs_Assumptions!$E$63,Inputs_Assumptions!$E$58,CI5&lt;Inputs_Assumptions!$E$64,Inputs_Assumptions!$E$59,CI5&lt;Inputs_Assumptions!$E$65,Inputs_Assumptions!$E$60,CI5&lt;Inputs_Assumptions!$E$66,Inputs_Assumptions!$E$61,CI5&lt;Inputs_Assumptions!$E$74,Inputs_Assumptions!$E$62,"TRUE",0)</f>
        <v>6.5000000000000002E-2</v>
      </c>
      <c r="CJ28" s="223" cm="1">
        <f t="array" ref="CJ28">_xlfn.IFS(CJ5&lt;Inputs_Assumptions!$E$63,Inputs_Assumptions!$E$58,CJ5&lt;Inputs_Assumptions!$E$64,Inputs_Assumptions!$E$59,CJ5&lt;Inputs_Assumptions!$E$65,Inputs_Assumptions!$E$60,CJ5&lt;Inputs_Assumptions!$E$66,Inputs_Assumptions!$E$61,CJ5&lt;Inputs_Assumptions!$E$74,Inputs_Assumptions!$E$62,"TRUE",0)</f>
        <v>6.5000000000000002E-2</v>
      </c>
      <c r="CK28" s="223" cm="1">
        <f t="array" ref="CK28">_xlfn.IFS(CK5&lt;Inputs_Assumptions!$E$63,Inputs_Assumptions!$E$58,CK5&lt;Inputs_Assumptions!$E$64,Inputs_Assumptions!$E$59,CK5&lt;Inputs_Assumptions!$E$65,Inputs_Assumptions!$E$60,CK5&lt;Inputs_Assumptions!$E$66,Inputs_Assumptions!$E$61,CK5&lt;Inputs_Assumptions!$E$74,Inputs_Assumptions!$E$62,"TRUE",0)</f>
        <v>6.5000000000000002E-2</v>
      </c>
      <c r="CL28" s="223" cm="1">
        <f t="array" ref="CL28">_xlfn.IFS(CL5&lt;Inputs_Assumptions!$E$63,Inputs_Assumptions!$E$58,CL5&lt;Inputs_Assumptions!$E$64,Inputs_Assumptions!$E$59,CL5&lt;Inputs_Assumptions!$E$65,Inputs_Assumptions!$E$60,CL5&lt;Inputs_Assumptions!$E$66,Inputs_Assumptions!$E$61,CL5&lt;Inputs_Assumptions!$E$74,Inputs_Assumptions!$E$62,"TRUE",0)</f>
        <v>6.5000000000000002E-2</v>
      </c>
      <c r="CM28" s="223" cm="1">
        <f t="array" ref="CM28">_xlfn.IFS(CM5&lt;Inputs_Assumptions!$E$63,Inputs_Assumptions!$E$58,CM5&lt;Inputs_Assumptions!$E$64,Inputs_Assumptions!$E$59,CM5&lt;Inputs_Assumptions!$E$65,Inputs_Assumptions!$E$60,CM5&lt;Inputs_Assumptions!$E$66,Inputs_Assumptions!$E$61,CM5&lt;Inputs_Assumptions!$E$74,Inputs_Assumptions!$E$62,"TRUE",0)</f>
        <v>6.5000000000000002E-2</v>
      </c>
      <c r="CN28" s="223" cm="1">
        <f t="array" ref="CN28">_xlfn.IFS(CN5&lt;Inputs_Assumptions!$E$63,Inputs_Assumptions!$E$58,CN5&lt;Inputs_Assumptions!$E$64,Inputs_Assumptions!$E$59,CN5&lt;Inputs_Assumptions!$E$65,Inputs_Assumptions!$E$60,CN5&lt;Inputs_Assumptions!$E$66,Inputs_Assumptions!$E$61,CN5&lt;Inputs_Assumptions!$E$74,Inputs_Assumptions!$E$62,"TRUE",0)</f>
        <v>6.5000000000000002E-2</v>
      </c>
      <c r="CO28" s="223" cm="1">
        <f t="array" ref="CO28">_xlfn.IFS(CO5&lt;Inputs_Assumptions!$E$63,Inputs_Assumptions!$E$58,CO5&lt;Inputs_Assumptions!$E$64,Inputs_Assumptions!$E$59,CO5&lt;Inputs_Assumptions!$E$65,Inputs_Assumptions!$E$60,CO5&lt;Inputs_Assumptions!$E$66,Inputs_Assumptions!$E$61,CO5&lt;Inputs_Assumptions!$E$74,Inputs_Assumptions!$E$62,"TRUE",0)</f>
        <v>6.5000000000000002E-2</v>
      </c>
      <c r="CP28" s="223" cm="1">
        <f t="array" ref="CP28">_xlfn.IFS(CP5&lt;Inputs_Assumptions!$E$63,Inputs_Assumptions!$E$58,CP5&lt;Inputs_Assumptions!$E$64,Inputs_Assumptions!$E$59,CP5&lt;Inputs_Assumptions!$E$65,Inputs_Assumptions!$E$60,CP5&lt;Inputs_Assumptions!$E$66,Inputs_Assumptions!$E$61,CP5&lt;Inputs_Assumptions!$E$74,Inputs_Assumptions!$E$62,"TRUE",0)</f>
        <v>6.5000000000000002E-2</v>
      </c>
      <c r="CQ28" s="223" cm="1">
        <f t="array" ref="CQ28">_xlfn.IFS(CQ5&lt;Inputs_Assumptions!$E$63,Inputs_Assumptions!$E$58,CQ5&lt;Inputs_Assumptions!$E$64,Inputs_Assumptions!$E$59,CQ5&lt;Inputs_Assumptions!$E$65,Inputs_Assumptions!$E$60,CQ5&lt;Inputs_Assumptions!$E$66,Inputs_Assumptions!$E$61,CQ5&lt;Inputs_Assumptions!$E$74,Inputs_Assumptions!$E$62,"TRUE",0)</f>
        <v>6.5000000000000002E-2</v>
      </c>
      <c r="CR28" s="223" cm="1">
        <f t="array" ref="CR28">_xlfn.IFS(CR5&lt;Inputs_Assumptions!$E$63,Inputs_Assumptions!$E$58,CR5&lt;Inputs_Assumptions!$E$64,Inputs_Assumptions!$E$59,CR5&lt;Inputs_Assumptions!$E$65,Inputs_Assumptions!$E$60,CR5&lt;Inputs_Assumptions!$E$66,Inputs_Assumptions!$E$61,CR5&lt;Inputs_Assumptions!$E$74,Inputs_Assumptions!$E$62,"TRUE",0)</f>
        <v>6.5000000000000002E-2</v>
      </c>
      <c r="CS28" s="223" cm="1">
        <f t="array" ref="CS28">_xlfn.IFS(CS5&lt;Inputs_Assumptions!$E$63,Inputs_Assumptions!$E$58,CS5&lt;Inputs_Assumptions!$E$64,Inputs_Assumptions!$E$59,CS5&lt;Inputs_Assumptions!$E$65,Inputs_Assumptions!$E$60,CS5&lt;Inputs_Assumptions!$E$66,Inputs_Assumptions!$E$61,CS5&lt;Inputs_Assumptions!$E$74,Inputs_Assumptions!$E$62,"TRUE",0)</f>
        <v>6.5000000000000002E-2</v>
      </c>
      <c r="CT28" s="223" cm="1">
        <f t="array" ref="CT28">_xlfn.IFS(CT5&lt;Inputs_Assumptions!$E$63,Inputs_Assumptions!$E$58,CT5&lt;Inputs_Assumptions!$E$64,Inputs_Assumptions!$E$59,CT5&lt;Inputs_Assumptions!$E$65,Inputs_Assumptions!$E$60,CT5&lt;Inputs_Assumptions!$E$66,Inputs_Assumptions!$E$61,CT5&lt;Inputs_Assumptions!$E$74,Inputs_Assumptions!$E$62,"TRUE",0)</f>
        <v>6.5000000000000002E-2</v>
      </c>
      <c r="CU28" s="247" cm="1">
        <f t="array" ref="CU28">_xlfn.IFS(CU5&lt;Inputs_Assumptions!$E$63,Inputs_Assumptions!$E$58,CU5&lt;Inputs_Assumptions!$E$64,Inputs_Assumptions!$E$59,CU5&lt;Inputs_Assumptions!$E$65,Inputs_Assumptions!$E$60,CU5&lt;Inputs_Assumptions!$E$66,Inputs_Assumptions!$E$61,CU5&lt;Inputs_Assumptions!$E$74,Inputs_Assumptions!$E$62,"TRUE",0)</f>
        <v>6.5000000000000002E-2</v>
      </c>
      <c r="CV28" s="223" cm="1">
        <f t="array" ref="CV28">_xlfn.IFS(CV5&lt;Inputs_Assumptions!$E$63,Inputs_Assumptions!$E$58,CV5&lt;Inputs_Assumptions!$E$64,Inputs_Assumptions!$E$59,CV5&lt;Inputs_Assumptions!$E$65,Inputs_Assumptions!$E$60,CV5&lt;Inputs_Assumptions!$E$66,Inputs_Assumptions!$E$61,CV5&lt;Inputs_Assumptions!$E$74,Inputs_Assumptions!$E$62,"TRUE",0)</f>
        <v>6.5000000000000002E-2</v>
      </c>
      <c r="CW28" s="223" cm="1">
        <f t="array" ref="CW28">_xlfn.IFS(CW5&lt;Inputs_Assumptions!$E$63,Inputs_Assumptions!$E$58,CW5&lt;Inputs_Assumptions!$E$64,Inputs_Assumptions!$E$59,CW5&lt;Inputs_Assumptions!$E$65,Inputs_Assumptions!$E$60,CW5&lt;Inputs_Assumptions!$E$66,Inputs_Assumptions!$E$61,CW5&lt;Inputs_Assumptions!$E$74,Inputs_Assumptions!$E$62,"TRUE",0)</f>
        <v>6.5000000000000002E-2</v>
      </c>
      <c r="CX28" s="223" cm="1">
        <f t="array" ref="CX28">_xlfn.IFS(CX5&lt;Inputs_Assumptions!$E$63,Inputs_Assumptions!$E$58,CX5&lt;Inputs_Assumptions!$E$64,Inputs_Assumptions!$E$59,CX5&lt;Inputs_Assumptions!$E$65,Inputs_Assumptions!$E$60,CX5&lt;Inputs_Assumptions!$E$66,Inputs_Assumptions!$E$61,CX5&lt;Inputs_Assumptions!$E$74,Inputs_Assumptions!$E$62,"TRUE",0)</f>
        <v>6.5000000000000002E-2</v>
      </c>
      <c r="CY28" s="223" cm="1">
        <f t="array" ref="CY28">_xlfn.IFS(CY5&lt;Inputs_Assumptions!$E$63,Inputs_Assumptions!$E$58,CY5&lt;Inputs_Assumptions!$E$64,Inputs_Assumptions!$E$59,CY5&lt;Inputs_Assumptions!$E$65,Inputs_Assumptions!$E$60,CY5&lt;Inputs_Assumptions!$E$66,Inputs_Assumptions!$E$61,CY5&lt;Inputs_Assumptions!$E$74,Inputs_Assumptions!$E$62,"TRUE",0)</f>
        <v>0.08</v>
      </c>
      <c r="CZ28" s="223" cm="1">
        <f t="array" ref="CZ28">_xlfn.IFS(CZ5&lt;Inputs_Assumptions!$E$63,Inputs_Assumptions!$E$58,CZ5&lt;Inputs_Assumptions!$E$64,Inputs_Assumptions!$E$59,CZ5&lt;Inputs_Assumptions!$E$65,Inputs_Assumptions!$E$60,CZ5&lt;Inputs_Assumptions!$E$66,Inputs_Assumptions!$E$61,CZ5&lt;Inputs_Assumptions!$E$74,Inputs_Assumptions!$E$62,"TRUE",0)</f>
        <v>0.08</v>
      </c>
      <c r="DA28" s="223" cm="1">
        <f t="array" ref="DA28">_xlfn.IFS(DA5&lt;Inputs_Assumptions!$E$63,Inputs_Assumptions!$E$58,DA5&lt;Inputs_Assumptions!$E$64,Inputs_Assumptions!$E$59,DA5&lt;Inputs_Assumptions!$E$65,Inputs_Assumptions!$E$60,DA5&lt;Inputs_Assumptions!$E$66,Inputs_Assumptions!$E$61,DA5&lt;Inputs_Assumptions!$E$74,Inputs_Assumptions!$E$62,"TRUE",0)</f>
        <v>0.08</v>
      </c>
      <c r="DB28" s="223" cm="1">
        <f t="array" ref="DB28">_xlfn.IFS(DB5&lt;Inputs_Assumptions!$E$63,Inputs_Assumptions!$E$58,DB5&lt;Inputs_Assumptions!$E$64,Inputs_Assumptions!$E$59,DB5&lt;Inputs_Assumptions!$E$65,Inputs_Assumptions!$E$60,DB5&lt;Inputs_Assumptions!$E$66,Inputs_Assumptions!$E$61,DB5&lt;Inputs_Assumptions!$E$74,Inputs_Assumptions!$E$62,"TRUE",0)</f>
        <v>0.08</v>
      </c>
      <c r="DC28" s="223" cm="1">
        <f t="array" ref="DC28">_xlfn.IFS(DC5&lt;Inputs_Assumptions!$E$63,Inputs_Assumptions!$E$58,DC5&lt;Inputs_Assumptions!$E$64,Inputs_Assumptions!$E$59,DC5&lt;Inputs_Assumptions!$E$65,Inputs_Assumptions!$E$60,DC5&lt;Inputs_Assumptions!$E$66,Inputs_Assumptions!$E$61,DC5&lt;Inputs_Assumptions!$E$74,Inputs_Assumptions!$E$62,"TRUE",0)</f>
        <v>0.08</v>
      </c>
      <c r="DD28" s="223" cm="1">
        <f t="array" ref="DD28">_xlfn.IFS(DD5&lt;Inputs_Assumptions!$E$63,Inputs_Assumptions!$E$58,DD5&lt;Inputs_Assumptions!$E$64,Inputs_Assumptions!$E$59,DD5&lt;Inputs_Assumptions!$E$65,Inputs_Assumptions!$E$60,DD5&lt;Inputs_Assumptions!$E$66,Inputs_Assumptions!$E$61,DD5&lt;Inputs_Assumptions!$E$74,Inputs_Assumptions!$E$62,"TRUE",0)</f>
        <v>0.08</v>
      </c>
      <c r="DE28" s="223" cm="1">
        <f t="array" ref="DE28">_xlfn.IFS(DE5&lt;Inputs_Assumptions!$E$63,Inputs_Assumptions!$E$58,DE5&lt;Inputs_Assumptions!$E$64,Inputs_Assumptions!$E$59,DE5&lt;Inputs_Assumptions!$E$65,Inputs_Assumptions!$E$60,DE5&lt;Inputs_Assumptions!$E$66,Inputs_Assumptions!$E$61,DE5&lt;Inputs_Assumptions!$E$74,Inputs_Assumptions!$E$62,"TRUE",0)</f>
        <v>0.08</v>
      </c>
      <c r="DF28" s="223" cm="1">
        <f t="array" ref="DF28">_xlfn.IFS(DF5&lt;Inputs_Assumptions!$E$63,Inputs_Assumptions!$E$58,DF5&lt;Inputs_Assumptions!$E$64,Inputs_Assumptions!$E$59,DF5&lt;Inputs_Assumptions!$E$65,Inputs_Assumptions!$E$60,DF5&lt;Inputs_Assumptions!$E$66,Inputs_Assumptions!$E$61,DF5&lt;Inputs_Assumptions!$E$74,Inputs_Assumptions!$E$62,"TRUE",0)</f>
        <v>0.08</v>
      </c>
      <c r="DG28" s="223" cm="1">
        <f t="array" ref="DG28">_xlfn.IFS(DG5&lt;Inputs_Assumptions!$E$63,Inputs_Assumptions!$E$58,DG5&lt;Inputs_Assumptions!$E$64,Inputs_Assumptions!$E$59,DG5&lt;Inputs_Assumptions!$E$65,Inputs_Assumptions!$E$60,DG5&lt;Inputs_Assumptions!$E$66,Inputs_Assumptions!$E$61,DG5&lt;Inputs_Assumptions!$E$74,Inputs_Assumptions!$E$62,"TRUE",0)</f>
        <v>0.08</v>
      </c>
      <c r="DH28" s="223" cm="1">
        <f t="array" ref="DH28">_xlfn.IFS(DH5&lt;Inputs_Assumptions!$E$63,Inputs_Assumptions!$E$58,DH5&lt;Inputs_Assumptions!$E$64,Inputs_Assumptions!$E$59,DH5&lt;Inputs_Assumptions!$E$65,Inputs_Assumptions!$E$60,DH5&lt;Inputs_Assumptions!$E$66,Inputs_Assumptions!$E$61,DH5&lt;Inputs_Assumptions!$E$74,Inputs_Assumptions!$E$62,"TRUE",0)</f>
        <v>0.08</v>
      </c>
      <c r="DI28" s="223" cm="1">
        <f t="array" ref="DI28">_xlfn.IFS(DI5&lt;Inputs_Assumptions!$E$63,Inputs_Assumptions!$E$58,DI5&lt;Inputs_Assumptions!$E$64,Inputs_Assumptions!$E$59,DI5&lt;Inputs_Assumptions!$E$65,Inputs_Assumptions!$E$60,DI5&lt;Inputs_Assumptions!$E$66,Inputs_Assumptions!$E$61,DI5&lt;Inputs_Assumptions!$E$74,Inputs_Assumptions!$E$62,"TRUE",0)</f>
        <v>0.08</v>
      </c>
      <c r="DJ28" s="223" cm="1">
        <f t="array" ref="DJ28">_xlfn.IFS(DJ5&lt;Inputs_Assumptions!$E$63,Inputs_Assumptions!$E$58,DJ5&lt;Inputs_Assumptions!$E$64,Inputs_Assumptions!$E$59,DJ5&lt;Inputs_Assumptions!$E$65,Inputs_Assumptions!$E$60,DJ5&lt;Inputs_Assumptions!$E$66,Inputs_Assumptions!$E$61,DJ5&lt;Inputs_Assumptions!$E$74,Inputs_Assumptions!$E$62,"TRUE",0)</f>
        <v>0.08</v>
      </c>
      <c r="DK28" s="223" cm="1">
        <f t="array" ref="DK28">_xlfn.IFS(DK5&lt;Inputs_Assumptions!$E$63,Inputs_Assumptions!$E$58,DK5&lt;Inputs_Assumptions!$E$64,Inputs_Assumptions!$E$59,DK5&lt;Inputs_Assumptions!$E$65,Inputs_Assumptions!$E$60,DK5&lt;Inputs_Assumptions!$E$66,Inputs_Assumptions!$E$61,DK5&lt;Inputs_Assumptions!$E$74,Inputs_Assumptions!$E$62,"TRUE",0)</f>
        <v>0.08</v>
      </c>
      <c r="DL28" s="223" cm="1">
        <f t="array" ref="DL28">_xlfn.IFS(DL5&lt;Inputs_Assumptions!$E$63,Inputs_Assumptions!$E$58,DL5&lt;Inputs_Assumptions!$E$64,Inputs_Assumptions!$E$59,DL5&lt;Inputs_Assumptions!$E$65,Inputs_Assumptions!$E$60,DL5&lt;Inputs_Assumptions!$E$66,Inputs_Assumptions!$E$61,DL5&lt;Inputs_Assumptions!$E$74,Inputs_Assumptions!$E$62,"TRUE",0)</f>
        <v>0.08</v>
      </c>
      <c r="DM28" s="223" cm="1">
        <f t="array" ref="DM28">_xlfn.IFS(DM5&lt;Inputs_Assumptions!$E$63,Inputs_Assumptions!$E$58,DM5&lt;Inputs_Assumptions!$E$64,Inputs_Assumptions!$E$59,DM5&lt;Inputs_Assumptions!$E$65,Inputs_Assumptions!$E$60,DM5&lt;Inputs_Assumptions!$E$66,Inputs_Assumptions!$E$61,DM5&lt;Inputs_Assumptions!$E$74,Inputs_Assumptions!$E$62,"TRUE",0)</f>
        <v>0.08</v>
      </c>
      <c r="DN28" s="223" cm="1">
        <f t="array" ref="DN28">_xlfn.IFS(DN5&lt;Inputs_Assumptions!$E$63,Inputs_Assumptions!$E$58,DN5&lt;Inputs_Assumptions!$E$64,Inputs_Assumptions!$E$59,DN5&lt;Inputs_Assumptions!$E$65,Inputs_Assumptions!$E$60,DN5&lt;Inputs_Assumptions!$E$66,Inputs_Assumptions!$E$61,DN5&lt;Inputs_Assumptions!$E$74,Inputs_Assumptions!$E$62,"TRUE",0)</f>
        <v>0.08</v>
      </c>
      <c r="DO28" s="223" cm="1">
        <f t="array" ref="DO28">_xlfn.IFS(DO5&lt;Inputs_Assumptions!$E$63,Inputs_Assumptions!$E$58,DO5&lt;Inputs_Assumptions!$E$64,Inputs_Assumptions!$E$59,DO5&lt;Inputs_Assumptions!$E$65,Inputs_Assumptions!$E$60,DO5&lt;Inputs_Assumptions!$E$66,Inputs_Assumptions!$E$61,DO5&lt;Inputs_Assumptions!$E$74,Inputs_Assumptions!$E$62,"TRUE",0)</f>
        <v>0.08</v>
      </c>
      <c r="DP28" s="223" cm="1">
        <f t="array" ref="DP28">_xlfn.IFS(DP5&lt;Inputs_Assumptions!$E$63,Inputs_Assumptions!$E$58,DP5&lt;Inputs_Assumptions!$E$64,Inputs_Assumptions!$E$59,DP5&lt;Inputs_Assumptions!$E$65,Inputs_Assumptions!$E$60,DP5&lt;Inputs_Assumptions!$E$66,Inputs_Assumptions!$E$61,DP5&lt;Inputs_Assumptions!$E$74,Inputs_Assumptions!$E$62,"TRUE",0)</f>
        <v>0.08</v>
      </c>
      <c r="DQ28" s="223" cm="1">
        <f t="array" ref="DQ28">_xlfn.IFS(DQ5&lt;Inputs_Assumptions!$E$63,Inputs_Assumptions!$E$58,DQ5&lt;Inputs_Assumptions!$E$64,Inputs_Assumptions!$E$59,DQ5&lt;Inputs_Assumptions!$E$65,Inputs_Assumptions!$E$60,DQ5&lt;Inputs_Assumptions!$E$66,Inputs_Assumptions!$E$61,DQ5&lt;Inputs_Assumptions!$E$74,Inputs_Assumptions!$E$62,"TRUE",0)</f>
        <v>0.08</v>
      </c>
      <c r="DR28" s="223" cm="1">
        <f t="array" ref="DR28">_xlfn.IFS(DR5&lt;Inputs_Assumptions!$E$63,Inputs_Assumptions!$E$58,DR5&lt;Inputs_Assumptions!$E$64,Inputs_Assumptions!$E$59,DR5&lt;Inputs_Assumptions!$E$65,Inputs_Assumptions!$E$60,DR5&lt;Inputs_Assumptions!$E$66,Inputs_Assumptions!$E$61,DR5&lt;Inputs_Assumptions!$E$74,Inputs_Assumptions!$E$62,"TRUE",0)</f>
        <v>0.08</v>
      </c>
      <c r="DS28" s="223" cm="1">
        <f t="array" ref="DS28">_xlfn.IFS(DS5&lt;Inputs_Assumptions!$E$63,Inputs_Assumptions!$E$58,DS5&lt;Inputs_Assumptions!$E$64,Inputs_Assumptions!$E$59,DS5&lt;Inputs_Assumptions!$E$65,Inputs_Assumptions!$E$60,DS5&lt;Inputs_Assumptions!$E$66,Inputs_Assumptions!$E$61,DS5&lt;Inputs_Assumptions!$E$74,Inputs_Assumptions!$E$62,"TRUE",0)</f>
        <v>0.08</v>
      </c>
      <c r="DT28" s="223" cm="1">
        <f t="array" ref="DT28">_xlfn.IFS(DT5&lt;Inputs_Assumptions!$E$63,Inputs_Assumptions!$E$58,DT5&lt;Inputs_Assumptions!$E$64,Inputs_Assumptions!$E$59,DT5&lt;Inputs_Assumptions!$E$65,Inputs_Assumptions!$E$60,DT5&lt;Inputs_Assumptions!$E$66,Inputs_Assumptions!$E$61,DT5&lt;Inputs_Assumptions!$E$74,Inputs_Assumptions!$E$62,"TRUE",0)</f>
        <v>0.08</v>
      </c>
      <c r="DU28" s="223" cm="1">
        <f t="array" ref="DU28">_xlfn.IFS(DU5&lt;Inputs_Assumptions!$E$63,Inputs_Assumptions!$E$58,DU5&lt;Inputs_Assumptions!$E$64,Inputs_Assumptions!$E$59,DU5&lt;Inputs_Assumptions!$E$65,Inputs_Assumptions!$E$60,DU5&lt;Inputs_Assumptions!$E$66,Inputs_Assumptions!$E$61,DU5&lt;Inputs_Assumptions!$E$74,Inputs_Assumptions!$E$62,"TRUE",0)</f>
        <v>0.08</v>
      </c>
      <c r="DV28" s="223" cm="1">
        <f t="array" ref="DV28">_xlfn.IFS(DV5&lt;Inputs_Assumptions!$E$63,Inputs_Assumptions!$E$58,DV5&lt;Inputs_Assumptions!$E$64,Inputs_Assumptions!$E$59,DV5&lt;Inputs_Assumptions!$E$65,Inputs_Assumptions!$E$60,DV5&lt;Inputs_Assumptions!$E$66,Inputs_Assumptions!$E$61,DV5&lt;Inputs_Assumptions!$E$74,Inputs_Assumptions!$E$62,"TRUE",0)</f>
        <v>0.08</v>
      </c>
      <c r="DW28" s="223" cm="1">
        <f t="array" ref="DW28">_xlfn.IFS(DW5&lt;Inputs_Assumptions!$E$63,Inputs_Assumptions!$E$58,DW5&lt;Inputs_Assumptions!$E$64,Inputs_Assumptions!$E$59,DW5&lt;Inputs_Assumptions!$E$65,Inputs_Assumptions!$E$60,DW5&lt;Inputs_Assumptions!$E$66,Inputs_Assumptions!$E$61,DW5&lt;Inputs_Assumptions!$E$74,Inputs_Assumptions!$E$62,"TRUE",0)</f>
        <v>0.08</v>
      </c>
      <c r="DX28" s="223" cm="1">
        <f t="array" ref="DX28">_xlfn.IFS(DX5&lt;Inputs_Assumptions!$E$63,Inputs_Assumptions!$E$58,DX5&lt;Inputs_Assumptions!$E$64,Inputs_Assumptions!$E$59,DX5&lt;Inputs_Assumptions!$E$65,Inputs_Assumptions!$E$60,DX5&lt;Inputs_Assumptions!$E$66,Inputs_Assumptions!$E$61,DX5&lt;Inputs_Assumptions!$E$74,Inputs_Assumptions!$E$62,"TRUE",0)</f>
        <v>0.08</v>
      </c>
      <c r="DY28" s="223" cm="1">
        <f t="array" ref="DY28">_xlfn.IFS(DY5&lt;Inputs_Assumptions!$E$63,Inputs_Assumptions!$E$58,DY5&lt;Inputs_Assumptions!$E$64,Inputs_Assumptions!$E$59,DY5&lt;Inputs_Assumptions!$E$65,Inputs_Assumptions!$E$60,DY5&lt;Inputs_Assumptions!$E$66,Inputs_Assumptions!$E$61,DY5&lt;Inputs_Assumptions!$E$74,Inputs_Assumptions!$E$62,"TRUE",0)</f>
        <v>0.08</v>
      </c>
      <c r="DZ28" s="223" cm="1">
        <f t="array" ref="DZ28">_xlfn.IFS(DZ5&lt;Inputs_Assumptions!$E$63,Inputs_Assumptions!$E$58,DZ5&lt;Inputs_Assumptions!$E$64,Inputs_Assumptions!$E$59,DZ5&lt;Inputs_Assumptions!$E$65,Inputs_Assumptions!$E$60,DZ5&lt;Inputs_Assumptions!$E$66,Inputs_Assumptions!$E$61,DZ5&lt;Inputs_Assumptions!$E$74,Inputs_Assumptions!$E$62,"TRUE",0)</f>
        <v>0.08</v>
      </c>
      <c r="EA28" s="223" cm="1">
        <f t="array" ref="EA28">_xlfn.IFS(EA5&lt;Inputs_Assumptions!$E$63,Inputs_Assumptions!$E$58,EA5&lt;Inputs_Assumptions!$E$64,Inputs_Assumptions!$E$59,EA5&lt;Inputs_Assumptions!$E$65,Inputs_Assumptions!$E$60,EA5&lt;Inputs_Assumptions!$E$66,Inputs_Assumptions!$E$61,EA5&lt;Inputs_Assumptions!$E$74,Inputs_Assumptions!$E$62,"TRUE",0)</f>
        <v>0.08</v>
      </c>
      <c r="EB28" s="223" cm="1">
        <f t="array" ref="EB28">_xlfn.IFS(EB5&lt;Inputs_Assumptions!$E$63,Inputs_Assumptions!$E$58,EB5&lt;Inputs_Assumptions!$E$64,Inputs_Assumptions!$E$59,EB5&lt;Inputs_Assumptions!$E$65,Inputs_Assumptions!$E$60,EB5&lt;Inputs_Assumptions!$E$66,Inputs_Assumptions!$E$61,EB5&lt;Inputs_Assumptions!$E$74,Inputs_Assumptions!$E$62,"TRUE",0)</f>
        <v>0.08</v>
      </c>
      <c r="EC28" s="223" cm="1">
        <f t="array" ref="EC28">_xlfn.IFS(EC5&lt;Inputs_Assumptions!$E$63,Inputs_Assumptions!$E$58,EC5&lt;Inputs_Assumptions!$E$64,Inputs_Assumptions!$E$59,EC5&lt;Inputs_Assumptions!$E$65,Inputs_Assumptions!$E$60,EC5&lt;Inputs_Assumptions!$E$66,Inputs_Assumptions!$E$61,EC5&lt;Inputs_Assumptions!$E$74,Inputs_Assumptions!$E$62,"TRUE",0)</f>
        <v>0.08</v>
      </c>
      <c r="ED28" s="223" cm="1">
        <f t="array" ref="ED28">_xlfn.IFS(ED5&lt;Inputs_Assumptions!$E$63,Inputs_Assumptions!$E$58,ED5&lt;Inputs_Assumptions!$E$64,Inputs_Assumptions!$E$59,ED5&lt;Inputs_Assumptions!$E$65,Inputs_Assumptions!$E$60,ED5&lt;Inputs_Assumptions!$E$66,Inputs_Assumptions!$E$61,ED5&lt;Inputs_Assumptions!$E$74,Inputs_Assumptions!$E$62,"TRUE",0)</f>
        <v>0.08</v>
      </c>
      <c r="EE28" s="223" cm="1">
        <f t="array" ref="EE28">_xlfn.IFS(EE5&lt;Inputs_Assumptions!$E$63,Inputs_Assumptions!$E$58,EE5&lt;Inputs_Assumptions!$E$64,Inputs_Assumptions!$E$59,EE5&lt;Inputs_Assumptions!$E$65,Inputs_Assumptions!$E$60,EE5&lt;Inputs_Assumptions!$E$66,Inputs_Assumptions!$E$61,EE5&lt;Inputs_Assumptions!$E$74,Inputs_Assumptions!$E$62,"TRUE",0)</f>
        <v>0.08</v>
      </c>
      <c r="EF28" s="223" cm="1">
        <f t="array" ref="EF28">_xlfn.IFS(EF5&lt;Inputs_Assumptions!$E$63,Inputs_Assumptions!$E$58,EF5&lt;Inputs_Assumptions!$E$64,Inputs_Assumptions!$E$59,EF5&lt;Inputs_Assumptions!$E$65,Inputs_Assumptions!$E$60,EF5&lt;Inputs_Assumptions!$E$66,Inputs_Assumptions!$E$61,EF5&lt;Inputs_Assumptions!$E$74,Inputs_Assumptions!$E$62,"TRUE",0)</f>
        <v>0.08</v>
      </c>
      <c r="EG28" s="223" cm="1">
        <f t="array" ref="EG28">_xlfn.IFS(EG5&lt;Inputs_Assumptions!$E$63,Inputs_Assumptions!$E$58,EG5&lt;Inputs_Assumptions!$E$64,Inputs_Assumptions!$E$59,EG5&lt;Inputs_Assumptions!$E$65,Inputs_Assumptions!$E$60,EG5&lt;Inputs_Assumptions!$E$66,Inputs_Assumptions!$E$61,EG5&lt;Inputs_Assumptions!$E$74,Inputs_Assumptions!$E$62,"TRUE",0)</f>
        <v>0.08</v>
      </c>
      <c r="EH28" s="223" cm="1">
        <f t="array" ref="EH28">_xlfn.IFS(EH5&lt;Inputs_Assumptions!$E$63,Inputs_Assumptions!$E$58,EH5&lt;Inputs_Assumptions!$E$64,Inputs_Assumptions!$E$59,EH5&lt;Inputs_Assumptions!$E$65,Inputs_Assumptions!$E$60,EH5&lt;Inputs_Assumptions!$E$66,Inputs_Assumptions!$E$61,EH5&lt;Inputs_Assumptions!$E$74,Inputs_Assumptions!$E$62,"TRUE",0)</f>
        <v>0.08</v>
      </c>
      <c r="EI28" s="223" cm="1">
        <f t="array" ref="EI28">_xlfn.IFS(EI5&lt;Inputs_Assumptions!$E$63,Inputs_Assumptions!$E$58,EI5&lt;Inputs_Assumptions!$E$64,Inputs_Assumptions!$E$59,EI5&lt;Inputs_Assumptions!$E$65,Inputs_Assumptions!$E$60,EI5&lt;Inputs_Assumptions!$E$66,Inputs_Assumptions!$E$61,EI5&lt;Inputs_Assumptions!$E$74,Inputs_Assumptions!$E$62,"TRUE",0)</f>
        <v>0.08</v>
      </c>
      <c r="EJ28" s="223" cm="1">
        <f t="array" ref="EJ28">_xlfn.IFS(EJ5&lt;Inputs_Assumptions!$E$63,Inputs_Assumptions!$E$58,EJ5&lt;Inputs_Assumptions!$E$64,Inputs_Assumptions!$E$59,EJ5&lt;Inputs_Assumptions!$E$65,Inputs_Assumptions!$E$60,EJ5&lt;Inputs_Assumptions!$E$66,Inputs_Assumptions!$E$61,EJ5&lt;Inputs_Assumptions!$E$74,Inputs_Assumptions!$E$62,"TRUE",0)</f>
        <v>0.08</v>
      </c>
      <c r="EK28" s="223" cm="1">
        <f t="array" ref="EK28">_xlfn.IFS(EK5&lt;Inputs_Assumptions!$E$63,Inputs_Assumptions!$E$58,EK5&lt;Inputs_Assumptions!$E$64,Inputs_Assumptions!$E$59,EK5&lt;Inputs_Assumptions!$E$65,Inputs_Assumptions!$E$60,EK5&lt;Inputs_Assumptions!$E$66,Inputs_Assumptions!$E$61,EK5&lt;Inputs_Assumptions!$E$74,Inputs_Assumptions!$E$62,"TRUE",0)</f>
        <v>0.08</v>
      </c>
      <c r="EL28" s="223" cm="1">
        <f t="array" ref="EL28">_xlfn.IFS(EL5&lt;Inputs_Assumptions!$E$63,Inputs_Assumptions!$E$58,EL5&lt;Inputs_Assumptions!$E$64,Inputs_Assumptions!$E$59,EL5&lt;Inputs_Assumptions!$E$65,Inputs_Assumptions!$E$60,EL5&lt;Inputs_Assumptions!$E$66,Inputs_Assumptions!$E$61,EL5&lt;Inputs_Assumptions!$E$74,Inputs_Assumptions!$E$62,"TRUE",0)</f>
        <v>0.08</v>
      </c>
      <c r="EM28" s="223" cm="1">
        <f t="array" ref="EM28">_xlfn.IFS(EM5&lt;Inputs_Assumptions!$E$63,Inputs_Assumptions!$E$58,EM5&lt;Inputs_Assumptions!$E$64,Inputs_Assumptions!$E$59,EM5&lt;Inputs_Assumptions!$E$65,Inputs_Assumptions!$E$60,EM5&lt;Inputs_Assumptions!$E$66,Inputs_Assumptions!$E$61,EM5&lt;Inputs_Assumptions!$E$74,Inputs_Assumptions!$E$62,"TRUE",0)</f>
        <v>0.08</v>
      </c>
      <c r="EN28" s="223" cm="1">
        <f t="array" ref="EN28">_xlfn.IFS(EN5&lt;Inputs_Assumptions!$E$63,Inputs_Assumptions!$E$58,EN5&lt;Inputs_Assumptions!$E$64,Inputs_Assumptions!$E$59,EN5&lt;Inputs_Assumptions!$E$65,Inputs_Assumptions!$E$60,EN5&lt;Inputs_Assumptions!$E$66,Inputs_Assumptions!$E$61,EN5&lt;Inputs_Assumptions!$E$74,Inputs_Assumptions!$E$62,"TRUE",0)</f>
        <v>0.08</v>
      </c>
      <c r="EO28" s="223" cm="1">
        <f t="array" ref="EO28">_xlfn.IFS(EO5&lt;Inputs_Assumptions!$E$63,Inputs_Assumptions!$E$58,EO5&lt;Inputs_Assumptions!$E$64,Inputs_Assumptions!$E$59,EO5&lt;Inputs_Assumptions!$E$65,Inputs_Assumptions!$E$60,EO5&lt;Inputs_Assumptions!$E$66,Inputs_Assumptions!$E$61,EO5&lt;Inputs_Assumptions!$E$74,Inputs_Assumptions!$E$62,"TRUE",0)</f>
        <v>0.08</v>
      </c>
      <c r="EP28" s="223" cm="1">
        <f t="array" ref="EP28">_xlfn.IFS(EP5&lt;Inputs_Assumptions!$E$63,Inputs_Assumptions!$E$58,EP5&lt;Inputs_Assumptions!$E$64,Inputs_Assumptions!$E$59,EP5&lt;Inputs_Assumptions!$E$65,Inputs_Assumptions!$E$60,EP5&lt;Inputs_Assumptions!$E$66,Inputs_Assumptions!$E$61,EP5&lt;Inputs_Assumptions!$E$74,Inputs_Assumptions!$E$62,"TRUE",0)</f>
        <v>0.08</v>
      </c>
      <c r="EQ28" s="223" cm="1">
        <f t="array" ref="EQ28">_xlfn.IFS(EQ5&lt;Inputs_Assumptions!$E$63,Inputs_Assumptions!$E$58,EQ5&lt;Inputs_Assumptions!$E$64,Inputs_Assumptions!$E$59,EQ5&lt;Inputs_Assumptions!$E$65,Inputs_Assumptions!$E$60,EQ5&lt;Inputs_Assumptions!$E$66,Inputs_Assumptions!$E$61,EQ5&lt;Inputs_Assumptions!$E$74,Inputs_Assumptions!$E$62,"TRUE",0)</f>
        <v>0.08</v>
      </c>
      <c r="ER28" s="223" cm="1">
        <f t="array" ref="ER28">_xlfn.IFS(ER5&lt;Inputs_Assumptions!$E$63,Inputs_Assumptions!$E$58,ER5&lt;Inputs_Assumptions!$E$64,Inputs_Assumptions!$E$59,ER5&lt;Inputs_Assumptions!$E$65,Inputs_Assumptions!$E$60,ER5&lt;Inputs_Assumptions!$E$66,Inputs_Assumptions!$E$61,ER5&lt;Inputs_Assumptions!$E$74,Inputs_Assumptions!$E$62,"TRUE",0)</f>
        <v>0.08</v>
      </c>
      <c r="ES28" s="223" cm="1">
        <f t="array" ref="ES28">_xlfn.IFS(ES5&lt;Inputs_Assumptions!$E$63,Inputs_Assumptions!$E$58,ES5&lt;Inputs_Assumptions!$E$64,Inputs_Assumptions!$E$59,ES5&lt;Inputs_Assumptions!$E$65,Inputs_Assumptions!$E$60,ES5&lt;Inputs_Assumptions!$E$66,Inputs_Assumptions!$E$61,ES5&lt;Inputs_Assumptions!$E$74,Inputs_Assumptions!$E$62,"TRUE",0)</f>
        <v>0.08</v>
      </c>
      <c r="ET28" s="223" cm="1">
        <f t="array" ref="ET28">_xlfn.IFS(ET5&lt;Inputs_Assumptions!$E$63,Inputs_Assumptions!$E$58,ET5&lt;Inputs_Assumptions!$E$64,Inputs_Assumptions!$E$59,ET5&lt;Inputs_Assumptions!$E$65,Inputs_Assumptions!$E$60,ET5&lt;Inputs_Assumptions!$E$66,Inputs_Assumptions!$E$61,ET5&lt;Inputs_Assumptions!$E$74,Inputs_Assumptions!$E$62,"TRUE",0)</f>
        <v>0.08</v>
      </c>
      <c r="EU28" s="223" cm="1">
        <f t="array" ref="EU28">_xlfn.IFS(EU5&lt;Inputs_Assumptions!$E$63,Inputs_Assumptions!$E$58,EU5&lt;Inputs_Assumptions!$E$64,Inputs_Assumptions!$E$59,EU5&lt;Inputs_Assumptions!$E$65,Inputs_Assumptions!$E$60,EU5&lt;Inputs_Assumptions!$E$66,Inputs_Assumptions!$E$61,EU5&lt;Inputs_Assumptions!$E$74,Inputs_Assumptions!$E$62,"TRUE",0)</f>
        <v>0.08</v>
      </c>
      <c r="EV28" s="223" cm="1">
        <f t="array" ref="EV28">_xlfn.IFS(EV5&lt;Inputs_Assumptions!$E$63,Inputs_Assumptions!$E$58,EV5&lt;Inputs_Assumptions!$E$64,Inputs_Assumptions!$E$59,EV5&lt;Inputs_Assumptions!$E$65,Inputs_Assumptions!$E$60,EV5&lt;Inputs_Assumptions!$E$66,Inputs_Assumptions!$E$61,EV5&lt;Inputs_Assumptions!$E$74,Inputs_Assumptions!$E$62,"TRUE",0)</f>
        <v>0.08</v>
      </c>
      <c r="EW28" s="223" cm="1">
        <f t="array" ref="EW28">_xlfn.IFS(EW5&lt;Inputs_Assumptions!$E$63,Inputs_Assumptions!$E$58,EW5&lt;Inputs_Assumptions!$E$64,Inputs_Assumptions!$E$59,EW5&lt;Inputs_Assumptions!$E$65,Inputs_Assumptions!$E$60,EW5&lt;Inputs_Assumptions!$E$66,Inputs_Assumptions!$E$61,EW5&lt;Inputs_Assumptions!$E$74,Inputs_Assumptions!$E$62,"TRUE",0)</f>
        <v>0.08</v>
      </c>
      <c r="EX28" s="223" cm="1">
        <f t="array" ref="EX28">_xlfn.IFS(EX5&lt;Inputs_Assumptions!$E$63,Inputs_Assumptions!$E$58,EX5&lt;Inputs_Assumptions!$E$64,Inputs_Assumptions!$E$59,EX5&lt;Inputs_Assumptions!$E$65,Inputs_Assumptions!$E$60,EX5&lt;Inputs_Assumptions!$E$66,Inputs_Assumptions!$E$61,EX5&lt;Inputs_Assumptions!$E$74,Inputs_Assumptions!$E$62,"TRUE",0)</f>
        <v>0.08</v>
      </c>
      <c r="EY28" s="223" cm="1">
        <f t="array" ref="EY28">_xlfn.IFS(EY5&lt;Inputs_Assumptions!$E$63,Inputs_Assumptions!$E$58,EY5&lt;Inputs_Assumptions!$E$64,Inputs_Assumptions!$E$59,EY5&lt;Inputs_Assumptions!$E$65,Inputs_Assumptions!$E$60,EY5&lt;Inputs_Assumptions!$E$66,Inputs_Assumptions!$E$61,EY5&lt;Inputs_Assumptions!$E$74,Inputs_Assumptions!$E$62,"TRUE",0)</f>
        <v>0.08</v>
      </c>
      <c r="EZ28" s="223" cm="1">
        <f t="array" ref="EZ28">_xlfn.IFS(EZ5&lt;Inputs_Assumptions!$E$63,Inputs_Assumptions!$E$58,EZ5&lt;Inputs_Assumptions!$E$64,Inputs_Assumptions!$E$59,EZ5&lt;Inputs_Assumptions!$E$65,Inputs_Assumptions!$E$60,EZ5&lt;Inputs_Assumptions!$E$66,Inputs_Assumptions!$E$61,EZ5&lt;Inputs_Assumptions!$E$74,Inputs_Assumptions!$E$62,"TRUE",0)</f>
        <v>0.08</v>
      </c>
      <c r="FA28" s="223" cm="1">
        <f t="array" ref="FA28">_xlfn.IFS(FA5&lt;Inputs_Assumptions!$E$63,Inputs_Assumptions!$E$58,FA5&lt;Inputs_Assumptions!$E$64,Inputs_Assumptions!$E$59,FA5&lt;Inputs_Assumptions!$E$65,Inputs_Assumptions!$E$60,FA5&lt;Inputs_Assumptions!$E$66,Inputs_Assumptions!$E$61,FA5&lt;Inputs_Assumptions!$E$74,Inputs_Assumptions!$E$62,"TRUE",0)</f>
        <v>0.08</v>
      </c>
    </row>
    <row r="29" spans="2:157" ht="15.5" customHeight="1" outlineLevel="1" x14ac:dyDescent="0.2">
      <c r="B29" s="1"/>
      <c r="C29" s="30"/>
      <c r="D29" s="22"/>
      <c r="E29" s="62"/>
      <c r="F29" s="22"/>
      <c r="G29" s="223"/>
      <c r="H29" s="223"/>
      <c r="I29" s="223"/>
      <c r="J29" s="223"/>
      <c r="K29" s="223"/>
      <c r="L29" s="223"/>
      <c r="M29" s="223"/>
      <c r="N29" s="223"/>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47"/>
      <c r="CV29" s="223"/>
      <c r="CW29" s="223"/>
      <c r="CX29" s="223"/>
      <c r="CY29" s="223"/>
      <c r="CZ29" s="223"/>
      <c r="DA29" s="223"/>
      <c r="DB29" s="223"/>
      <c r="DC29" s="223"/>
      <c r="DD29" s="223"/>
      <c r="DE29" s="223"/>
      <c r="DF29" s="223"/>
      <c r="DG29" s="223"/>
      <c r="DH29" s="223"/>
      <c r="DI29" s="223"/>
      <c r="DJ29" s="223"/>
      <c r="DK29" s="223"/>
      <c r="DL29" s="223"/>
      <c r="DM29" s="223"/>
      <c r="DN29" s="223"/>
      <c r="DO29" s="223"/>
      <c r="DP29" s="223"/>
      <c r="DQ29" s="223"/>
      <c r="DR29" s="223"/>
      <c r="DS29" s="223"/>
      <c r="DT29" s="223"/>
      <c r="DU29" s="223"/>
      <c r="DV29" s="223"/>
      <c r="DW29" s="223"/>
      <c r="DX29" s="223"/>
      <c r="DY29" s="223"/>
      <c r="DZ29" s="223"/>
      <c r="EA29" s="223"/>
      <c r="EB29" s="223"/>
      <c r="EC29" s="223"/>
      <c r="ED29" s="223"/>
      <c r="EE29" s="223"/>
      <c r="EF29" s="223"/>
      <c r="EG29" s="223"/>
      <c r="EH29" s="223"/>
      <c r="EI29" s="223"/>
      <c r="EJ29" s="223"/>
      <c r="EK29" s="223"/>
      <c r="EL29" s="223"/>
      <c r="EM29" s="223"/>
      <c r="EN29" s="223"/>
      <c r="EO29" s="223"/>
      <c r="EP29" s="223"/>
      <c r="EQ29" s="223"/>
      <c r="ER29" s="223"/>
      <c r="ES29" s="223"/>
      <c r="ET29" s="223"/>
      <c r="EU29" s="223"/>
      <c r="EV29" s="223"/>
      <c r="EW29" s="223"/>
      <c r="EX29" s="223"/>
      <c r="EY29" s="223"/>
      <c r="EZ29" s="223"/>
      <c r="FA29" s="223"/>
    </row>
    <row r="30" spans="2:157" ht="15.5" customHeight="1" outlineLevel="1" x14ac:dyDescent="0.2">
      <c r="B30" s="1"/>
      <c r="C30" s="30" t="s">
        <v>313</v>
      </c>
      <c r="D30" s="22" t="s">
        <v>100</v>
      </c>
      <c r="E30" s="62"/>
      <c r="F30" s="22"/>
      <c r="G30" s="91">
        <f>G26*Inputs_Assumptions!$E$31</f>
        <v>20044.464758489856</v>
      </c>
      <c r="H30" s="91">
        <f>H26*Inputs_Assumptions!$E$31</f>
        <v>12714.194312993808</v>
      </c>
      <c r="I30" s="91">
        <f>I26*Inputs_Assumptions!$E$31</f>
        <v>12938.755029289749</v>
      </c>
      <c r="J30" s="91">
        <f>J26*Inputs_Assumptions!$E$31</f>
        <v>20659.585899226586</v>
      </c>
      <c r="K30" s="91">
        <f>K26*Inputs_Assumptions!$E$31</f>
        <v>20044.464758489856</v>
      </c>
      <c r="L30" s="91">
        <f>L26*Inputs_Assumptions!$E$31</f>
        <v>12714.194312993808</v>
      </c>
      <c r="M30" s="91">
        <f>M26*Inputs_Assumptions!$E$31</f>
        <v>12938.755029289749</v>
      </c>
      <c r="N30" s="91">
        <f>N26*Inputs_Assumptions!$E$31</f>
        <v>20659.585899226586</v>
      </c>
      <c r="O30" s="91">
        <f>O26*Inputs_Assumptions!$E$31</f>
        <v>20044.464758489856</v>
      </c>
      <c r="P30" s="91">
        <f>P26*Inputs_Assumptions!$E$31</f>
        <v>12714.194312993808</v>
      </c>
      <c r="Q30" s="91">
        <f>Q26*Inputs_Assumptions!$E$31</f>
        <v>12938.755029289749</v>
      </c>
      <c r="R30" s="91">
        <f>R26*Inputs_Assumptions!$E$31</f>
        <v>20659.585899226586</v>
      </c>
      <c r="S30" s="91">
        <f>S26*Inputs_Assumptions!$E$31</f>
        <v>20044.464758489856</v>
      </c>
      <c r="T30" s="91">
        <f>T26*Inputs_Assumptions!$E$31</f>
        <v>12714.194312993808</v>
      </c>
      <c r="U30" s="91">
        <f>U26*Inputs_Assumptions!$E$31</f>
        <v>12938.755029289749</v>
      </c>
      <c r="V30" s="91">
        <f>V26*Inputs_Assumptions!$E$31</f>
        <v>20659.585899226586</v>
      </c>
      <c r="W30" s="91">
        <f>W26*Inputs_Assumptions!$E$31</f>
        <v>20044.464758489856</v>
      </c>
      <c r="X30" s="91">
        <f>X26*Inputs_Assumptions!$E$31</f>
        <v>12714.194312993808</v>
      </c>
      <c r="Y30" s="91">
        <f>Y26*Inputs_Assumptions!$E$31</f>
        <v>12938.755029289749</v>
      </c>
      <c r="Z30" s="91">
        <f>Z26*Inputs_Assumptions!$E$31</f>
        <v>20659.585899226586</v>
      </c>
      <c r="AA30" s="91">
        <f>AA26*Inputs_Assumptions!$E$31</f>
        <v>20044.464758489856</v>
      </c>
      <c r="AB30" s="91">
        <f>AB26*Inputs_Assumptions!$E$31</f>
        <v>12714.194312993808</v>
      </c>
      <c r="AC30" s="91">
        <f>AC26*Inputs_Assumptions!$E$31</f>
        <v>12938.755029289749</v>
      </c>
      <c r="AD30" s="91">
        <f>AD26*Inputs_Assumptions!$E$31</f>
        <v>20659.585899226586</v>
      </c>
      <c r="AE30" s="91">
        <f>AE26*Inputs_Assumptions!$E$31</f>
        <v>20044.464758489856</v>
      </c>
      <c r="AF30" s="91">
        <f>AF26*Inputs_Assumptions!$E$31</f>
        <v>12714.194312993808</v>
      </c>
      <c r="AG30" s="91">
        <f>AG26*Inputs_Assumptions!$E$31</f>
        <v>12938.755029289749</v>
      </c>
      <c r="AH30" s="91">
        <f>AH26*Inputs_Assumptions!$E$31</f>
        <v>20659.585899226586</v>
      </c>
      <c r="AI30" s="91">
        <f>AI26*Inputs_Assumptions!$E$31</f>
        <v>20044.464758489856</v>
      </c>
      <c r="AJ30" s="91">
        <f>AJ26*Inputs_Assumptions!$E$31</f>
        <v>12714.194312993808</v>
      </c>
      <c r="AK30" s="91">
        <f>AK26*Inputs_Assumptions!$E$31</f>
        <v>12938.755029289749</v>
      </c>
      <c r="AL30" s="91">
        <f>AL26*Inputs_Assumptions!$E$31</f>
        <v>20659.585899226586</v>
      </c>
      <c r="AM30" s="91">
        <f>AM26*Inputs_Assumptions!$E$31</f>
        <v>20044.464758489856</v>
      </c>
      <c r="AN30" s="91">
        <f>AN26*Inputs_Assumptions!$E$31</f>
        <v>12714.194312993808</v>
      </c>
      <c r="AO30" s="91">
        <f>AO26*Inputs_Assumptions!$E$31</f>
        <v>12938.755029289749</v>
      </c>
      <c r="AP30" s="91">
        <f>AP26*Inputs_Assumptions!$E$31</f>
        <v>20659.585899226586</v>
      </c>
      <c r="AQ30" s="91">
        <f>AQ26*Inputs_Assumptions!$E$31</f>
        <v>20044.464758489856</v>
      </c>
      <c r="AR30" s="91">
        <f>AR26*Inputs_Assumptions!$E$31</f>
        <v>12714.194312993808</v>
      </c>
      <c r="AS30" s="91">
        <f>AS26*Inputs_Assumptions!$E$31</f>
        <v>12938.755029289749</v>
      </c>
      <c r="AT30" s="91">
        <f>AT26*Inputs_Assumptions!$E$31</f>
        <v>20659.585899226586</v>
      </c>
      <c r="AU30" s="91">
        <f>AU26*Inputs_Assumptions!$E$31</f>
        <v>20044.464758489856</v>
      </c>
      <c r="AV30" s="91">
        <f>AV26*Inputs_Assumptions!$E$31</f>
        <v>12714.194312993808</v>
      </c>
      <c r="AW30" s="91">
        <f>AW26*Inputs_Assumptions!$E$31</f>
        <v>12938.755029289749</v>
      </c>
      <c r="AX30" s="91">
        <f>AX26*Inputs_Assumptions!$E$31</f>
        <v>20659.585899226586</v>
      </c>
      <c r="AY30" s="91">
        <f>AY26*Inputs_Assumptions!$E$31</f>
        <v>20044.464758489856</v>
      </c>
      <c r="AZ30" s="91">
        <f>AZ26*Inputs_Assumptions!$E$31</f>
        <v>12714.194312993808</v>
      </c>
      <c r="BA30" s="91">
        <f>BA26*Inputs_Assumptions!$E$31</f>
        <v>12938.755029289749</v>
      </c>
      <c r="BB30" s="91">
        <f>BB26*Inputs_Assumptions!$E$31</f>
        <v>20659.585899226586</v>
      </c>
      <c r="BC30" s="91">
        <f>BC26*Inputs_Assumptions!$E$31</f>
        <v>20044.464758489856</v>
      </c>
      <c r="BD30" s="91">
        <f>BD26*Inputs_Assumptions!$E$31</f>
        <v>12714.194312993808</v>
      </c>
      <c r="BE30" s="91">
        <f>BE26*Inputs_Assumptions!$E$31</f>
        <v>12938.755029289749</v>
      </c>
      <c r="BF30" s="91">
        <f>BF26*Inputs_Assumptions!$E$31</f>
        <v>20659.585899226586</v>
      </c>
      <c r="BG30" s="91">
        <f>BG26*Inputs_Assumptions!$E$31</f>
        <v>20044.464758489856</v>
      </c>
      <c r="BH30" s="91">
        <f>BH26*Inputs_Assumptions!$E$31</f>
        <v>12714.194312993808</v>
      </c>
      <c r="BI30" s="91">
        <f>BI26*Inputs_Assumptions!$E$31</f>
        <v>12938.755029289749</v>
      </c>
      <c r="BJ30" s="91">
        <f>BJ26*Inputs_Assumptions!$E$31</f>
        <v>20659.585899226586</v>
      </c>
      <c r="BK30" s="91">
        <f>BK26*Inputs_Assumptions!$E$31</f>
        <v>20044.464758489856</v>
      </c>
      <c r="BL30" s="91">
        <f>BL26*Inputs_Assumptions!$E$31</f>
        <v>12714.194312993808</v>
      </c>
      <c r="BM30" s="91">
        <f>BM26*Inputs_Assumptions!$E$31</f>
        <v>12938.755029289749</v>
      </c>
      <c r="BN30" s="91">
        <f>BN26*Inputs_Assumptions!$E$31</f>
        <v>20659.585899226586</v>
      </c>
      <c r="BO30" s="91">
        <f>BO26*Inputs_Assumptions!$E$31</f>
        <v>20044.464758489856</v>
      </c>
      <c r="BP30" s="91">
        <f>BP26*Inputs_Assumptions!$E$31</f>
        <v>12714.194312993808</v>
      </c>
      <c r="BQ30" s="91">
        <f>BQ26*Inputs_Assumptions!$E$31</f>
        <v>12938.755029289749</v>
      </c>
      <c r="BR30" s="91">
        <f>BR26*Inputs_Assumptions!$E$31</f>
        <v>20659.585899226586</v>
      </c>
      <c r="BS30" s="91">
        <f>BS26*Inputs_Assumptions!$E$31</f>
        <v>20044.464758489856</v>
      </c>
      <c r="BT30" s="91">
        <f>BT26*Inputs_Assumptions!$E$31</f>
        <v>12714.194312993808</v>
      </c>
      <c r="BU30" s="91">
        <f>BU26*Inputs_Assumptions!$E$31</f>
        <v>12938.755029289749</v>
      </c>
      <c r="BV30" s="91">
        <f>BV26*Inputs_Assumptions!$E$31</f>
        <v>20659.585899226586</v>
      </c>
      <c r="BW30" s="91">
        <f>BW26*Inputs_Assumptions!$E$31</f>
        <v>20044.464758489856</v>
      </c>
      <c r="BX30" s="91">
        <f>BX26*Inputs_Assumptions!$E$31</f>
        <v>12714.194312993808</v>
      </c>
      <c r="BY30" s="91">
        <f>BY26*Inputs_Assumptions!$E$31</f>
        <v>12938.755029289749</v>
      </c>
      <c r="BZ30" s="91">
        <f>BZ26*Inputs_Assumptions!$E$31</f>
        <v>20659.585899226586</v>
      </c>
      <c r="CA30" s="91">
        <f>CA26*Inputs_Assumptions!$E$31</f>
        <v>20044.464758489856</v>
      </c>
      <c r="CB30" s="91">
        <f>CB26*Inputs_Assumptions!$E$31</f>
        <v>12714.194312993808</v>
      </c>
      <c r="CC30" s="91">
        <f>CC26*Inputs_Assumptions!$E$31</f>
        <v>12938.755029289749</v>
      </c>
      <c r="CD30" s="91">
        <f>CD26*Inputs_Assumptions!$E$31</f>
        <v>20659.585899226586</v>
      </c>
      <c r="CE30" s="91">
        <f>CE26*Inputs_Assumptions!$E$31</f>
        <v>20044.464758489856</v>
      </c>
      <c r="CF30" s="91">
        <f>CF26*Inputs_Assumptions!$E$31</f>
        <v>12714.194312993808</v>
      </c>
      <c r="CG30" s="91">
        <f>CG26*Inputs_Assumptions!$E$31</f>
        <v>12938.755029289749</v>
      </c>
      <c r="CH30" s="91">
        <f>CH26*Inputs_Assumptions!$E$31</f>
        <v>20659.585899226586</v>
      </c>
      <c r="CI30" s="91">
        <f>CI26*Inputs_Assumptions!$E$31</f>
        <v>20044.464758489856</v>
      </c>
      <c r="CJ30" s="91">
        <f>CJ26*Inputs_Assumptions!$E$31</f>
        <v>12714.194312993808</v>
      </c>
      <c r="CK30" s="91">
        <f>CK26*Inputs_Assumptions!$E$31</f>
        <v>12938.755029289749</v>
      </c>
      <c r="CL30" s="91">
        <f>CL26*Inputs_Assumptions!$E$31</f>
        <v>20659.585899226586</v>
      </c>
      <c r="CM30" s="91">
        <f>CM26*Inputs_Assumptions!$E$31</f>
        <v>20044.464758489856</v>
      </c>
      <c r="CN30" s="91">
        <f>CN26*Inputs_Assumptions!$E$31</f>
        <v>12714.194312993808</v>
      </c>
      <c r="CO30" s="91">
        <f>CO26*Inputs_Assumptions!$E$31</f>
        <v>12938.755029289749</v>
      </c>
      <c r="CP30" s="91">
        <f>CP26*Inputs_Assumptions!$E$31</f>
        <v>20659.585899226586</v>
      </c>
      <c r="CQ30" s="91">
        <f>CQ26*Inputs_Assumptions!$E$31</f>
        <v>20044.464758489856</v>
      </c>
      <c r="CR30" s="91">
        <f>CR26*Inputs_Assumptions!$E$31</f>
        <v>12714.194312993808</v>
      </c>
      <c r="CS30" s="91">
        <f>CS26*Inputs_Assumptions!$E$31</f>
        <v>12938.755029289749</v>
      </c>
      <c r="CT30" s="91">
        <f>CT26*Inputs_Assumptions!$E$31</f>
        <v>20659.585899226586</v>
      </c>
      <c r="CU30" s="248">
        <f>CU26*Inputs_Assumptions!$E$31</f>
        <v>20044.464758489856</v>
      </c>
      <c r="CV30" s="91">
        <f>CV26*Inputs_Assumptions!$E$31</f>
        <v>12714.194312993808</v>
      </c>
      <c r="CW30" s="91">
        <f>CW26*Inputs_Assumptions!$E$31</f>
        <v>12938.755029289749</v>
      </c>
      <c r="CX30" s="91">
        <f>CX26*Inputs_Assumptions!$E$31</f>
        <v>20659.585899226586</v>
      </c>
      <c r="CY30" s="91">
        <f>CY26*Inputs_Assumptions!$E$31</f>
        <v>20044.464758489856</v>
      </c>
      <c r="CZ30" s="91">
        <f>CZ26*Inputs_Assumptions!$E$31</f>
        <v>12714.194312993808</v>
      </c>
      <c r="DA30" s="91">
        <f>DA26*Inputs_Assumptions!$E$31</f>
        <v>12938.755029289749</v>
      </c>
      <c r="DB30" s="91">
        <f>DB26*Inputs_Assumptions!$E$31</f>
        <v>20659.585899226586</v>
      </c>
      <c r="DC30" s="91">
        <f>DC26*Inputs_Assumptions!$E$31</f>
        <v>20044.464758489856</v>
      </c>
      <c r="DD30" s="91">
        <f>DD26*Inputs_Assumptions!$E$31</f>
        <v>12714.194312993808</v>
      </c>
      <c r="DE30" s="91">
        <f>DE26*Inputs_Assumptions!$E$31</f>
        <v>12938.755029289749</v>
      </c>
      <c r="DF30" s="91">
        <f>DF26*Inputs_Assumptions!$E$31</f>
        <v>20659.585899226586</v>
      </c>
      <c r="DG30" s="91">
        <f>DG26*Inputs_Assumptions!$E$31</f>
        <v>20044.464758489856</v>
      </c>
      <c r="DH30" s="91">
        <f>DH26*Inputs_Assumptions!$E$31</f>
        <v>12714.194312993808</v>
      </c>
      <c r="DI30" s="91">
        <f>DI26*Inputs_Assumptions!$E$31</f>
        <v>12938.755029289749</v>
      </c>
      <c r="DJ30" s="91">
        <f>DJ26*Inputs_Assumptions!$E$31</f>
        <v>20659.585899226586</v>
      </c>
      <c r="DK30" s="91">
        <f>DK26*Inputs_Assumptions!$E$31</f>
        <v>20044.464758489856</v>
      </c>
      <c r="DL30" s="91">
        <f>DL26*Inputs_Assumptions!$E$31</f>
        <v>12714.194312993808</v>
      </c>
      <c r="DM30" s="91">
        <f>DM26*Inputs_Assumptions!$E$31</f>
        <v>12938.755029289749</v>
      </c>
      <c r="DN30" s="91">
        <f>DN26*Inputs_Assumptions!$E$31</f>
        <v>20659.585899226586</v>
      </c>
      <c r="DO30" s="91">
        <f>DO26*Inputs_Assumptions!$E$31</f>
        <v>20044.464758489856</v>
      </c>
      <c r="DP30" s="91">
        <f>DP26*Inputs_Assumptions!$E$31</f>
        <v>12714.194312993808</v>
      </c>
      <c r="DQ30" s="91">
        <f>DQ26*Inputs_Assumptions!$E$31</f>
        <v>12938.755029289749</v>
      </c>
      <c r="DR30" s="91">
        <f>DR26*Inputs_Assumptions!$E$31</f>
        <v>20659.585899226586</v>
      </c>
      <c r="DS30" s="91">
        <f>DS26*Inputs_Assumptions!$E$31</f>
        <v>20044.464758489856</v>
      </c>
      <c r="DT30" s="91">
        <f>DT26*Inputs_Assumptions!$E$31</f>
        <v>12714.194312993808</v>
      </c>
      <c r="DU30" s="91">
        <f>DU26*Inputs_Assumptions!$E$31</f>
        <v>12938.755029289749</v>
      </c>
      <c r="DV30" s="91">
        <f>DV26*Inputs_Assumptions!$E$31</f>
        <v>20659.585899226586</v>
      </c>
      <c r="DW30" s="91">
        <f>DW26*Inputs_Assumptions!$E$31</f>
        <v>20044.464758489856</v>
      </c>
      <c r="DX30" s="91">
        <f>DX26*Inputs_Assumptions!$E$31</f>
        <v>12714.194312993808</v>
      </c>
      <c r="DY30" s="91">
        <f>DY26*Inputs_Assumptions!$E$31</f>
        <v>12938.755029289749</v>
      </c>
      <c r="DZ30" s="91">
        <f>DZ26*Inputs_Assumptions!$E$31</f>
        <v>20659.585899226586</v>
      </c>
      <c r="EA30" s="91">
        <f>EA26*Inputs_Assumptions!$E$31</f>
        <v>20044.464758489856</v>
      </c>
      <c r="EB30" s="91">
        <f>EB26*Inputs_Assumptions!$E$31</f>
        <v>12714.194312993808</v>
      </c>
      <c r="EC30" s="91">
        <f>EC26*Inputs_Assumptions!$E$31</f>
        <v>12938.755029289749</v>
      </c>
      <c r="ED30" s="91">
        <f>ED26*Inputs_Assumptions!$E$31</f>
        <v>20659.585899226586</v>
      </c>
      <c r="EE30" s="91">
        <f>EE26*Inputs_Assumptions!$E$31</f>
        <v>20044.464758489856</v>
      </c>
      <c r="EF30" s="91">
        <f>EF26*Inputs_Assumptions!$E$31</f>
        <v>12714.194312993808</v>
      </c>
      <c r="EG30" s="91">
        <f>EG26*Inputs_Assumptions!$E$31</f>
        <v>12938.755029289749</v>
      </c>
      <c r="EH30" s="91">
        <f>EH26*Inputs_Assumptions!$E$31</f>
        <v>20659.585899226586</v>
      </c>
      <c r="EI30" s="91">
        <f>EI26*Inputs_Assumptions!$E$31</f>
        <v>20044.464758489856</v>
      </c>
      <c r="EJ30" s="91">
        <f>EJ26*Inputs_Assumptions!$E$31</f>
        <v>12714.194312993808</v>
      </c>
      <c r="EK30" s="91">
        <f>EK26*Inputs_Assumptions!$E$31</f>
        <v>12938.755029289749</v>
      </c>
      <c r="EL30" s="91">
        <f>EL26*Inputs_Assumptions!$E$31</f>
        <v>20659.585899226586</v>
      </c>
      <c r="EM30" s="91">
        <f>EM26*Inputs_Assumptions!$E$31</f>
        <v>20044.464758489856</v>
      </c>
      <c r="EN30" s="91">
        <f>EN26*Inputs_Assumptions!$E$31</f>
        <v>12714.194312993808</v>
      </c>
      <c r="EO30" s="91">
        <f>EO26*Inputs_Assumptions!$E$31</f>
        <v>12938.755029289749</v>
      </c>
      <c r="EP30" s="91">
        <f>EP26*Inputs_Assumptions!$E$31</f>
        <v>20659.585899226586</v>
      </c>
      <c r="EQ30" s="91">
        <f>EQ26*Inputs_Assumptions!$E$31</f>
        <v>20044.464758489856</v>
      </c>
      <c r="ER30" s="91">
        <f>ER26*Inputs_Assumptions!$E$31</f>
        <v>12714.194312993808</v>
      </c>
      <c r="ES30" s="91">
        <f>ES26*Inputs_Assumptions!$E$31</f>
        <v>12938.755029289749</v>
      </c>
      <c r="ET30" s="91">
        <f>ET26*Inputs_Assumptions!$E$31</f>
        <v>20659.585899226586</v>
      </c>
      <c r="EU30" s="91">
        <f>EU26*Inputs_Assumptions!$E$31</f>
        <v>20044.464758489856</v>
      </c>
      <c r="EV30" s="91">
        <f>EV26*Inputs_Assumptions!$E$31</f>
        <v>12714.194312993808</v>
      </c>
      <c r="EW30" s="91">
        <f>EW26*Inputs_Assumptions!$E$31</f>
        <v>12938.755029289749</v>
      </c>
      <c r="EX30" s="91">
        <f>EX26*Inputs_Assumptions!$E$31</f>
        <v>20659.585899226586</v>
      </c>
      <c r="EY30" s="91">
        <f>EY26*Inputs_Assumptions!$E$31</f>
        <v>20044.464758489856</v>
      </c>
      <c r="EZ30" s="91">
        <f>EZ26*Inputs_Assumptions!$E$31</f>
        <v>12714.194312993808</v>
      </c>
      <c r="FA30" s="91">
        <f>FA26*Inputs_Assumptions!$E$31</f>
        <v>12938.755029289749</v>
      </c>
    </row>
    <row r="31" spans="2:157" ht="15.5" customHeight="1" outlineLevel="1" x14ac:dyDescent="0.2">
      <c r="B31" s="1"/>
      <c r="C31" s="30" t="s">
        <v>314</v>
      </c>
      <c r="D31" s="22" t="s">
        <v>100</v>
      </c>
      <c r="E31" s="62"/>
      <c r="F31" s="22"/>
      <c r="G31" s="91" cm="1">
        <f t="array" ref="G31">_xlfn.IFS(Inputs_Assumptions!$E$146="P50",Inputs_Assumptions!$E$38*IRR_Revenue_Model!G30,Inputs_Assumptions!$E$146="P75",Inputs_Assumptions!$E$39*IRR_Revenue_Model!G30,Inputs_Assumptions!$E$146="P90",Inputs_Assumptions!$E$40*IRR_Revenue_Model!G30,Inputs_Assumptions!$E$146="P99",Inputs_Assumptions!$E$41*IRR_Revenue_Model!G30,"TRUE",0)</f>
        <v>18194.927664684124</v>
      </c>
      <c r="H31" s="91" cm="1">
        <f t="array" ref="H31">_xlfn.IFS(Inputs_Assumptions!$E$146="P50",Inputs_Assumptions!$E$38*IRR_Revenue_Model!H30,Inputs_Assumptions!$E$146="P75",Inputs_Assumptions!$E$39*IRR_Revenue_Model!H30,Inputs_Assumptions!$E$146="P90",Inputs_Assumptions!$E$40*IRR_Revenue_Model!H30,Inputs_Assumptions!$E$146="P99",Inputs_Assumptions!$E$41*IRR_Revenue_Model!H30,"TRUE",0)</f>
        <v>11541.033827889014</v>
      </c>
      <c r="I31" s="91" cm="1">
        <f t="array" ref="I31">_xlfn.IFS(Inputs_Assumptions!$E$146="P50",Inputs_Assumptions!$E$38*IRR_Revenue_Model!I30,Inputs_Assumptions!$E$146="P75",Inputs_Assumptions!$E$39*IRR_Revenue_Model!I30,Inputs_Assumptions!$E$146="P90",Inputs_Assumptions!$E$40*IRR_Revenue_Model!I30,Inputs_Assumptions!$E$146="P99",Inputs_Assumptions!$E$41*IRR_Revenue_Model!I30,"TRUE",0)</f>
        <v>11744.873942282875</v>
      </c>
      <c r="J31" s="91" cm="1">
        <f t="array" ref="J31">_xlfn.IFS(Inputs_Assumptions!$E$146="P50",Inputs_Assumptions!$E$38*IRR_Revenue_Model!J30,Inputs_Assumptions!$E$146="P75",Inputs_Assumptions!$E$39*IRR_Revenue_Model!J30,Inputs_Assumptions!$E$146="P90",Inputs_Assumptions!$E$40*IRR_Revenue_Model!J30,Inputs_Assumptions!$E$146="P99",Inputs_Assumptions!$E$41*IRR_Revenue_Model!J30,"TRUE",0)</f>
        <v>18753.290524235283</v>
      </c>
      <c r="K31" s="91" cm="1">
        <f t="array" ref="K31">_xlfn.IFS(Inputs_Assumptions!$E$146="P50",Inputs_Assumptions!$E$38*IRR_Revenue_Model!K30,Inputs_Assumptions!$E$146="P75",Inputs_Assumptions!$E$39*IRR_Revenue_Model!K30,Inputs_Assumptions!$E$146="P90",Inputs_Assumptions!$E$40*IRR_Revenue_Model!K30,Inputs_Assumptions!$E$146="P99",Inputs_Assumptions!$E$41*IRR_Revenue_Model!K30,"TRUE",0)</f>
        <v>18194.927664684124</v>
      </c>
      <c r="L31" s="91" cm="1">
        <f t="array" ref="L31">_xlfn.IFS(Inputs_Assumptions!$E$146="P50",Inputs_Assumptions!$E$38*IRR_Revenue_Model!L30,Inputs_Assumptions!$E$146="P75",Inputs_Assumptions!$E$39*IRR_Revenue_Model!L30,Inputs_Assumptions!$E$146="P90",Inputs_Assumptions!$E$40*IRR_Revenue_Model!L30,Inputs_Assumptions!$E$146="P99",Inputs_Assumptions!$E$41*IRR_Revenue_Model!L30,"TRUE",0)</f>
        <v>11541.033827889014</v>
      </c>
      <c r="M31" s="91" cm="1">
        <f t="array" ref="M31">_xlfn.IFS(Inputs_Assumptions!$E$146="P50",Inputs_Assumptions!$E$38*IRR_Revenue_Model!M30,Inputs_Assumptions!$E$146="P75",Inputs_Assumptions!$E$39*IRR_Revenue_Model!M30,Inputs_Assumptions!$E$146="P90",Inputs_Assumptions!$E$40*IRR_Revenue_Model!M30,Inputs_Assumptions!$E$146="P99",Inputs_Assumptions!$E$41*IRR_Revenue_Model!M30,"TRUE",0)</f>
        <v>11744.873942282875</v>
      </c>
      <c r="N31" s="91" cm="1">
        <f t="array" ref="N31">_xlfn.IFS(Inputs_Assumptions!$E$146="P50",Inputs_Assumptions!$E$38*IRR_Revenue_Model!N30,Inputs_Assumptions!$E$146="P75",Inputs_Assumptions!$E$39*IRR_Revenue_Model!N30,Inputs_Assumptions!$E$146="P90",Inputs_Assumptions!$E$40*IRR_Revenue_Model!N30,Inputs_Assumptions!$E$146="P99",Inputs_Assumptions!$E$41*IRR_Revenue_Model!N30,"TRUE",0)</f>
        <v>18753.290524235283</v>
      </c>
      <c r="O31" s="91" cm="1">
        <f t="array" ref="O31">_xlfn.IFS(Inputs_Assumptions!$E$146="P50",Inputs_Assumptions!$E$38*IRR_Revenue_Model!O30,Inputs_Assumptions!$E$146="P75",Inputs_Assumptions!$E$39*IRR_Revenue_Model!O30,Inputs_Assumptions!$E$146="P90",Inputs_Assumptions!$E$40*IRR_Revenue_Model!O30,Inputs_Assumptions!$E$146="P99",Inputs_Assumptions!$E$41*IRR_Revenue_Model!O30,"TRUE",0)</f>
        <v>18194.927664684124</v>
      </c>
      <c r="P31" s="91" cm="1">
        <f t="array" ref="P31">_xlfn.IFS(Inputs_Assumptions!$E$146="P50",Inputs_Assumptions!$E$38*IRR_Revenue_Model!P30,Inputs_Assumptions!$E$146="P75",Inputs_Assumptions!$E$39*IRR_Revenue_Model!P30,Inputs_Assumptions!$E$146="P90",Inputs_Assumptions!$E$40*IRR_Revenue_Model!P30,Inputs_Assumptions!$E$146="P99",Inputs_Assumptions!$E$41*IRR_Revenue_Model!P30,"TRUE",0)</f>
        <v>11541.033827889014</v>
      </c>
      <c r="Q31" s="91" cm="1">
        <f t="array" ref="Q31">_xlfn.IFS(Inputs_Assumptions!$E$146="P50",Inputs_Assumptions!$E$38*IRR_Revenue_Model!Q30,Inputs_Assumptions!$E$146="P75",Inputs_Assumptions!$E$39*IRR_Revenue_Model!Q30,Inputs_Assumptions!$E$146="P90",Inputs_Assumptions!$E$40*IRR_Revenue_Model!Q30,Inputs_Assumptions!$E$146="P99",Inputs_Assumptions!$E$41*IRR_Revenue_Model!Q30,"TRUE",0)</f>
        <v>11744.873942282875</v>
      </c>
      <c r="R31" s="91" cm="1">
        <f t="array" ref="R31">_xlfn.IFS(Inputs_Assumptions!$E$146="P50",Inputs_Assumptions!$E$38*IRR_Revenue_Model!R30,Inputs_Assumptions!$E$146="P75",Inputs_Assumptions!$E$39*IRR_Revenue_Model!R30,Inputs_Assumptions!$E$146="P90",Inputs_Assumptions!$E$40*IRR_Revenue_Model!R30,Inputs_Assumptions!$E$146="P99",Inputs_Assumptions!$E$41*IRR_Revenue_Model!R30,"TRUE",0)</f>
        <v>18753.290524235283</v>
      </c>
      <c r="S31" s="91" cm="1">
        <f t="array" ref="S31">_xlfn.IFS(Inputs_Assumptions!$E$146="P50",Inputs_Assumptions!$E$38*IRR_Revenue_Model!S30,Inputs_Assumptions!$E$146="P75",Inputs_Assumptions!$E$39*IRR_Revenue_Model!S30,Inputs_Assumptions!$E$146="P90",Inputs_Assumptions!$E$40*IRR_Revenue_Model!S30,Inputs_Assumptions!$E$146="P99",Inputs_Assumptions!$E$41*IRR_Revenue_Model!S30,"TRUE",0)</f>
        <v>18194.927664684124</v>
      </c>
      <c r="T31" s="91" cm="1">
        <f t="array" ref="T31">_xlfn.IFS(Inputs_Assumptions!$E$146="P50",Inputs_Assumptions!$E$38*IRR_Revenue_Model!T30,Inputs_Assumptions!$E$146="P75",Inputs_Assumptions!$E$39*IRR_Revenue_Model!T30,Inputs_Assumptions!$E$146="P90",Inputs_Assumptions!$E$40*IRR_Revenue_Model!T30,Inputs_Assumptions!$E$146="P99",Inputs_Assumptions!$E$41*IRR_Revenue_Model!T30,"TRUE",0)</f>
        <v>11541.033827889014</v>
      </c>
      <c r="U31" s="91" cm="1">
        <f t="array" ref="U31">_xlfn.IFS(Inputs_Assumptions!$E$146="P50",Inputs_Assumptions!$E$38*IRR_Revenue_Model!U30,Inputs_Assumptions!$E$146="P75",Inputs_Assumptions!$E$39*IRR_Revenue_Model!U30,Inputs_Assumptions!$E$146="P90",Inputs_Assumptions!$E$40*IRR_Revenue_Model!U30,Inputs_Assumptions!$E$146="P99",Inputs_Assumptions!$E$41*IRR_Revenue_Model!U30,"TRUE",0)</f>
        <v>11744.873942282875</v>
      </c>
      <c r="V31" s="91" cm="1">
        <f t="array" ref="V31">_xlfn.IFS(Inputs_Assumptions!$E$146="P50",Inputs_Assumptions!$E$38*IRR_Revenue_Model!V30,Inputs_Assumptions!$E$146="P75",Inputs_Assumptions!$E$39*IRR_Revenue_Model!V30,Inputs_Assumptions!$E$146="P90",Inputs_Assumptions!$E$40*IRR_Revenue_Model!V30,Inputs_Assumptions!$E$146="P99",Inputs_Assumptions!$E$41*IRR_Revenue_Model!V30,"TRUE",0)</f>
        <v>18753.290524235283</v>
      </c>
      <c r="W31" s="91" cm="1">
        <f t="array" ref="W31">_xlfn.IFS(Inputs_Assumptions!$E$146="P50",Inputs_Assumptions!$E$38*IRR_Revenue_Model!W30,Inputs_Assumptions!$E$146="P75",Inputs_Assumptions!$E$39*IRR_Revenue_Model!W30,Inputs_Assumptions!$E$146="P90",Inputs_Assumptions!$E$40*IRR_Revenue_Model!W30,Inputs_Assumptions!$E$146="P99",Inputs_Assumptions!$E$41*IRR_Revenue_Model!W30,"TRUE",0)</f>
        <v>18194.927664684124</v>
      </c>
      <c r="X31" s="91" cm="1">
        <f t="array" ref="X31">_xlfn.IFS(Inputs_Assumptions!$E$146="P50",Inputs_Assumptions!$E$38*IRR_Revenue_Model!X30,Inputs_Assumptions!$E$146="P75",Inputs_Assumptions!$E$39*IRR_Revenue_Model!X30,Inputs_Assumptions!$E$146="P90",Inputs_Assumptions!$E$40*IRR_Revenue_Model!X30,Inputs_Assumptions!$E$146="P99",Inputs_Assumptions!$E$41*IRR_Revenue_Model!X30,"TRUE",0)</f>
        <v>11541.033827889014</v>
      </c>
      <c r="Y31" s="91" cm="1">
        <f t="array" ref="Y31">_xlfn.IFS(Inputs_Assumptions!$E$146="P50",Inputs_Assumptions!$E$38*IRR_Revenue_Model!Y30,Inputs_Assumptions!$E$146="P75",Inputs_Assumptions!$E$39*IRR_Revenue_Model!Y30,Inputs_Assumptions!$E$146="P90",Inputs_Assumptions!$E$40*IRR_Revenue_Model!Y30,Inputs_Assumptions!$E$146="P99",Inputs_Assumptions!$E$41*IRR_Revenue_Model!Y30,"TRUE",0)</f>
        <v>11744.873942282875</v>
      </c>
      <c r="Z31" s="91" cm="1">
        <f t="array" ref="Z31">_xlfn.IFS(Inputs_Assumptions!$E$146="P50",Inputs_Assumptions!$E$38*IRR_Revenue_Model!Z30,Inputs_Assumptions!$E$146="P75",Inputs_Assumptions!$E$39*IRR_Revenue_Model!Z30,Inputs_Assumptions!$E$146="P90",Inputs_Assumptions!$E$40*IRR_Revenue_Model!Z30,Inputs_Assumptions!$E$146="P99",Inputs_Assumptions!$E$41*IRR_Revenue_Model!Z30,"TRUE",0)</f>
        <v>18753.290524235283</v>
      </c>
      <c r="AA31" s="91" cm="1">
        <f t="array" ref="AA31">_xlfn.IFS(Inputs_Assumptions!$E$146="P50",Inputs_Assumptions!$E$38*IRR_Revenue_Model!AA30,Inputs_Assumptions!$E$146="P75",Inputs_Assumptions!$E$39*IRR_Revenue_Model!AA30,Inputs_Assumptions!$E$146="P90",Inputs_Assumptions!$E$40*IRR_Revenue_Model!AA30,Inputs_Assumptions!$E$146="P99",Inputs_Assumptions!$E$41*IRR_Revenue_Model!AA30,"TRUE",0)</f>
        <v>18194.927664684124</v>
      </c>
      <c r="AB31" s="91" cm="1">
        <f t="array" ref="AB31">_xlfn.IFS(Inputs_Assumptions!$E$146="P50",Inputs_Assumptions!$E$38*IRR_Revenue_Model!AB30,Inputs_Assumptions!$E$146="P75",Inputs_Assumptions!$E$39*IRR_Revenue_Model!AB30,Inputs_Assumptions!$E$146="P90",Inputs_Assumptions!$E$40*IRR_Revenue_Model!AB30,Inputs_Assumptions!$E$146="P99",Inputs_Assumptions!$E$41*IRR_Revenue_Model!AB30,"TRUE",0)</f>
        <v>11541.033827889014</v>
      </c>
      <c r="AC31" s="91" cm="1">
        <f t="array" ref="AC31">_xlfn.IFS(Inputs_Assumptions!$E$146="P50",Inputs_Assumptions!$E$38*IRR_Revenue_Model!AC30,Inputs_Assumptions!$E$146="P75",Inputs_Assumptions!$E$39*IRR_Revenue_Model!AC30,Inputs_Assumptions!$E$146="P90",Inputs_Assumptions!$E$40*IRR_Revenue_Model!AC30,Inputs_Assumptions!$E$146="P99",Inputs_Assumptions!$E$41*IRR_Revenue_Model!AC30,"TRUE",0)</f>
        <v>11744.873942282875</v>
      </c>
      <c r="AD31" s="91" cm="1">
        <f t="array" ref="AD31">_xlfn.IFS(Inputs_Assumptions!$E$146="P50",Inputs_Assumptions!$E$38*IRR_Revenue_Model!AD30,Inputs_Assumptions!$E$146="P75",Inputs_Assumptions!$E$39*IRR_Revenue_Model!AD30,Inputs_Assumptions!$E$146="P90",Inputs_Assumptions!$E$40*IRR_Revenue_Model!AD30,Inputs_Assumptions!$E$146="P99",Inputs_Assumptions!$E$41*IRR_Revenue_Model!AD30,"TRUE",0)</f>
        <v>18753.290524235283</v>
      </c>
      <c r="AE31" s="91" cm="1">
        <f t="array" ref="AE31">_xlfn.IFS(Inputs_Assumptions!$E$146="P50",Inputs_Assumptions!$E$38*IRR_Revenue_Model!AE30,Inputs_Assumptions!$E$146="P75",Inputs_Assumptions!$E$39*IRR_Revenue_Model!AE30,Inputs_Assumptions!$E$146="P90",Inputs_Assumptions!$E$40*IRR_Revenue_Model!AE30,Inputs_Assumptions!$E$146="P99",Inputs_Assumptions!$E$41*IRR_Revenue_Model!AE30,"TRUE",0)</f>
        <v>18194.927664684124</v>
      </c>
      <c r="AF31" s="91" cm="1">
        <f t="array" ref="AF31">_xlfn.IFS(Inputs_Assumptions!$E$146="P50",Inputs_Assumptions!$E$38*IRR_Revenue_Model!AF30,Inputs_Assumptions!$E$146="P75",Inputs_Assumptions!$E$39*IRR_Revenue_Model!AF30,Inputs_Assumptions!$E$146="P90",Inputs_Assumptions!$E$40*IRR_Revenue_Model!AF30,Inputs_Assumptions!$E$146="P99",Inputs_Assumptions!$E$41*IRR_Revenue_Model!AF30,"TRUE",0)</f>
        <v>11541.033827889014</v>
      </c>
      <c r="AG31" s="91" cm="1">
        <f t="array" ref="AG31">_xlfn.IFS(Inputs_Assumptions!$E$146="P50",Inputs_Assumptions!$E$38*IRR_Revenue_Model!AG30,Inputs_Assumptions!$E$146="P75",Inputs_Assumptions!$E$39*IRR_Revenue_Model!AG30,Inputs_Assumptions!$E$146="P90",Inputs_Assumptions!$E$40*IRR_Revenue_Model!AG30,Inputs_Assumptions!$E$146="P99",Inputs_Assumptions!$E$41*IRR_Revenue_Model!AG30,"TRUE",0)</f>
        <v>11744.873942282875</v>
      </c>
      <c r="AH31" s="91" cm="1">
        <f t="array" ref="AH31">_xlfn.IFS(Inputs_Assumptions!$E$146="P50",Inputs_Assumptions!$E$38*IRR_Revenue_Model!AH30,Inputs_Assumptions!$E$146="P75",Inputs_Assumptions!$E$39*IRR_Revenue_Model!AH30,Inputs_Assumptions!$E$146="P90",Inputs_Assumptions!$E$40*IRR_Revenue_Model!AH30,Inputs_Assumptions!$E$146="P99",Inputs_Assumptions!$E$41*IRR_Revenue_Model!AH30,"TRUE",0)</f>
        <v>18753.290524235283</v>
      </c>
      <c r="AI31" s="91" cm="1">
        <f t="array" ref="AI31">_xlfn.IFS(Inputs_Assumptions!$E$146="P50",Inputs_Assumptions!$E$38*IRR_Revenue_Model!AI30,Inputs_Assumptions!$E$146="P75",Inputs_Assumptions!$E$39*IRR_Revenue_Model!AI30,Inputs_Assumptions!$E$146="P90",Inputs_Assumptions!$E$40*IRR_Revenue_Model!AI30,Inputs_Assumptions!$E$146="P99",Inputs_Assumptions!$E$41*IRR_Revenue_Model!AI30,"TRUE",0)</f>
        <v>18194.927664684124</v>
      </c>
      <c r="AJ31" s="91" cm="1">
        <f t="array" ref="AJ31">_xlfn.IFS(Inputs_Assumptions!$E$146="P50",Inputs_Assumptions!$E$38*IRR_Revenue_Model!AJ30,Inputs_Assumptions!$E$146="P75",Inputs_Assumptions!$E$39*IRR_Revenue_Model!AJ30,Inputs_Assumptions!$E$146="P90",Inputs_Assumptions!$E$40*IRR_Revenue_Model!AJ30,Inputs_Assumptions!$E$146="P99",Inputs_Assumptions!$E$41*IRR_Revenue_Model!AJ30,"TRUE",0)</f>
        <v>11541.033827889014</v>
      </c>
      <c r="AK31" s="91" cm="1">
        <f t="array" ref="AK31">_xlfn.IFS(Inputs_Assumptions!$E$146="P50",Inputs_Assumptions!$E$38*IRR_Revenue_Model!AK30,Inputs_Assumptions!$E$146="P75",Inputs_Assumptions!$E$39*IRR_Revenue_Model!AK30,Inputs_Assumptions!$E$146="P90",Inputs_Assumptions!$E$40*IRR_Revenue_Model!AK30,Inputs_Assumptions!$E$146="P99",Inputs_Assumptions!$E$41*IRR_Revenue_Model!AK30,"TRUE",0)</f>
        <v>11744.873942282875</v>
      </c>
      <c r="AL31" s="91" cm="1">
        <f t="array" ref="AL31">_xlfn.IFS(Inputs_Assumptions!$E$146="P50",Inputs_Assumptions!$E$38*IRR_Revenue_Model!AL30,Inputs_Assumptions!$E$146="P75",Inputs_Assumptions!$E$39*IRR_Revenue_Model!AL30,Inputs_Assumptions!$E$146="P90",Inputs_Assumptions!$E$40*IRR_Revenue_Model!AL30,Inputs_Assumptions!$E$146="P99",Inputs_Assumptions!$E$41*IRR_Revenue_Model!AL30,"TRUE",0)</f>
        <v>18753.290524235283</v>
      </c>
      <c r="AM31" s="91" cm="1">
        <f t="array" ref="AM31">_xlfn.IFS(Inputs_Assumptions!$E$146="P50",Inputs_Assumptions!$E$38*IRR_Revenue_Model!AM30,Inputs_Assumptions!$E$146="P75",Inputs_Assumptions!$E$39*IRR_Revenue_Model!AM30,Inputs_Assumptions!$E$146="P90",Inputs_Assumptions!$E$40*IRR_Revenue_Model!AM30,Inputs_Assumptions!$E$146="P99",Inputs_Assumptions!$E$41*IRR_Revenue_Model!AM30,"TRUE",0)</f>
        <v>18194.927664684124</v>
      </c>
      <c r="AN31" s="91" cm="1">
        <f t="array" ref="AN31">_xlfn.IFS(Inputs_Assumptions!$E$146="P50",Inputs_Assumptions!$E$38*IRR_Revenue_Model!AN30,Inputs_Assumptions!$E$146="P75",Inputs_Assumptions!$E$39*IRR_Revenue_Model!AN30,Inputs_Assumptions!$E$146="P90",Inputs_Assumptions!$E$40*IRR_Revenue_Model!AN30,Inputs_Assumptions!$E$146="P99",Inputs_Assumptions!$E$41*IRR_Revenue_Model!AN30,"TRUE",0)</f>
        <v>11541.033827889014</v>
      </c>
      <c r="AO31" s="91" cm="1">
        <f t="array" ref="AO31">_xlfn.IFS(Inputs_Assumptions!$E$146="P50",Inputs_Assumptions!$E$38*IRR_Revenue_Model!AO30,Inputs_Assumptions!$E$146="P75",Inputs_Assumptions!$E$39*IRR_Revenue_Model!AO30,Inputs_Assumptions!$E$146="P90",Inputs_Assumptions!$E$40*IRR_Revenue_Model!AO30,Inputs_Assumptions!$E$146="P99",Inputs_Assumptions!$E$41*IRR_Revenue_Model!AO30,"TRUE",0)</f>
        <v>11744.873942282875</v>
      </c>
      <c r="AP31" s="91" cm="1">
        <f t="array" ref="AP31">_xlfn.IFS(Inputs_Assumptions!$E$146="P50",Inputs_Assumptions!$E$38*IRR_Revenue_Model!AP30,Inputs_Assumptions!$E$146="P75",Inputs_Assumptions!$E$39*IRR_Revenue_Model!AP30,Inputs_Assumptions!$E$146="P90",Inputs_Assumptions!$E$40*IRR_Revenue_Model!AP30,Inputs_Assumptions!$E$146="P99",Inputs_Assumptions!$E$41*IRR_Revenue_Model!AP30,"TRUE",0)</f>
        <v>18753.290524235283</v>
      </c>
      <c r="AQ31" s="91" cm="1">
        <f t="array" ref="AQ31">_xlfn.IFS(Inputs_Assumptions!$E$146="P50",Inputs_Assumptions!$E$38*IRR_Revenue_Model!AQ30,Inputs_Assumptions!$E$146="P75",Inputs_Assumptions!$E$39*IRR_Revenue_Model!AQ30,Inputs_Assumptions!$E$146="P90",Inputs_Assumptions!$E$40*IRR_Revenue_Model!AQ30,Inputs_Assumptions!$E$146="P99",Inputs_Assumptions!$E$41*IRR_Revenue_Model!AQ30,"TRUE",0)</f>
        <v>18194.927664684124</v>
      </c>
      <c r="AR31" s="91" cm="1">
        <f t="array" ref="AR31">_xlfn.IFS(Inputs_Assumptions!$E$146="P50",Inputs_Assumptions!$E$38*IRR_Revenue_Model!AR30,Inputs_Assumptions!$E$146="P75",Inputs_Assumptions!$E$39*IRR_Revenue_Model!AR30,Inputs_Assumptions!$E$146="P90",Inputs_Assumptions!$E$40*IRR_Revenue_Model!AR30,Inputs_Assumptions!$E$146="P99",Inputs_Assumptions!$E$41*IRR_Revenue_Model!AR30,"TRUE",0)</f>
        <v>11541.033827889014</v>
      </c>
      <c r="AS31" s="91" cm="1">
        <f t="array" ref="AS31">_xlfn.IFS(Inputs_Assumptions!$E$146="P50",Inputs_Assumptions!$E$38*IRR_Revenue_Model!AS30,Inputs_Assumptions!$E$146="P75",Inputs_Assumptions!$E$39*IRR_Revenue_Model!AS30,Inputs_Assumptions!$E$146="P90",Inputs_Assumptions!$E$40*IRR_Revenue_Model!AS30,Inputs_Assumptions!$E$146="P99",Inputs_Assumptions!$E$41*IRR_Revenue_Model!AS30,"TRUE",0)</f>
        <v>11744.873942282875</v>
      </c>
      <c r="AT31" s="91" cm="1">
        <f t="array" ref="AT31">_xlfn.IFS(Inputs_Assumptions!$E$146="P50",Inputs_Assumptions!$E$38*IRR_Revenue_Model!AT30,Inputs_Assumptions!$E$146="P75",Inputs_Assumptions!$E$39*IRR_Revenue_Model!AT30,Inputs_Assumptions!$E$146="P90",Inputs_Assumptions!$E$40*IRR_Revenue_Model!AT30,Inputs_Assumptions!$E$146="P99",Inputs_Assumptions!$E$41*IRR_Revenue_Model!AT30,"TRUE",0)</f>
        <v>18753.290524235283</v>
      </c>
      <c r="AU31" s="91" cm="1">
        <f t="array" ref="AU31">_xlfn.IFS(Inputs_Assumptions!$E$146="P50",Inputs_Assumptions!$E$38*IRR_Revenue_Model!AU30,Inputs_Assumptions!$E$146="P75",Inputs_Assumptions!$E$39*IRR_Revenue_Model!AU30,Inputs_Assumptions!$E$146="P90",Inputs_Assumptions!$E$40*IRR_Revenue_Model!AU30,Inputs_Assumptions!$E$146="P99",Inputs_Assumptions!$E$41*IRR_Revenue_Model!AU30,"TRUE",0)</f>
        <v>18194.927664684124</v>
      </c>
      <c r="AV31" s="91" cm="1">
        <f t="array" ref="AV31">_xlfn.IFS(Inputs_Assumptions!$E$146="P50",Inputs_Assumptions!$E$38*IRR_Revenue_Model!AV30,Inputs_Assumptions!$E$146="P75",Inputs_Assumptions!$E$39*IRR_Revenue_Model!AV30,Inputs_Assumptions!$E$146="P90",Inputs_Assumptions!$E$40*IRR_Revenue_Model!AV30,Inputs_Assumptions!$E$146="P99",Inputs_Assumptions!$E$41*IRR_Revenue_Model!AV30,"TRUE",0)</f>
        <v>11541.033827889014</v>
      </c>
      <c r="AW31" s="91" cm="1">
        <f t="array" ref="AW31">_xlfn.IFS(Inputs_Assumptions!$E$146="P50",Inputs_Assumptions!$E$38*IRR_Revenue_Model!AW30,Inputs_Assumptions!$E$146="P75",Inputs_Assumptions!$E$39*IRR_Revenue_Model!AW30,Inputs_Assumptions!$E$146="P90",Inputs_Assumptions!$E$40*IRR_Revenue_Model!AW30,Inputs_Assumptions!$E$146="P99",Inputs_Assumptions!$E$41*IRR_Revenue_Model!AW30,"TRUE",0)</f>
        <v>11744.873942282875</v>
      </c>
      <c r="AX31" s="91" cm="1">
        <f t="array" ref="AX31">_xlfn.IFS(Inputs_Assumptions!$E$146="P50",Inputs_Assumptions!$E$38*IRR_Revenue_Model!AX30,Inputs_Assumptions!$E$146="P75",Inputs_Assumptions!$E$39*IRR_Revenue_Model!AX30,Inputs_Assumptions!$E$146="P90",Inputs_Assumptions!$E$40*IRR_Revenue_Model!AX30,Inputs_Assumptions!$E$146="P99",Inputs_Assumptions!$E$41*IRR_Revenue_Model!AX30,"TRUE",0)</f>
        <v>18753.290524235283</v>
      </c>
      <c r="AY31" s="91" cm="1">
        <f t="array" ref="AY31">_xlfn.IFS(Inputs_Assumptions!$E$146="P50",Inputs_Assumptions!$E$38*IRR_Revenue_Model!AY30,Inputs_Assumptions!$E$146="P75",Inputs_Assumptions!$E$39*IRR_Revenue_Model!AY30,Inputs_Assumptions!$E$146="P90",Inputs_Assumptions!$E$40*IRR_Revenue_Model!AY30,Inputs_Assumptions!$E$146="P99",Inputs_Assumptions!$E$41*IRR_Revenue_Model!AY30,"TRUE",0)</f>
        <v>18194.927664684124</v>
      </c>
      <c r="AZ31" s="91" cm="1">
        <f t="array" ref="AZ31">_xlfn.IFS(Inputs_Assumptions!$E$146="P50",Inputs_Assumptions!$E$38*IRR_Revenue_Model!AZ30,Inputs_Assumptions!$E$146="P75",Inputs_Assumptions!$E$39*IRR_Revenue_Model!AZ30,Inputs_Assumptions!$E$146="P90",Inputs_Assumptions!$E$40*IRR_Revenue_Model!AZ30,Inputs_Assumptions!$E$146="P99",Inputs_Assumptions!$E$41*IRR_Revenue_Model!AZ30,"TRUE",0)</f>
        <v>11541.033827889014</v>
      </c>
      <c r="BA31" s="91" cm="1">
        <f t="array" ref="BA31">_xlfn.IFS(Inputs_Assumptions!$E$146="P50",Inputs_Assumptions!$E$38*IRR_Revenue_Model!BA30,Inputs_Assumptions!$E$146="P75",Inputs_Assumptions!$E$39*IRR_Revenue_Model!BA30,Inputs_Assumptions!$E$146="P90",Inputs_Assumptions!$E$40*IRR_Revenue_Model!BA30,Inputs_Assumptions!$E$146="P99",Inputs_Assumptions!$E$41*IRR_Revenue_Model!BA30,"TRUE",0)</f>
        <v>11744.873942282875</v>
      </c>
      <c r="BB31" s="91" cm="1">
        <f t="array" ref="BB31">_xlfn.IFS(Inputs_Assumptions!$E$146="P50",Inputs_Assumptions!$E$38*IRR_Revenue_Model!BB30,Inputs_Assumptions!$E$146="P75",Inputs_Assumptions!$E$39*IRR_Revenue_Model!BB30,Inputs_Assumptions!$E$146="P90",Inputs_Assumptions!$E$40*IRR_Revenue_Model!BB30,Inputs_Assumptions!$E$146="P99",Inputs_Assumptions!$E$41*IRR_Revenue_Model!BB30,"TRUE",0)</f>
        <v>18753.290524235283</v>
      </c>
      <c r="BC31" s="91" cm="1">
        <f t="array" ref="BC31">_xlfn.IFS(Inputs_Assumptions!$E$146="P50",Inputs_Assumptions!$E$38*IRR_Revenue_Model!BC30,Inputs_Assumptions!$E$146="P75",Inputs_Assumptions!$E$39*IRR_Revenue_Model!BC30,Inputs_Assumptions!$E$146="P90",Inputs_Assumptions!$E$40*IRR_Revenue_Model!BC30,Inputs_Assumptions!$E$146="P99",Inputs_Assumptions!$E$41*IRR_Revenue_Model!BC30,"TRUE",0)</f>
        <v>18194.927664684124</v>
      </c>
      <c r="BD31" s="91" cm="1">
        <f t="array" ref="BD31">_xlfn.IFS(Inputs_Assumptions!$E$146="P50",Inputs_Assumptions!$E$38*IRR_Revenue_Model!BD30,Inputs_Assumptions!$E$146="P75",Inputs_Assumptions!$E$39*IRR_Revenue_Model!BD30,Inputs_Assumptions!$E$146="P90",Inputs_Assumptions!$E$40*IRR_Revenue_Model!BD30,Inputs_Assumptions!$E$146="P99",Inputs_Assumptions!$E$41*IRR_Revenue_Model!BD30,"TRUE",0)</f>
        <v>11541.033827889014</v>
      </c>
      <c r="BE31" s="91" cm="1">
        <f t="array" ref="BE31">_xlfn.IFS(Inputs_Assumptions!$E$146="P50",Inputs_Assumptions!$E$38*IRR_Revenue_Model!BE30,Inputs_Assumptions!$E$146="P75",Inputs_Assumptions!$E$39*IRR_Revenue_Model!BE30,Inputs_Assumptions!$E$146="P90",Inputs_Assumptions!$E$40*IRR_Revenue_Model!BE30,Inputs_Assumptions!$E$146="P99",Inputs_Assumptions!$E$41*IRR_Revenue_Model!BE30,"TRUE",0)</f>
        <v>11744.873942282875</v>
      </c>
      <c r="BF31" s="91" cm="1">
        <f t="array" ref="BF31">_xlfn.IFS(Inputs_Assumptions!$E$146="P50",Inputs_Assumptions!$E$38*IRR_Revenue_Model!BF30,Inputs_Assumptions!$E$146="P75",Inputs_Assumptions!$E$39*IRR_Revenue_Model!BF30,Inputs_Assumptions!$E$146="P90",Inputs_Assumptions!$E$40*IRR_Revenue_Model!BF30,Inputs_Assumptions!$E$146="P99",Inputs_Assumptions!$E$41*IRR_Revenue_Model!BF30,"TRUE",0)</f>
        <v>18753.290524235283</v>
      </c>
      <c r="BG31" s="91" cm="1">
        <f t="array" ref="BG31">_xlfn.IFS(Inputs_Assumptions!$E$146="P50",Inputs_Assumptions!$E$38*IRR_Revenue_Model!BG30,Inputs_Assumptions!$E$146="P75",Inputs_Assumptions!$E$39*IRR_Revenue_Model!BG30,Inputs_Assumptions!$E$146="P90",Inputs_Assumptions!$E$40*IRR_Revenue_Model!BG30,Inputs_Assumptions!$E$146="P99",Inputs_Assumptions!$E$41*IRR_Revenue_Model!BG30,"TRUE",0)</f>
        <v>18194.927664684124</v>
      </c>
      <c r="BH31" s="91" cm="1">
        <f t="array" ref="BH31">_xlfn.IFS(Inputs_Assumptions!$E$146="P50",Inputs_Assumptions!$E$38*IRR_Revenue_Model!BH30,Inputs_Assumptions!$E$146="P75",Inputs_Assumptions!$E$39*IRR_Revenue_Model!BH30,Inputs_Assumptions!$E$146="P90",Inputs_Assumptions!$E$40*IRR_Revenue_Model!BH30,Inputs_Assumptions!$E$146="P99",Inputs_Assumptions!$E$41*IRR_Revenue_Model!BH30,"TRUE",0)</f>
        <v>11541.033827889014</v>
      </c>
      <c r="BI31" s="91" cm="1">
        <f t="array" ref="BI31">_xlfn.IFS(Inputs_Assumptions!$E$146="P50",Inputs_Assumptions!$E$38*IRR_Revenue_Model!BI30,Inputs_Assumptions!$E$146="P75",Inputs_Assumptions!$E$39*IRR_Revenue_Model!BI30,Inputs_Assumptions!$E$146="P90",Inputs_Assumptions!$E$40*IRR_Revenue_Model!BI30,Inputs_Assumptions!$E$146="P99",Inputs_Assumptions!$E$41*IRR_Revenue_Model!BI30,"TRUE",0)</f>
        <v>11744.873942282875</v>
      </c>
      <c r="BJ31" s="91" cm="1">
        <f t="array" ref="BJ31">_xlfn.IFS(Inputs_Assumptions!$E$146="P50",Inputs_Assumptions!$E$38*IRR_Revenue_Model!BJ30,Inputs_Assumptions!$E$146="P75",Inputs_Assumptions!$E$39*IRR_Revenue_Model!BJ30,Inputs_Assumptions!$E$146="P90",Inputs_Assumptions!$E$40*IRR_Revenue_Model!BJ30,Inputs_Assumptions!$E$146="P99",Inputs_Assumptions!$E$41*IRR_Revenue_Model!BJ30,"TRUE",0)</f>
        <v>18753.290524235283</v>
      </c>
      <c r="BK31" s="91" cm="1">
        <f t="array" ref="BK31">_xlfn.IFS(Inputs_Assumptions!$E$146="P50",Inputs_Assumptions!$E$38*IRR_Revenue_Model!BK30,Inputs_Assumptions!$E$146="P75",Inputs_Assumptions!$E$39*IRR_Revenue_Model!BK30,Inputs_Assumptions!$E$146="P90",Inputs_Assumptions!$E$40*IRR_Revenue_Model!BK30,Inputs_Assumptions!$E$146="P99",Inputs_Assumptions!$E$41*IRR_Revenue_Model!BK30,"TRUE",0)</f>
        <v>18194.927664684124</v>
      </c>
      <c r="BL31" s="91" cm="1">
        <f t="array" ref="BL31">_xlfn.IFS(Inputs_Assumptions!$E$146="P50",Inputs_Assumptions!$E$38*IRR_Revenue_Model!BL30,Inputs_Assumptions!$E$146="P75",Inputs_Assumptions!$E$39*IRR_Revenue_Model!BL30,Inputs_Assumptions!$E$146="P90",Inputs_Assumptions!$E$40*IRR_Revenue_Model!BL30,Inputs_Assumptions!$E$146="P99",Inputs_Assumptions!$E$41*IRR_Revenue_Model!BL30,"TRUE",0)</f>
        <v>11541.033827889014</v>
      </c>
      <c r="BM31" s="91" cm="1">
        <f t="array" ref="BM31">_xlfn.IFS(Inputs_Assumptions!$E$146="P50",Inputs_Assumptions!$E$38*IRR_Revenue_Model!BM30,Inputs_Assumptions!$E$146="P75",Inputs_Assumptions!$E$39*IRR_Revenue_Model!BM30,Inputs_Assumptions!$E$146="P90",Inputs_Assumptions!$E$40*IRR_Revenue_Model!BM30,Inputs_Assumptions!$E$146="P99",Inputs_Assumptions!$E$41*IRR_Revenue_Model!BM30,"TRUE",0)</f>
        <v>11744.873942282875</v>
      </c>
      <c r="BN31" s="91" cm="1">
        <f t="array" ref="BN31">_xlfn.IFS(Inputs_Assumptions!$E$146="P50",Inputs_Assumptions!$E$38*IRR_Revenue_Model!BN30,Inputs_Assumptions!$E$146="P75",Inputs_Assumptions!$E$39*IRR_Revenue_Model!BN30,Inputs_Assumptions!$E$146="P90",Inputs_Assumptions!$E$40*IRR_Revenue_Model!BN30,Inputs_Assumptions!$E$146="P99",Inputs_Assumptions!$E$41*IRR_Revenue_Model!BN30,"TRUE",0)</f>
        <v>18753.290524235283</v>
      </c>
      <c r="BO31" s="91" cm="1">
        <f t="array" ref="BO31">_xlfn.IFS(Inputs_Assumptions!$E$146="P50",Inputs_Assumptions!$E$38*IRR_Revenue_Model!BO30,Inputs_Assumptions!$E$146="P75",Inputs_Assumptions!$E$39*IRR_Revenue_Model!BO30,Inputs_Assumptions!$E$146="P90",Inputs_Assumptions!$E$40*IRR_Revenue_Model!BO30,Inputs_Assumptions!$E$146="P99",Inputs_Assumptions!$E$41*IRR_Revenue_Model!BO30,"TRUE",0)</f>
        <v>18194.927664684124</v>
      </c>
      <c r="BP31" s="91" cm="1">
        <f t="array" ref="BP31">_xlfn.IFS(Inputs_Assumptions!$E$146="P50",Inputs_Assumptions!$E$38*IRR_Revenue_Model!BP30,Inputs_Assumptions!$E$146="P75",Inputs_Assumptions!$E$39*IRR_Revenue_Model!BP30,Inputs_Assumptions!$E$146="P90",Inputs_Assumptions!$E$40*IRR_Revenue_Model!BP30,Inputs_Assumptions!$E$146="P99",Inputs_Assumptions!$E$41*IRR_Revenue_Model!BP30,"TRUE",0)</f>
        <v>11541.033827889014</v>
      </c>
      <c r="BQ31" s="91" cm="1">
        <f t="array" ref="BQ31">_xlfn.IFS(Inputs_Assumptions!$E$146="P50",Inputs_Assumptions!$E$38*IRR_Revenue_Model!BQ30,Inputs_Assumptions!$E$146="P75",Inputs_Assumptions!$E$39*IRR_Revenue_Model!BQ30,Inputs_Assumptions!$E$146="P90",Inputs_Assumptions!$E$40*IRR_Revenue_Model!BQ30,Inputs_Assumptions!$E$146="P99",Inputs_Assumptions!$E$41*IRR_Revenue_Model!BQ30,"TRUE",0)</f>
        <v>11744.873942282875</v>
      </c>
      <c r="BR31" s="91" cm="1">
        <f t="array" ref="BR31">_xlfn.IFS(Inputs_Assumptions!$E$146="P50",Inputs_Assumptions!$E$38*IRR_Revenue_Model!BR30,Inputs_Assumptions!$E$146="P75",Inputs_Assumptions!$E$39*IRR_Revenue_Model!BR30,Inputs_Assumptions!$E$146="P90",Inputs_Assumptions!$E$40*IRR_Revenue_Model!BR30,Inputs_Assumptions!$E$146="P99",Inputs_Assumptions!$E$41*IRR_Revenue_Model!BR30,"TRUE",0)</f>
        <v>18753.290524235283</v>
      </c>
      <c r="BS31" s="91" cm="1">
        <f t="array" ref="BS31">_xlfn.IFS(Inputs_Assumptions!$E$146="P50",Inputs_Assumptions!$E$38*IRR_Revenue_Model!BS30,Inputs_Assumptions!$E$146="P75",Inputs_Assumptions!$E$39*IRR_Revenue_Model!BS30,Inputs_Assumptions!$E$146="P90",Inputs_Assumptions!$E$40*IRR_Revenue_Model!BS30,Inputs_Assumptions!$E$146="P99",Inputs_Assumptions!$E$41*IRR_Revenue_Model!BS30,"TRUE",0)</f>
        <v>18194.927664684124</v>
      </c>
      <c r="BT31" s="91" cm="1">
        <f t="array" ref="BT31">_xlfn.IFS(Inputs_Assumptions!$E$146="P50",Inputs_Assumptions!$E$38*IRR_Revenue_Model!BT30,Inputs_Assumptions!$E$146="P75",Inputs_Assumptions!$E$39*IRR_Revenue_Model!BT30,Inputs_Assumptions!$E$146="P90",Inputs_Assumptions!$E$40*IRR_Revenue_Model!BT30,Inputs_Assumptions!$E$146="P99",Inputs_Assumptions!$E$41*IRR_Revenue_Model!BT30,"TRUE",0)</f>
        <v>11541.033827889014</v>
      </c>
      <c r="BU31" s="91" cm="1">
        <f t="array" ref="BU31">_xlfn.IFS(Inputs_Assumptions!$E$146="P50",Inputs_Assumptions!$E$38*IRR_Revenue_Model!BU30,Inputs_Assumptions!$E$146="P75",Inputs_Assumptions!$E$39*IRR_Revenue_Model!BU30,Inputs_Assumptions!$E$146="P90",Inputs_Assumptions!$E$40*IRR_Revenue_Model!BU30,Inputs_Assumptions!$E$146="P99",Inputs_Assumptions!$E$41*IRR_Revenue_Model!BU30,"TRUE",0)</f>
        <v>11744.873942282875</v>
      </c>
      <c r="BV31" s="91" cm="1">
        <f t="array" ref="BV31">_xlfn.IFS(Inputs_Assumptions!$E$146="P50",Inputs_Assumptions!$E$38*IRR_Revenue_Model!BV30,Inputs_Assumptions!$E$146="P75",Inputs_Assumptions!$E$39*IRR_Revenue_Model!BV30,Inputs_Assumptions!$E$146="P90",Inputs_Assumptions!$E$40*IRR_Revenue_Model!BV30,Inputs_Assumptions!$E$146="P99",Inputs_Assumptions!$E$41*IRR_Revenue_Model!BV30,"TRUE",0)</f>
        <v>18753.290524235283</v>
      </c>
      <c r="BW31" s="91" cm="1">
        <f t="array" ref="BW31">_xlfn.IFS(Inputs_Assumptions!$E$146="P50",Inputs_Assumptions!$E$38*IRR_Revenue_Model!BW30,Inputs_Assumptions!$E$146="P75",Inputs_Assumptions!$E$39*IRR_Revenue_Model!BW30,Inputs_Assumptions!$E$146="P90",Inputs_Assumptions!$E$40*IRR_Revenue_Model!BW30,Inputs_Assumptions!$E$146="P99",Inputs_Assumptions!$E$41*IRR_Revenue_Model!BW30,"TRUE",0)</f>
        <v>18194.927664684124</v>
      </c>
      <c r="BX31" s="91" cm="1">
        <f t="array" ref="BX31">_xlfn.IFS(Inputs_Assumptions!$E$146="P50",Inputs_Assumptions!$E$38*IRR_Revenue_Model!BX30,Inputs_Assumptions!$E$146="P75",Inputs_Assumptions!$E$39*IRR_Revenue_Model!BX30,Inputs_Assumptions!$E$146="P90",Inputs_Assumptions!$E$40*IRR_Revenue_Model!BX30,Inputs_Assumptions!$E$146="P99",Inputs_Assumptions!$E$41*IRR_Revenue_Model!BX30,"TRUE",0)</f>
        <v>11541.033827889014</v>
      </c>
      <c r="BY31" s="91" cm="1">
        <f t="array" ref="BY31">_xlfn.IFS(Inputs_Assumptions!$E$146="P50",Inputs_Assumptions!$E$38*IRR_Revenue_Model!BY30,Inputs_Assumptions!$E$146="P75",Inputs_Assumptions!$E$39*IRR_Revenue_Model!BY30,Inputs_Assumptions!$E$146="P90",Inputs_Assumptions!$E$40*IRR_Revenue_Model!BY30,Inputs_Assumptions!$E$146="P99",Inputs_Assumptions!$E$41*IRR_Revenue_Model!BY30,"TRUE",0)</f>
        <v>11744.873942282875</v>
      </c>
      <c r="BZ31" s="91" cm="1">
        <f t="array" ref="BZ31">_xlfn.IFS(Inputs_Assumptions!$E$146="P50",Inputs_Assumptions!$E$38*IRR_Revenue_Model!BZ30,Inputs_Assumptions!$E$146="P75",Inputs_Assumptions!$E$39*IRR_Revenue_Model!BZ30,Inputs_Assumptions!$E$146="P90",Inputs_Assumptions!$E$40*IRR_Revenue_Model!BZ30,Inputs_Assumptions!$E$146="P99",Inputs_Assumptions!$E$41*IRR_Revenue_Model!BZ30,"TRUE",0)</f>
        <v>18753.290524235283</v>
      </c>
      <c r="CA31" s="91" cm="1">
        <f t="array" ref="CA31">_xlfn.IFS(Inputs_Assumptions!$E$146="P50",Inputs_Assumptions!$E$38*IRR_Revenue_Model!CA30,Inputs_Assumptions!$E$146="P75",Inputs_Assumptions!$E$39*IRR_Revenue_Model!CA30,Inputs_Assumptions!$E$146="P90",Inputs_Assumptions!$E$40*IRR_Revenue_Model!CA30,Inputs_Assumptions!$E$146="P99",Inputs_Assumptions!$E$41*IRR_Revenue_Model!CA30,"TRUE",0)</f>
        <v>18194.927664684124</v>
      </c>
      <c r="CB31" s="91" cm="1">
        <f t="array" ref="CB31">_xlfn.IFS(Inputs_Assumptions!$E$146="P50",Inputs_Assumptions!$E$38*IRR_Revenue_Model!CB30,Inputs_Assumptions!$E$146="P75",Inputs_Assumptions!$E$39*IRR_Revenue_Model!CB30,Inputs_Assumptions!$E$146="P90",Inputs_Assumptions!$E$40*IRR_Revenue_Model!CB30,Inputs_Assumptions!$E$146="P99",Inputs_Assumptions!$E$41*IRR_Revenue_Model!CB30,"TRUE",0)</f>
        <v>11541.033827889014</v>
      </c>
      <c r="CC31" s="91" cm="1">
        <f t="array" ref="CC31">_xlfn.IFS(Inputs_Assumptions!$E$146="P50",Inputs_Assumptions!$E$38*IRR_Revenue_Model!CC30,Inputs_Assumptions!$E$146="P75",Inputs_Assumptions!$E$39*IRR_Revenue_Model!CC30,Inputs_Assumptions!$E$146="P90",Inputs_Assumptions!$E$40*IRR_Revenue_Model!CC30,Inputs_Assumptions!$E$146="P99",Inputs_Assumptions!$E$41*IRR_Revenue_Model!CC30,"TRUE",0)</f>
        <v>11744.873942282875</v>
      </c>
      <c r="CD31" s="91" cm="1">
        <f t="array" ref="CD31">_xlfn.IFS(Inputs_Assumptions!$E$146="P50",Inputs_Assumptions!$E$38*IRR_Revenue_Model!CD30,Inputs_Assumptions!$E$146="P75",Inputs_Assumptions!$E$39*IRR_Revenue_Model!CD30,Inputs_Assumptions!$E$146="P90",Inputs_Assumptions!$E$40*IRR_Revenue_Model!CD30,Inputs_Assumptions!$E$146="P99",Inputs_Assumptions!$E$41*IRR_Revenue_Model!CD30,"TRUE",0)</f>
        <v>18753.290524235283</v>
      </c>
      <c r="CE31" s="91" cm="1">
        <f t="array" ref="CE31">_xlfn.IFS(Inputs_Assumptions!$E$146="P50",Inputs_Assumptions!$E$38*IRR_Revenue_Model!CE30,Inputs_Assumptions!$E$146="P75",Inputs_Assumptions!$E$39*IRR_Revenue_Model!CE30,Inputs_Assumptions!$E$146="P90",Inputs_Assumptions!$E$40*IRR_Revenue_Model!CE30,Inputs_Assumptions!$E$146="P99",Inputs_Assumptions!$E$41*IRR_Revenue_Model!CE30,"TRUE",0)</f>
        <v>18194.927664684124</v>
      </c>
      <c r="CF31" s="91" cm="1">
        <f t="array" ref="CF31">_xlfn.IFS(Inputs_Assumptions!$E$146="P50",Inputs_Assumptions!$E$38*IRR_Revenue_Model!CF30,Inputs_Assumptions!$E$146="P75",Inputs_Assumptions!$E$39*IRR_Revenue_Model!CF30,Inputs_Assumptions!$E$146="P90",Inputs_Assumptions!$E$40*IRR_Revenue_Model!CF30,Inputs_Assumptions!$E$146="P99",Inputs_Assumptions!$E$41*IRR_Revenue_Model!CF30,"TRUE",0)</f>
        <v>11541.033827889014</v>
      </c>
      <c r="CG31" s="91" cm="1">
        <f t="array" ref="CG31">_xlfn.IFS(Inputs_Assumptions!$E$146="P50",Inputs_Assumptions!$E$38*IRR_Revenue_Model!CG30,Inputs_Assumptions!$E$146="P75",Inputs_Assumptions!$E$39*IRR_Revenue_Model!CG30,Inputs_Assumptions!$E$146="P90",Inputs_Assumptions!$E$40*IRR_Revenue_Model!CG30,Inputs_Assumptions!$E$146="P99",Inputs_Assumptions!$E$41*IRR_Revenue_Model!CG30,"TRUE",0)</f>
        <v>11744.873942282875</v>
      </c>
      <c r="CH31" s="91" cm="1">
        <f t="array" ref="CH31">_xlfn.IFS(Inputs_Assumptions!$E$146="P50",Inputs_Assumptions!$E$38*IRR_Revenue_Model!CH30,Inputs_Assumptions!$E$146="P75",Inputs_Assumptions!$E$39*IRR_Revenue_Model!CH30,Inputs_Assumptions!$E$146="P90",Inputs_Assumptions!$E$40*IRR_Revenue_Model!CH30,Inputs_Assumptions!$E$146="P99",Inputs_Assumptions!$E$41*IRR_Revenue_Model!CH30,"TRUE",0)</f>
        <v>18753.290524235283</v>
      </c>
      <c r="CI31" s="91" cm="1">
        <f t="array" ref="CI31">_xlfn.IFS(Inputs_Assumptions!$E$146="P50",Inputs_Assumptions!$E$38*IRR_Revenue_Model!CI30,Inputs_Assumptions!$E$146="P75",Inputs_Assumptions!$E$39*IRR_Revenue_Model!CI30,Inputs_Assumptions!$E$146="P90",Inputs_Assumptions!$E$40*IRR_Revenue_Model!CI30,Inputs_Assumptions!$E$146="P99",Inputs_Assumptions!$E$41*IRR_Revenue_Model!CI30,"TRUE",0)</f>
        <v>18194.927664684124</v>
      </c>
      <c r="CJ31" s="91" cm="1">
        <f t="array" ref="CJ31">_xlfn.IFS(Inputs_Assumptions!$E$146="P50",Inputs_Assumptions!$E$38*IRR_Revenue_Model!CJ30,Inputs_Assumptions!$E$146="P75",Inputs_Assumptions!$E$39*IRR_Revenue_Model!CJ30,Inputs_Assumptions!$E$146="P90",Inputs_Assumptions!$E$40*IRR_Revenue_Model!CJ30,Inputs_Assumptions!$E$146="P99",Inputs_Assumptions!$E$41*IRR_Revenue_Model!CJ30,"TRUE",0)</f>
        <v>11541.033827889014</v>
      </c>
      <c r="CK31" s="91" cm="1">
        <f t="array" ref="CK31">_xlfn.IFS(Inputs_Assumptions!$E$146="P50",Inputs_Assumptions!$E$38*IRR_Revenue_Model!CK30,Inputs_Assumptions!$E$146="P75",Inputs_Assumptions!$E$39*IRR_Revenue_Model!CK30,Inputs_Assumptions!$E$146="P90",Inputs_Assumptions!$E$40*IRR_Revenue_Model!CK30,Inputs_Assumptions!$E$146="P99",Inputs_Assumptions!$E$41*IRR_Revenue_Model!CK30,"TRUE",0)</f>
        <v>11744.873942282875</v>
      </c>
      <c r="CL31" s="91" cm="1">
        <f t="array" ref="CL31">_xlfn.IFS(Inputs_Assumptions!$E$146="P50",Inputs_Assumptions!$E$38*IRR_Revenue_Model!CL30,Inputs_Assumptions!$E$146="P75",Inputs_Assumptions!$E$39*IRR_Revenue_Model!CL30,Inputs_Assumptions!$E$146="P90",Inputs_Assumptions!$E$40*IRR_Revenue_Model!CL30,Inputs_Assumptions!$E$146="P99",Inputs_Assumptions!$E$41*IRR_Revenue_Model!CL30,"TRUE",0)</f>
        <v>18753.290524235283</v>
      </c>
      <c r="CM31" s="91" cm="1">
        <f t="array" ref="CM31">_xlfn.IFS(Inputs_Assumptions!$E$146="P50",Inputs_Assumptions!$E$38*IRR_Revenue_Model!CM30,Inputs_Assumptions!$E$146="P75",Inputs_Assumptions!$E$39*IRR_Revenue_Model!CM30,Inputs_Assumptions!$E$146="P90",Inputs_Assumptions!$E$40*IRR_Revenue_Model!CM30,Inputs_Assumptions!$E$146="P99",Inputs_Assumptions!$E$41*IRR_Revenue_Model!CM30,"TRUE",0)</f>
        <v>18194.927664684124</v>
      </c>
      <c r="CN31" s="91" cm="1">
        <f t="array" ref="CN31">_xlfn.IFS(Inputs_Assumptions!$E$146="P50",Inputs_Assumptions!$E$38*IRR_Revenue_Model!CN30,Inputs_Assumptions!$E$146="P75",Inputs_Assumptions!$E$39*IRR_Revenue_Model!CN30,Inputs_Assumptions!$E$146="P90",Inputs_Assumptions!$E$40*IRR_Revenue_Model!CN30,Inputs_Assumptions!$E$146="P99",Inputs_Assumptions!$E$41*IRR_Revenue_Model!CN30,"TRUE",0)</f>
        <v>11541.033827889014</v>
      </c>
      <c r="CO31" s="91" cm="1">
        <f t="array" ref="CO31">_xlfn.IFS(Inputs_Assumptions!$E$146="P50",Inputs_Assumptions!$E$38*IRR_Revenue_Model!CO30,Inputs_Assumptions!$E$146="P75",Inputs_Assumptions!$E$39*IRR_Revenue_Model!CO30,Inputs_Assumptions!$E$146="P90",Inputs_Assumptions!$E$40*IRR_Revenue_Model!CO30,Inputs_Assumptions!$E$146="P99",Inputs_Assumptions!$E$41*IRR_Revenue_Model!CO30,"TRUE",0)</f>
        <v>11744.873942282875</v>
      </c>
      <c r="CP31" s="91" cm="1">
        <f t="array" ref="CP31">_xlfn.IFS(Inputs_Assumptions!$E$146="P50",Inputs_Assumptions!$E$38*IRR_Revenue_Model!CP30,Inputs_Assumptions!$E$146="P75",Inputs_Assumptions!$E$39*IRR_Revenue_Model!CP30,Inputs_Assumptions!$E$146="P90",Inputs_Assumptions!$E$40*IRR_Revenue_Model!CP30,Inputs_Assumptions!$E$146="P99",Inputs_Assumptions!$E$41*IRR_Revenue_Model!CP30,"TRUE",0)</f>
        <v>18753.290524235283</v>
      </c>
      <c r="CQ31" s="91" cm="1">
        <f t="array" ref="CQ31">_xlfn.IFS(Inputs_Assumptions!$E$146="P50",Inputs_Assumptions!$E$38*IRR_Revenue_Model!CQ30,Inputs_Assumptions!$E$146="P75",Inputs_Assumptions!$E$39*IRR_Revenue_Model!CQ30,Inputs_Assumptions!$E$146="P90",Inputs_Assumptions!$E$40*IRR_Revenue_Model!CQ30,Inputs_Assumptions!$E$146="P99",Inputs_Assumptions!$E$41*IRR_Revenue_Model!CQ30,"TRUE",0)</f>
        <v>18194.927664684124</v>
      </c>
      <c r="CR31" s="91" cm="1">
        <f t="array" ref="CR31">_xlfn.IFS(Inputs_Assumptions!$E$146="P50",Inputs_Assumptions!$E$38*IRR_Revenue_Model!CR30,Inputs_Assumptions!$E$146="P75",Inputs_Assumptions!$E$39*IRR_Revenue_Model!CR30,Inputs_Assumptions!$E$146="P90",Inputs_Assumptions!$E$40*IRR_Revenue_Model!CR30,Inputs_Assumptions!$E$146="P99",Inputs_Assumptions!$E$41*IRR_Revenue_Model!CR30,"TRUE",0)</f>
        <v>11541.033827889014</v>
      </c>
      <c r="CS31" s="91" cm="1">
        <f t="array" ref="CS31">_xlfn.IFS(Inputs_Assumptions!$E$146="P50",Inputs_Assumptions!$E$38*IRR_Revenue_Model!CS30,Inputs_Assumptions!$E$146="P75",Inputs_Assumptions!$E$39*IRR_Revenue_Model!CS30,Inputs_Assumptions!$E$146="P90",Inputs_Assumptions!$E$40*IRR_Revenue_Model!CS30,Inputs_Assumptions!$E$146="P99",Inputs_Assumptions!$E$41*IRR_Revenue_Model!CS30,"TRUE",0)</f>
        <v>11744.873942282875</v>
      </c>
      <c r="CT31" s="91" cm="1">
        <f t="array" ref="CT31">_xlfn.IFS(Inputs_Assumptions!$E$146="P50",Inputs_Assumptions!$E$38*IRR_Revenue_Model!CT30,Inputs_Assumptions!$E$146="P75",Inputs_Assumptions!$E$39*IRR_Revenue_Model!CT30,Inputs_Assumptions!$E$146="P90",Inputs_Assumptions!$E$40*IRR_Revenue_Model!CT30,Inputs_Assumptions!$E$146="P99",Inputs_Assumptions!$E$41*IRR_Revenue_Model!CT30,"TRUE",0)</f>
        <v>18753.290524235283</v>
      </c>
      <c r="CU31" s="248" cm="1">
        <f t="array" ref="CU31">_xlfn.IFS(Inputs_Assumptions!$E$146="P50",Inputs_Assumptions!$E$38*IRR_Revenue_Model!CU30,Inputs_Assumptions!$E$146="P75",Inputs_Assumptions!$E$39*IRR_Revenue_Model!CU30,Inputs_Assumptions!$E$146="P90",Inputs_Assumptions!$E$40*IRR_Revenue_Model!CU30,Inputs_Assumptions!$E$146="P99",Inputs_Assumptions!$E$41*IRR_Revenue_Model!CU30,"TRUE",0)</f>
        <v>18194.927664684124</v>
      </c>
      <c r="CV31" s="91" cm="1">
        <f t="array" ref="CV31">_xlfn.IFS(Inputs_Assumptions!$E$146="P50",Inputs_Assumptions!$E$38*IRR_Revenue_Model!CV30,Inputs_Assumptions!$E$146="P75",Inputs_Assumptions!$E$39*IRR_Revenue_Model!CV30,Inputs_Assumptions!$E$146="P90",Inputs_Assumptions!$E$40*IRR_Revenue_Model!CV30,Inputs_Assumptions!$E$146="P99",Inputs_Assumptions!$E$41*IRR_Revenue_Model!CV30,"TRUE",0)</f>
        <v>11541.033827889014</v>
      </c>
      <c r="CW31" s="91" cm="1">
        <f t="array" ref="CW31">_xlfn.IFS(Inputs_Assumptions!$E$146="P50",Inputs_Assumptions!$E$38*IRR_Revenue_Model!CW30,Inputs_Assumptions!$E$146="P75",Inputs_Assumptions!$E$39*IRR_Revenue_Model!CW30,Inputs_Assumptions!$E$146="P90",Inputs_Assumptions!$E$40*IRR_Revenue_Model!CW30,Inputs_Assumptions!$E$146="P99",Inputs_Assumptions!$E$41*IRR_Revenue_Model!CW30,"TRUE",0)</f>
        <v>11744.873942282875</v>
      </c>
      <c r="CX31" s="91" cm="1">
        <f t="array" ref="CX31">_xlfn.IFS(Inputs_Assumptions!$E$146="P50",Inputs_Assumptions!$E$38*IRR_Revenue_Model!CX30,Inputs_Assumptions!$E$146="P75",Inputs_Assumptions!$E$39*IRR_Revenue_Model!CX30,Inputs_Assumptions!$E$146="P90",Inputs_Assumptions!$E$40*IRR_Revenue_Model!CX30,Inputs_Assumptions!$E$146="P99",Inputs_Assumptions!$E$41*IRR_Revenue_Model!CX30,"TRUE",0)</f>
        <v>18753.290524235283</v>
      </c>
      <c r="CY31" s="91" cm="1">
        <f t="array" ref="CY31">_xlfn.IFS(Inputs_Assumptions!$E$146="P50",Inputs_Assumptions!$E$38*IRR_Revenue_Model!CY30,Inputs_Assumptions!$E$146="P75",Inputs_Assumptions!$E$39*IRR_Revenue_Model!CY30,Inputs_Assumptions!$E$146="P90",Inputs_Assumptions!$E$40*IRR_Revenue_Model!CY30,Inputs_Assumptions!$E$146="P99",Inputs_Assumptions!$E$41*IRR_Revenue_Model!CY30,"TRUE",0)</f>
        <v>18194.927664684124</v>
      </c>
      <c r="CZ31" s="91" cm="1">
        <f t="array" ref="CZ31">_xlfn.IFS(Inputs_Assumptions!$E$146="P50",Inputs_Assumptions!$E$38*IRR_Revenue_Model!CZ30,Inputs_Assumptions!$E$146="P75",Inputs_Assumptions!$E$39*IRR_Revenue_Model!CZ30,Inputs_Assumptions!$E$146="P90",Inputs_Assumptions!$E$40*IRR_Revenue_Model!CZ30,Inputs_Assumptions!$E$146="P99",Inputs_Assumptions!$E$41*IRR_Revenue_Model!CZ30,"TRUE",0)</f>
        <v>11541.033827889014</v>
      </c>
      <c r="DA31" s="91" cm="1">
        <f t="array" ref="DA31">_xlfn.IFS(Inputs_Assumptions!$E$146="P50",Inputs_Assumptions!$E$38*IRR_Revenue_Model!DA30,Inputs_Assumptions!$E$146="P75",Inputs_Assumptions!$E$39*IRR_Revenue_Model!DA30,Inputs_Assumptions!$E$146="P90",Inputs_Assumptions!$E$40*IRR_Revenue_Model!DA30,Inputs_Assumptions!$E$146="P99",Inputs_Assumptions!$E$41*IRR_Revenue_Model!DA30,"TRUE",0)</f>
        <v>11744.873942282875</v>
      </c>
      <c r="DB31" s="91" cm="1">
        <f t="array" ref="DB31">_xlfn.IFS(Inputs_Assumptions!$E$146="P50",Inputs_Assumptions!$E$38*IRR_Revenue_Model!DB30,Inputs_Assumptions!$E$146="P75",Inputs_Assumptions!$E$39*IRR_Revenue_Model!DB30,Inputs_Assumptions!$E$146="P90",Inputs_Assumptions!$E$40*IRR_Revenue_Model!DB30,Inputs_Assumptions!$E$146="P99",Inputs_Assumptions!$E$41*IRR_Revenue_Model!DB30,"TRUE",0)</f>
        <v>18753.290524235283</v>
      </c>
      <c r="DC31" s="91" cm="1">
        <f t="array" ref="DC31">_xlfn.IFS(Inputs_Assumptions!$E$146="P50",Inputs_Assumptions!$E$38*IRR_Revenue_Model!DC30,Inputs_Assumptions!$E$146="P75",Inputs_Assumptions!$E$39*IRR_Revenue_Model!DC30,Inputs_Assumptions!$E$146="P90",Inputs_Assumptions!$E$40*IRR_Revenue_Model!DC30,Inputs_Assumptions!$E$146="P99",Inputs_Assumptions!$E$41*IRR_Revenue_Model!DC30,"TRUE",0)</f>
        <v>18194.927664684124</v>
      </c>
      <c r="DD31" s="91" cm="1">
        <f t="array" ref="DD31">_xlfn.IFS(Inputs_Assumptions!$E$146="P50",Inputs_Assumptions!$E$38*IRR_Revenue_Model!DD30,Inputs_Assumptions!$E$146="P75",Inputs_Assumptions!$E$39*IRR_Revenue_Model!DD30,Inputs_Assumptions!$E$146="P90",Inputs_Assumptions!$E$40*IRR_Revenue_Model!DD30,Inputs_Assumptions!$E$146="P99",Inputs_Assumptions!$E$41*IRR_Revenue_Model!DD30,"TRUE",0)</f>
        <v>11541.033827889014</v>
      </c>
      <c r="DE31" s="91" cm="1">
        <f t="array" ref="DE31">_xlfn.IFS(Inputs_Assumptions!$E$146="P50",Inputs_Assumptions!$E$38*IRR_Revenue_Model!DE30,Inputs_Assumptions!$E$146="P75",Inputs_Assumptions!$E$39*IRR_Revenue_Model!DE30,Inputs_Assumptions!$E$146="P90",Inputs_Assumptions!$E$40*IRR_Revenue_Model!DE30,Inputs_Assumptions!$E$146="P99",Inputs_Assumptions!$E$41*IRR_Revenue_Model!DE30,"TRUE",0)</f>
        <v>11744.873942282875</v>
      </c>
      <c r="DF31" s="91" cm="1">
        <f t="array" ref="DF31">_xlfn.IFS(Inputs_Assumptions!$E$146="P50",Inputs_Assumptions!$E$38*IRR_Revenue_Model!DF30,Inputs_Assumptions!$E$146="P75",Inputs_Assumptions!$E$39*IRR_Revenue_Model!DF30,Inputs_Assumptions!$E$146="P90",Inputs_Assumptions!$E$40*IRR_Revenue_Model!DF30,Inputs_Assumptions!$E$146="P99",Inputs_Assumptions!$E$41*IRR_Revenue_Model!DF30,"TRUE",0)</f>
        <v>18753.290524235283</v>
      </c>
      <c r="DG31" s="91" cm="1">
        <f t="array" ref="DG31">_xlfn.IFS(Inputs_Assumptions!$E$146="P50",Inputs_Assumptions!$E$38*IRR_Revenue_Model!DG30,Inputs_Assumptions!$E$146="P75",Inputs_Assumptions!$E$39*IRR_Revenue_Model!DG30,Inputs_Assumptions!$E$146="P90",Inputs_Assumptions!$E$40*IRR_Revenue_Model!DG30,Inputs_Assumptions!$E$146="P99",Inputs_Assumptions!$E$41*IRR_Revenue_Model!DG30,"TRUE",0)</f>
        <v>18194.927664684124</v>
      </c>
      <c r="DH31" s="91" cm="1">
        <f t="array" ref="DH31">_xlfn.IFS(Inputs_Assumptions!$E$146="P50",Inputs_Assumptions!$E$38*IRR_Revenue_Model!DH30,Inputs_Assumptions!$E$146="P75",Inputs_Assumptions!$E$39*IRR_Revenue_Model!DH30,Inputs_Assumptions!$E$146="P90",Inputs_Assumptions!$E$40*IRR_Revenue_Model!DH30,Inputs_Assumptions!$E$146="P99",Inputs_Assumptions!$E$41*IRR_Revenue_Model!DH30,"TRUE",0)</f>
        <v>11541.033827889014</v>
      </c>
      <c r="DI31" s="91" cm="1">
        <f t="array" ref="DI31">_xlfn.IFS(Inputs_Assumptions!$E$146="P50",Inputs_Assumptions!$E$38*IRR_Revenue_Model!DI30,Inputs_Assumptions!$E$146="P75",Inputs_Assumptions!$E$39*IRR_Revenue_Model!DI30,Inputs_Assumptions!$E$146="P90",Inputs_Assumptions!$E$40*IRR_Revenue_Model!DI30,Inputs_Assumptions!$E$146="P99",Inputs_Assumptions!$E$41*IRR_Revenue_Model!DI30,"TRUE",0)</f>
        <v>11744.873942282875</v>
      </c>
      <c r="DJ31" s="91" cm="1">
        <f t="array" ref="DJ31">_xlfn.IFS(Inputs_Assumptions!$E$146="P50",Inputs_Assumptions!$E$38*IRR_Revenue_Model!DJ30,Inputs_Assumptions!$E$146="P75",Inputs_Assumptions!$E$39*IRR_Revenue_Model!DJ30,Inputs_Assumptions!$E$146="P90",Inputs_Assumptions!$E$40*IRR_Revenue_Model!DJ30,Inputs_Assumptions!$E$146="P99",Inputs_Assumptions!$E$41*IRR_Revenue_Model!DJ30,"TRUE",0)</f>
        <v>18753.290524235283</v>
      </c>
      <c r="DK31" s="91" cm="1">
        <f t="array" ref="DK31">_xlfn.IFS(Inputs_Assumptions!$E$146="P50",Inputs_Assumptions!$E$38*IRR_Revenue_Model!DK30,Inputs_Assumptions!$E$146="P75",Inputs_Assumptions!$E$39*IRR_Revenue_Model!DK30,Inputs_Assumptions!$E$146="P90",Inputs_Assumptions!$E$40*IRR_Revenue_Model!DK30,Inputs_Assumptions!$E$146="P99",Inputs_Assumptions!$E$41*IRR_Revenue_Model!DK30,"TRUE",0)</f>
        <v>18194.927664684124</v>
      </c>
      <c r="DL31" s="91" cm="1">
        <f t="array" ref="DL31">_xlfn.IFS(Inputs_Assumptions!$E$146="P50",Inputs_Assumptions!$E$38*IRR_Revenue_Model!DL30,Inputs_Assumptions!$E$146="P75",Inputs_Assumptions!$E$39*IRR_Revenue_Model!DL30,Inputs_Assumptions!$E$146="P90",Inputs_Assumptions!$E$40*IRR_Revenue_Model!DL30,Inputs_Assumptions!$E$146="P99",Inputs_Assumptions!$E$41*IRR_Revenue_Model!DL30,"TRUE",0)</f>
        <v>11541.033827889014</v>
      </c>
      <c r="DM31" s="91" cm="1">
        <f t="array" ref="DM31">_xlfn.IFS(Inputs_Assumptions!$E$146="P50",Inputs_Assumptions!$E$38*IRR_Revenue_Model!DM30,Inputs_Assumptions!$E$146="P75",Inputs_Assumptions!$E$39*IRR_Revenue_Model!DM30,Inputs_Assumptions!$E$146="P90",Inputs_Assumptions!$E$40*IRR_Revenue_Model!DM30,Inputs_Assumptions!$E$146="P99",Inputs_Assumptions!$E$41*IRR_Revenue_Model!DM30,"TRUE",0)</f>
        <v>11744.873942282875</v>
      </c>
      <c r="DN31" s="91" cm="1">
        <f t="array" ref="DN31">_xlfn.IFS(Inputs_Assumptions!$E$146="P50",Inputs_Assumptions!$E$38*IRR_Revenue_Model!DN30,Inputs_Assumptions!$E$146="P75",Inputs_Assumptions!$E$39*IRR_Revenue_Model!DN30,Inputs_Assumptions!$E$146="P90",Inputs_Assumptions!$E$40*IRR_Revenue_Model!DN30,Inputs_Assumptions!$E$146="P99",Inputs_Assumptions!$E$41*IRR_Revenue_Model!DN30,"TRUE",0)</f>
        <v>18753.290524235283</v>
      </c>
      <c r="DO31" s="91" cm="1">
        <f t="array" ref="DO31">_xlfn.IFS(Inputs_Assumptions!$E$146="P50",Inputs_Assumptions!$E$38*IRR_Revenue_Model!DO30,Inputs_Assumptions!$E$146="P75",Inputs_Assumptions!$E$39*IRR_Revenue_Model!DO30,Inputs_Assumptions!$E$146="P90",Inputs_Assumptions!$E$40*IRR_Revenue_Model!DO30,Inputs_Assumptions!$E$146="P99",Inputs_Assumptions!$E$41*IRR_Revenue_Model!DO30,"TRUE",0)</f>
        <v>18194.927664684124</v>
      </c>
      <c r="DP31" s="91" cm="1">
        <f t="array" ref="DP31">_xlfn.IFS(Inputs_Assumptions!$E$146="P50",Inputs_Assumptions!$E$38*IRR_Revenue_Model!DP30,Inputs_Assumptions!$E$146="P75",Inputs_Assumptions!$E$39*IRR_Revenue_Model!DP30,Inputs_Assumptions!$E$146="P90",Inputs_Assumptions!$E$40*IRR_Revenue_Model!DP30,Inputs_Assumptions!$E$146="P99",Inputs_Assumptions!$E$41*IRR_Revenue_Model!DP30,"TRUE",0)</f>
        <v>11541.033827889014</v>
      </c>
      <c r="DQ31" s="91" cm="1">
        <f t="array" ref="DQ31">_xlfn.IFS(Inputs_Assumptions!$E$146="P50",Inputs_Assumptions!$E$38*IRR_Revenue_Model!DQ30,Inputs_Assumptions!$E$146="P75",Inputs_Assumptions!$E$39*IRR_Revenue_Model!DQ30,Inputs_Assumptions!$E$146="P90",Inputs_Assumptions!$E$40*IRR_Revenue_Model!DQ30,Inputs_Assumptions!$E$146="P99",Inputs_Assumptions!$E$41*IRR_Revenue_Model!DQ30,"TRUE",0)</f>
        <v>11744.873942282875</v>
      </c>
      <c r="DR31" s="91" cm="1">
        <f t="array" ref="DR31">_xlfn.IFS(Inputs_Assumptions!$E$146="P50",Inputs_Assumptions!$E$38*IRR_Revenue_Model!DR30,Inputs_Assumptions!$E$146="P75",Inputs_Assumptions!$E$39*IRR_Revenue_Model!DR30,Inputs_Assumptions!$E$146="P90",Inputs_Assumptions!$E$40*IRR_Revenue_Model!DR30,Inputs_Assumptions!$E$146="P99",Inputs_Assumptions!$E$41*IRR_Revenue_Model!DR30,"TRUE",0)</f>
        <v>18753.290524235283</v>
      </c>
      <c r="DS31" s="91" cm="1">
        <f t="array" ref="DS31">_xlfn.IFS(Inputs_Assumptions!$E$146="P50",Inputs_Assumptions!$E$38*IRR_Revenue_Model!DS30,Inputs_Assumptions!$E$146="P75",Inputs_Assumptions!$E$39*IRR_Revenue_Model!DS30,Inputs_Assumptions!$E$146="P90",Inputs_Assumptions!$E$40*IRR_Revenue_Model!DS30,Inputs_Assumptions!$E$146="P99",Inputs_Assumptions!$E$41*IRR_Revenue_Model!DS30,"TRUE",0)</f>
        <v>18194.927664684124</v>
      </c>
      <c r="DT31" s="91" cm="1">
        <f t="array" ref="DT31">_xlfn.IFS(Inputs_Assumptions!$E$146="P50",Inputs_Assumptions!$E$38*IRR_Revenue_Model!DT30,Inputs_Assumptions!$E$146="P75",Inputs_Assumptions!$E$39*IRR_Revenue_Model!DT30,Inputs_Assumptions!$E$146="P90",Inputs_Assumptions!$E$40*IRR_Revenue_Model!DT30,Inputs_Assumptions!$E$146="P99",Inputs_Assumptions!$E$41*IRR_Revenue_Model!DT30,"TRUE",0)</f>
        <v>11541.033827889014</v>
      </c>
      <c r="DU31" s="91" cm="1">
        <f t="array" ref="DU31">_xlfn.IFS(Inputs_Assumptions!$E$146="P50",Inputs_Assumptions!$E$38*IRR_Revenue_Model!DU30,Inputs_Assumptions!$E$146="P75",Inputs_Assumptions!$E$39*IRR_Revenue_Model!DU30,Inputs_Assumptions!$E$146="P90",Inputs_Assumptions!$E$40*IRR_Revenue_Model!DU30,Inputs_Assumptions!$E$146="P99",Inputs_Assumptions!$E$41*IRR_Revenue_Model!DU30,"TRUE",0)</f>
        <v>11744.873942282875</v>
      </c>
      <c r="DV31" s="91" cm="1">
        <f t="array" ref="DV31">_xlfn.IFS(Inputs_Assumptions!$E$146="P50",Inputs_Assumptions!$E$38*IRR_Revenue_Model!DV30,Inputs_Assumptions!$E$146="P75",Inputs_Assumptions!$E$39*IRR_Revenue_Model!DV30,Inputs_Assumptions!$E$146="P90",Inputs_Assumptions!$E$40*IRR_Revenue_Model!DV30,Inputs_Assumptions!$E$146="P99",Inputs_Assumptions!$E$41*IRR_Revenue_Model!DV30,"TRUE",0)</f>
        <v>18753.290524235283</v>
      </c>
      <c r="DW31" s="91" cm="1">
        <f t="array" ref="DW31">_xlfn.IFS(Inputs_Assumptions!$E$146="P50",Inputs_Assumptions!$E$38*IRR_Revenue_Model!DW30,Inputs_Assumptions!$E$146="P75",Inputs_Assumptions!$E$39*IRR_Revenue_Model!DW30,Inputs_Assumptions!$E$146="P90",Inputs_Assumptions!$E$40*IRR_Revenue_Model!DW30,Inputs_Assumptions!$E$146="P99",Inputs_Assumptions!$E$41*IRR_Revenue_Model!DW30,"TRUE",0)</f>
        <v>18194.927664684124</v>
      </c>
      <c r="DX31" s="91" cm="1">
        <f t="array" ref="DX31">_xlfn.IFS(Inputs_Assumptions!$E$146="P50",Inputs_Assumptions!$E$38*IRR_Revenue_Model!DX30,Inputs_Assumptions!$E$146="P75",Inputs_Assumptions!$E$39*IRR_Revenue_Model!DX30,Inputs_Assumptions!$E$146="P90",Inputs_Assumptions!$E$40*IRR_Revenue_Model!DX30,Inputs_Assumptions!$E$146="P99",Inputs_Assumptions!$E$41*IRR_Revenue_Model!DX30,"TRUE",0)</f>
        <v>11541.033827889014</v>
      </c>
      <c r="DY31" s="91" cm="1">
        <f t="array" ref="DY31">_xlfn.IFS(Inputs_Assumptions!$E$146="P50",Inputs_Assumptions!$E$38*IRR_Revenue_Model!DY30,Inputs_Assumptions!$E$146="P75",Inputs_Assumptions!$E$39*IRR_Revenue_Model!DY30,Inputs_Assumptions!$E$146="P90",Inputs_Assumptions!$E$40*IRR_Revenue_Model!DY30,Inputs_Assumptions!$E$146="P99",Inputs_Assumptions!$E$41*IRR_Revenue_Model!DY30,"TRUE",0)</f>
        <v>11744.873942282875</v>
      </c>
      <c r="DZ31" s="91" cm="1">
        <f t="array" ref="DZ31">_xlfn.IFS(Inputs_Assumptions!$E$146="P50",Inputs_Assumptions!$E$38*IRR_Revenue_Model!DZ30,Inputs_Assumptions!$E$146="P75",Inputs_Assumptions!$E$39*IRR_Revenue_Model!DZ30,Inputs_Assumptions!$E$146="P90",Inputs_Assumptions!$E$40*IRR_Revenue_Model!DZ30,Inputs_Assumptions!$E$146="P99",Inputs_Assumptions!$E$41*IRR_Revenue_Model!DZ30,"TRUE",0)</f>
        <v>18753.290524235283</v>
      </c>
      <c r="EA31" s="91" cm="1">
        <f t="array" ref="EA31">_xlfn.IFS(Inputs_Assumptions!$E$146="P50",Inputs_Assumptions!$E$38*IRR_Revenue_Model!EA30,Inputs_Assumptions!$E$146="P75",Inputs_Assumptions!$E$39*IRR_Revenue_Model!EA30,Inputs_Assumptions!$E$146="P90",Inputs_Assumptions!$E$40*IRR_Revenue_Model!EA30,Inputs_Assumptions!$E$146="P99",Inputs_Assumptions!$E$41*IRR_Revenue_Model!EA30,"TRUE",0)</f>
        <v>18194.927664684124</v>
      </c>
      <c r="EB31" s="91" cm="1">
        <f t="array" ref="EB31">_xlfn.IFS(Inputs_Assumptions!$E$146="P50",Inputs_Assumptions!$E$38*IRR_Revenue_Model!EB30,Inputs_Assumptions!$E$146="P75",Inputs_Assumptions!$E$39*IRR_Revenue_Model!EB30,Inputs_Assumptions!$E$146="P90",Inputs_Assumptions!$E$40*IRR_Revenue_Model!EB30,Inputs_Assumptions!$E$146="P99",Inputs_Assumptions!$E$41*IRR_Revenue_Model!EB30,"TRUE",0)</f>
        <v>11541.033827889014</v>
      </c>
      <c r="EC31" s="91" cm="1">
        <f t="array" ref="EC31">_xlfn.IFS(Inputs_Assumptions!$E$146="P50",Inputs_Assumptions!$E$38*IRR_Revenue_Model!EC30,Inputs_Assumptions!$E$146="P75",Inputs_Assumptions!$E$39*IRR_Revenue_Model!EC30,Inputs_Assumptions!$E$146="P90",Inputs_Assumptions!$E$40*IRR_Revenue_Model!EC30,Inputs_Assumptions!$E$146="P99",Inputs_Assumptions!$E$41*IRR_Revenue_Model!EC30,"TRUE",0)</f>
        <v>11744.873942282875</v>
      </c>
      <c r="ED31" s="91" cm="1">
        <f t="array" ref="ED31">_xlfn.IFS(Inputs_Assumptions!$E$146="P50",Inputs_Assumptions!$E$38*IRR_Revenue_Model!ED30,Inputs_Assumptions!$E$146="P75",Inputs_Assumptions!$E$39*IRR_Revenue_Model!ED30,Inputs_Assumptions!$E$146="P90",Inputs_Assumptions!$E$40*IRR_Revenue_Model!ED30,Inputs_Assumptions!$E$146="P99",Inputs_Assumptions!$E$41*IRR_Revenue_Model!ED30,"TRUE",0)</f>
        <v>18753.290524235283</v>
      </c>
      <c r="EE31" s="91" cm="1">
        <f t="array" ref="EE31">_xlfn.IFS(Inputs_Assumptions!$E$146="P50",Inputs_Assumptions!$E$38*IRR_Revenue_Model!EE30,Inputs_Assumptions!$E$146="P75",Inputs_Assumptions!$E$39*IRR_Revenue_Model!EE30,Inputs_Assumptions!$E$146="P90",Inputs_Assumptions!$E$40*IRR_Revenue_Model!EE30,Inputs_Assumptions!$E$146="P99",Inputs_Assumptions!$E$41*IRR_Revenue_Model!EE30,"TRUE",0)</f>
        <v>18194.927664684124</v>
      </c>
      <c r="EF31" s="91" cm="1">
        <f t="array" ref="EF31">_xlfn.IFS(Inputs_Assumptions!$E$146="P50",Inputs_Assumptions!$E$38*IRR_Revenue_Model!EF30,Inputs_Assumptions!$E$146="P75",Inputs_Assumptions!$E$39*IRR_Revenue_Model!EF30,Inputs_Assumptions!$E$146="P90",Inputs_Assumptions!$E$40*IRR_Revenue_Model!EF30,Inputs_Assumptions!$E$146="P99",Inputs_Assumptions!$E$41*IRR_Revenue_Model!EF30,"TRUE",0)</f>
        <v>11541.033827889014</v>
      </c>
      <c r="EG31" s="91" cm="1">
        <f t="array" ref="EG31">_xlfn.IFS(Inputs_Assumptions!$E$146="P50",Inputs_Assumptions!$E$38*IRR_Revenue_Model!EG30,Inputs_Assumptions!$E$146="P75",Inputs_Assumptions!$E$39*IRR_Revenue_Model!EG30,Inputs_Assumptions!$E$146="P90",Inputs_Assumptions!$E$40*IRR_Revenue_Model!EG30,Inputs_Assumptions!$E$146="P99",Inputs_Assumptions!$E$41*IRR_Revenue_Model!EG30,"TRUE",0)</f>
        <v>11744.873942282875</v>
      </c>
      <c r="EH31" s="91" cm="1">
        <f t="array" ref="EH31">_xlfn.IFS(Inputs_Assumptions!$E$146="P50",Inputs_Assumptions!$E$38*IRR_Revenue_Model!EH30,Inputs_Assumptions!$E$146="P75",Inputs_Assumptions!$E$39*IRR_Revenue_Model!EH30,Inputs_Assumptions!$E$146="P90",Inputs_Assumptions!$E$40*IRR_Revenue_Model!EH30,Inputs_Assumptions!$E$146="P99",Inputs_Assumptions!$E$41*IRR_Revenue_Model!EH30,"TRUE",0)</f>
        <v>18753.290524235283</v>
      </c>
      <c r="EI31" s="91" cm="1">
        <f t="array" ref="EI31">_xlfn.IFS(Inputs_Assumptions!$E$146="P50",Inputs_Assumptions!$E$38*IRR_Revenue_Model!EI30,Inputs_Assumptions!$E$146="P75",Inputs_Assumptions!$E$39*IRR_Revenue_Model!EI30,Inputs_Assumptions!$E$146="P90",Inputs_Assumptions!$E$40*IRR_Revenue_Model!EI30,Inputs_Assumptions!$E$146="P99",Inputs_Assumptions!$E$41*IRR_Revenue_Model!EI30,"TRUE",0)</f>
        <v>18194.927664684124</v>
      </c>
      <c r="EJ31" s="91" cm="1">
        <f t="array" ref="EJ31">_xlfn.IFS(Inputs_Assumptions!$E$146="P50",Inputs_Assumptions!$E$38*IRR_Revenue_Model!EJ30,Inputs_Assumptions!$E$146="P75",Inputs_Assumptions!$E$39*IRR_Revenue_Model!EJ30,Inputs_Assumptions!$E$146="P90",Inputs_Assumptions!$E$40*IRR_Revenue_Model!EJ30,Inputs_Assumptions!$E$146="P99",Inputs_Assumptions!$E$41*IRR_Revenue_Model!EJ30,"TRUE",0)</f>
        <v>11541.033827889014</v>
      </c>
      <c r="EK31" s="91" cm="1">
        <f t="array" ref="EK31">_xlfn.IFS(Inputs_Assumptions!$E$146="P50",Inputs_Assumptions!$E$38*IRR_Revenue_Model!EK30,Inputs_Assumptions!$E$146="P75",Inputs_Assumptions!$E$39*IRR_Revenue_Model!EK30,Inputs_Assumptions!$E$146="P90",Inputs_Assumptions!$E$40*IRR_Revenue_Model!EK30,Inputs_Assumptions!$E$146="P99",Inputs_Assumptions!$E$41*IRR_Revenue_Model!EK30,"TRUE",0)</f>
        <v>11744.873942282875</v>
      </c>
      <c r="EL31" s="91" cm="1">
        <f t="array" ref="EL31">_xlfn.IFS(Inputs_Assumptions!$E$146="P50",Inputs_Assumptions!$E$38*IRR_Revenue_Model!EL30,Inputs_Assumptions!$E$146="P75",Inputs_Assumptions!$E$39*IRR_Revenue_Model!EL30,Inputs_Assumptions!$E$146="P90",Inputs_Assumptions!$E$40*IRR_Revenue_Model!EL30,Inputs_Assumptions!$E$146="P99",Inputs_Assumptions!$E$41*IRR_Revenue_Model!EL30,"TRUE",0)</f>
        <v>18753.290524235283</v>
      </c>
      <c r="EM31" s="91" cm="1">
        <f t="array" ref="EM31">_xlfn.IFS(Inputs_Assumptions!$E$146="P50",Inputs_Assumptions!$E$38*IRR_Revenue_Model!EM30,Inputs_Assumptions!$E$146="P75",Inputs_Assumptions!$E$39*IRR_Revenue_Model!EM30,Inputs_Assumptions!$E$146="P90",Inputs_Assumptions!$E$40*IRR_Revenue_Model!EM30,Inputs_Assumptions!$E$146="P99",Inputs_Assumptions!$E$41*IRR_Revenue_Model!EM30,"TRUE",0)</f>
        <v>18194.927664684124</v>
      </c>
      <c r="EN31" s="91" cm="1">
        <f t="array" ref="EN31">_xlfn.IFS(Inputs_Assumptions!$E$146="P50",Inputs_Assumptions!$E$38*IRR_Revenue_Model!EN30,Inputs_Assumptions!$E$146="P75",Inputs_Assumptions!$E$39*IRR_Revenue_Model!EN30,Inputs_Assumptions!$E$146="P90",Inputs_Assumptions!$E$40*IRR_Revenue_Model!EN30,Inputs_Assumptions!$E$146="P99",Inputs_Assumptions!$E$41*IRR_Revenue_Model!EN30,"TRUE",0)</f>
        <v>11541.033827889014</v>
      </c>
      <c r="EO31" s="91" cm="1">
        <f t="array" ref="EO31">_xlfn.IFS(Inputs_Assumptions!$E$146="P50",Inputs_Assumptions!$E$38*IRR_Revenue_Model!EO30,Inputs_Assumptions!$E$146="P75",Inputs_Assumptions!$E$39*IRR_Revenue_Model!EO30,Inputs_Assumptions!$E$146="P90",Inputs_Assumptions!$E$40*IRR_Revenue_Model!EO30,Inputs_Assumptions!$E$146="P99",Inputs_Assumptions!$E$41*IRR_Revenue_Model!EO30,"TRUE",0)</f>
        <v>11744.873942282875</v>
      </c>
      <c r="EP31" s="91" cm="1">
        <f t="array" ref="EP31">_xlfn.IFS(Inputs_Assumptions!$E$146="P50",Inputs_Assumptions!$E$38*IRR_Revenue_Model!EP30,Inputs_Assumptions!$E$146="P75",Inputs_Assumptions!$E$39*IRR_Revenue_Model!EP30,Inputs_Assumptions!$E$146="P90",Inputs_Assumptions!$E$40*IRR_Revenue_Model!EP30,Inputs_Assumptions!$E$146="P99",Inputs_Assumptions!$E$41*IRR_Revenue_Model!EP30,"TRUE",0)</f>
        <v>18753.290524235283</v>
      </c>
      <c r="EQ31" s="91" cm="1">
        <f t="array" ref="EQ31">_xlfn.IFS(Inputs_Assumptions!$E$146="P50",Inputs_Assumptions!$E$38*IRR_Revenue_Model!EQ30,Inputs_Assumptions!$E$146="P75",Inputs_Assumptions!$E$39*IRR_Revenue_Model!EQ30,Inputs_Assumptions!$E$146="P90",Inputs_Assumptions!$E$40*IRR_Revenue_Model!EQ30,Inputs_Assumptions!$E$146="P99",Inputs_Assumptions!$E$41*IRR_Revenue_Model!EQ30,"TRUE",0)</f>
        <v>18194.927664684124</v>
      </c>
      <c r="ER31" s="91" cm="1">
        <f t="array" ref="ER31">_xlfn.IFS(Inputs_Assumptions!$E$146="P50",Inputs_Assumptions!$E$38*IRR_Revenue_Model!ER30,Inputs_Assumptions!$E$146="P75",Inputs_Assumptions!$E$39*IRR_Revenue_Model!ER30,Inputs_Assumptions!$E$146="P90",Inputs_Assumptions!$E$40*IRR_Revenue_Model!ER30,Inputs_Assumptions!$E$146="P99",Inputs_Assumptions!$E$41*IRR_Revenue_Model!ER30,"TRUE",0)</f>
        <v>11541.033827889014</v>
      </c>
      <c r="ES31" s="91" cm="1">
        <f t="array" ref="ES31">_xlfn.IFS(Inputs_Assumptions!$E$146="P50",Inputs_Assumptions!$E$38*IRR_Revenue_Model!ES30,Inputs_Assumptions!$E$146="P75",Inputs_Assumptions!$E$39*IRR_Revenue_Model!ES30,Inputs_Assumptions!$E$146="P90",Inputs_Assumptions!$E$40*IRR_Revenue_Model!ES30,Inputs_Assumptions!$E$146="P99",Inputs_Assumptions!$E$41*IRR_Revenue_Model!ES30,"TRUE",0)</f>
        <v>11744.873942282875</v>
      </c>
      <c r="ET31" s="91" cm="1">
        <f t="array" ref="ET31">_xlfn.IFS(Inputs_Assumptions!$E$146="P50",Inputs_Assumptions!$E$38*IRR_Revenue_Model!ET30,Inputs_Assumptions!$E$146="P75",Inputs_Assumptions!$E$39*IRR_Revenue_Model!ET30,Inputs_Assumptions!$E$146="P90",Inputs_Assumptions!$E$40*IRR_Revenue_Model!ET30,Inputs_Assumptions!$E$146="P99",Inputs_Assumptions!$E$41*IRR_Revenue_Model!ET30,"TRUE",0)</f>
        <v>18753.290524235283</v>
      </c>
      <c r="EU31" s="91" cm="1">
        <f t="array" ref="EU31">_xlfn.IFS(Inputs_Assumptions!$E$146="P50",Inputs_Assumptions!$E$38*IRR_Revenue_Model!EU30,Inputs_Assumptions!$E$146="P75",Inputs_Assumptions!$E$39*IRR_Revenue_Model!EU30,Inputs_Assumptions!$E$146="P90",Inputs_Assumptions!$E$40*IRR_Revenue_Model!EU30,Inputs_Assumptions!$E$146="P99",Inputs_Assumptions!$E$41*IRR_Revenue_Model!EU30,"TRUE",0)</f>
        <v>18194.927664684124</v>
      </c>
      <c r="EV31" s="91" cm="1">
        <f t="array" ref="EV31">_xlfn.IFS(Inputs_Assumptions!$E$146="P50",Inputs_Assumptions!$E$38*IRR_Revenue_Model!EV30,Inputs_Assumptions!$E$146="P75",Inputs_Assumptions!$E$39*IRR_Revenue_Model!EV30,Inputs_Assumptions!$E$146="P90",Inputs_Assumptions!$E$40*IRR_Revenue_Model!EV30,Inputs_Assumptions!$E$146="P99",Inputs_Assumptions!$E$41*IRR_Revenue_Model!EV30,"TRUE",0)</f>
        <v>11541.033827889014</v>
      </c>
      <c r="EW31" s="91" cm="1">
        <f t="array" ref="EW31">_xlfn.IFS(Inputs_Assumptions!$E$146="P50",Inputs_Assumptions!$E$38*IRR_Revenue_Model!EW30,Inputs_Assumptions!$E$146="P75",Inputs_Assumptions!$E$39*IRR_Revenue_Model!EW30,Inputs_Assumptions!$E$146="P90",Inputs_Assumptions!$E$40*IRR_Revenue_Model!EW30,Inputs_Assumptions!$E$146="P99",Inputs_Assumptions!$E$41*IRR_Revenue_Model!EW30,"TRUE",0)</f>
        <v>11744.873942282875</v>
      </c>
      <c r="EX31" s="91" cm="1">
        <f t="array" ref="EX31">_xlfn.IFS(Inputs_Assumptions!$E$146="P50",Inputs_Assumptions!$E$38*IRR_Revenue_Model!EX30,Inputs_Assumptions!$E$146="P75",Inputs_Assumptions!$E$39*IRR_Revenue_Model!EX30,Inputs_Assumptions!$E$146="P90",Inputs_Assumptions!$E$40*IRR_Revenue_Model!EX30,Inputs_Assumptions!$E$146="P99",Inputs_Assumptions!$E$41*IRR_Revenue_Model!EX30,"TRUE",0)</f>
        <v>18753.290524235283</v>
      </c>
      <c r="EY31" s="91" cm="1">
        <f t="array" ref="EY31">_xlfn.IFS(Inputs_Assumptions!$E$146="P50",Inputs_Assumptions!$E$38*IRR_Revenue_Model!EY30,Inputs_Assumptions!$E$146="P75",Inputs_Assumptions!$E$39*IRR_Revenue_Model!EY30,Inputs_Assumptions!$E$146="P90",Inputs_Assumptions!$E$40*IRR_Revenue_Model!EY30,Inputs_Assumptions!$E$146="P99",Inputs_Assumptions!$E$41*IRR_Revenue_Model!EY30,"TRUE",0)</f>
        <v>18194.927664684124</v>
      </c>
      <c r="EZ31" s="91" cm="1">
        <f t="array" ref="EZ31">_xlfn.IFS(Inputs_Assumptions!$E$146="P50",Inputs_Assumptions!$E$38*IRR_Revenue_Model!EZ30,Inputs_Assumptions!$E$146="P75",Inputs_Assumptions!$E$39*IRR_Revenue_Model!EZ30,Inputs_Assumptions!$E$146="P90",Inputs_Assumptions!$E$40*IRR_Revenue_Model!EZ30,Inputs_Assumptions!$E$146="P99",Inputs_Assumptions!$E$41*IRR_Revenue_Model!EZ30,"TRUE",0)</f>
        <v>11541.033827889014</v>
      </c>
      <c r="FA31" s="91" cm="1">
        <f t="array" ref="FA31">_xlfn.IFS(Inputs_Assumptions!$E$146="P50",Inputs_Assumptions!$E$38*IRR_Revenue_Model!FA30,Inputs_Assumptions!$E$146="P75",Inputs_Assumptions!$E$39*IRR_Revenue_Model!FA30,Inputs_Assumptions!$E$146="P90",Inputs_Assumptions!$E$40*IRR_Revenue_Model!FA30,Inputs_Assumptions!$E$146="P99",Inputs_Assumptions!$E$41*IRR_Revenue_Model!FA30,"TRUE",0)</f>
        <v>11744.873942282875</v>
      </c>
    </row>
    <row r="32" spans="2:157" ht="15.5" customHeight="1" outlineLevel="1" x14ac:dyDescent="0.2">
      <c r="B32" s="1"/>
      <c r="C32" s="30" t="s">
        <v>315</v>
      </c>
      <c r="D32" s="22" t="s">
        <v>100</v>
      </c>
      <c r="E32" s="62"/>
      <c r="F32" s="22"/>
      <c r="G32" s="91">
        <f>G31*G23</f>
        <v>18194.927664684124</v>
      </c>
      <c r="H32" s="91">
        <f t="shared" ref="H32:BS32" si="336">H31*H23</f>
        <v>11541.033827889014</v>
      </c>
      <c r="I32" s="91">
        <f t="shared" si="336"/>
        <v>11744.873942282875</v>
      </c>
      <c r="J32" s="91">
        <f t="shared" si="336"/>
        <v>18753.290524235283</v>
      </c>
      <c r="K32" s="91">
        <f t="shared" si="336"/>
        <v>18194.927664684124</v>
      </c>
      <c r="L32" s="91">
        <f t="shared" si="336"/>
        <v>11541.033827889014</v>
      </c>
      <c r="M32" s="91">
        <f t="shared" si="336"/>
        <v>11744.873942282875</v>
      </c>
      <c r="N32" s="91">
        <f t="shared" si="336"/>
        <v>18753.290524235283</v>
      </c>
      <c r="O32" s="91">
        <f t="shared" si="336"/>
        <v>18194.927664684124</v>
      </c>
      <c r="P32" s="91">
        <f t="shared" si="336"/>
        <v>11541.033827889014</v>
      </c>
      <c r="Q32" s="91">
        <f t="shared" si="336"/>
        <v>11744.873942282875</v>
      </c>
      <c r="R32" s="91">
        <f t="shared" si="336"/>
        <v>18753.290524235283</v>
      </c>
      <c r="S32" s="91">
        <f t="shared" si="336"/>
        <v>18185.823369782665</v>
      </c>
      <c r="T32" s="91">
        <f t="shared" si="336"/>
        <v>11529.487017766471</v>
      </c>
      <c r="U32" s="91">
        <f t="shared" si="336"/>
        <v>11727.252223367315</v>
      </c>
      <c r="V32" s="91">
        <f t="shared" si="336"/>
        <v>18715.783943186812</v>
      </c>
      <c r="W32" s="91">
        <f t="shared" si="336"/>
        <v>18149.451723043101</v>
      </c>
      <c r="X32" s="91">
        <f t="shared" si="336"/>
        <v>11506.428043730939</v>
      </c>
      <c r="Y32" s="91">
        <f t="shared" si="336"/>
        <v>11703.797718920581</v>
      </c>
      <c r="Z32" s="91">
        <f t="shared" si="336"/>
        <v>18678.352375300441</v>
      </c>
      <c r="AA32" s="91">
        <f t="shared" si="336"/>
        <v>18113.152819597017</v>
      </c>
      <c r="AB32" s="91">
        <f t="shared" si="336"/>
        <v>11483.415187643477</v>
      </c>
      <c r="AC32" s="91">
        <f t="shared" si="336"/>
        <v>11680.390123482741</v>
      </c>
      <c r="AD32" s="91">
        <f t="shared" si="336"/>
        <v>18640.995670549841</v>
      </c>
      <c r="AE32" s="91">
        <f t="shared" si="336"/>
        <v>18076.926513957824</v>
      </c>
      <c r="AF32" s="91">
        <f t="shared" si="336"/>
        <v>11460.448357268193</v>
      </c>
      <c r="AG32" s="91">
        <f t="shared" si="336"/>
        <v>11657.029343235776</v>
      </c>
      <c r="AH32" s="91">
        <f t="shared" si="336"/>
        <v>18603.713679208744</v>
      </c>
      <c r="AI32" s="91">
        <f t="shared" si="336"/>
        <v>18040.77266092991</v>
      </c>
      <c r="AJ32" s="91">
        <f t="shared" si="336"/>
        <v>11437.527460553658</v>
      </c>
      <c r="AK32" s="91">
        <f t="shared" si="336"/>
        <v>11633.715284549307</v>
      </c>
      <c r="AL32" s="91">
        <f t="shared" si="336"/>
        <v>18566.506251850329</v>
      </c>
      <c r="AM32" s="91">
        <f t="shared" si="336"/>
        <v>18004.691115608053</v>
      </c>
      <c r="AN32" s="91">
        <f t="shared" si="336"/>
        <v>11414.652405632552</v>
      </c>
      <c r="AO32" s="91">
        <f t="shared" si="336"/>
        <v>11610.447853980209</v>
      </c>
      <c r="AP32" s="91">
        <f t="shared" si="336"/>
        <v>18529.373239346631</v>
      </c>
      <c r="AQ32" s="91">
        <f t="shared" si="336"/>
        <v>17968.681733376841</v>
      </c>
      <c r="AR32" s="91">
        <f t="shared" si="336"/>
        <v>11391.823100821288</v>
      </c>
      <c r="AS32" s="91">
        <f t="shared" si="336"/>
        <v>11587.226958272251</v>
      </c>
      <c r="AT32" s="91">
        <f t="shared" si="336"/>
        <v>18492.314492867943</v>
      </c>
      <c r="AU32" s="91">
        <f t="shared" si="336"/>
        <v>17932.744369910088</v>
      </c>
      <c r="AV32" s="91">
        <f t="shared" si="336"/>
        <v>11369.039454619648</v>
      </c>
      <c r="AW32" s="91">
        <f t="shared" si="336"/>
        <v>11564.052504355708</v>
      </c>
      <c r="AX32" s="91">
        <f t="shared" si="336"/>
        <v>18455.329863882205</v>
      </c>
      <c r="AY32" s="91">
        <f t="shared" si="336"/>
        <v>17896.878881170269</v>
      </c>
      <c r="AZ32" s="91">
        <f t="shared" si="336"/>
        <v>11346.301375710409</v>
      </c>
      <c r="BA32" s="91">
        <f t="shared" si="336"/>
        <v>11540.924399346997</v>
      </c>
      <c r="BB32" s="91">
        <f t="shared" si="336"/>
        <v>18418.419204154445</v>
      </c>
      <c r="BC32" s="91">
        <f t="shared" si="336"/>
        <v>17861.085123407931</v>
      </c>
      <c r="BD32" s="91">
        <f t="shared" si="336"/>
        <v>11323.608772958987</v>
      </c>
      <c r="BE32" s="91">
        <f t="shared" si="336"/>
        <v>11517.842550548305</v>
      </c>
      <c r="BF32" s="91">
        <f t="shared" si="336"/>
        <v>18381.582365746137</v>
      </c>
      <c r="BG32" s="91">
        <f t="shared" si="336"/>
        <v>17825.362953161115</v>
      </c>
      <c r="BH32" s="91">
        <f t="shared" si="336"/>
        <v>11300.961555413071</v>
      </c>
      <c r="BI32" s="91">
        <f t="shared" si="336"/>
        <v>11494.806865447208</v>
      </c>
      <c r="BJ32" s="91">
        <f t="shared" si="336"/>
        <v>18344.819201014645</v>
      </c>
      <c r="BK32" s="91">
        <f t="shared" si="336"/>
        <v>17789.712227254793</v>
      </c>
      <c r="BL32" s="91">
        <f t="shared" si="336"/>
        <v>11278.359632302247</v>
      </c>
      <c r="BM32" s="91">
        <f t="shared" si="336"/>
        <v>11471.817251716315</v>
      </c>
      <c r="BN32" s="91">
        <f t="shared" si="336"/>
        <v>18308.129562612616</v>
      </c>
      <c r="BO32" s="91">
        <f t="shared" si="336"/>
        <v>17754.13280280029</v>
      </c>
      <c r="BP32" s="91">
        <f t="shared" si="336"/>
        <v>11255.802913037644</v>
      </c>
      <c r="BQ32" s="91">
        <f t="shared" si="336"/>
        <v>11448.873617212883</v>
      </c>
      <c r="BR32" s="91">
        <f t="shared" si="336"/>
        <v>18271.513303487394</v>
      </c>
      <c r="BS32" s="91">
        <f t="shared" si="336"/>
        <v>17718.62453719469</v>
      </c>
      <c r="BT32" s="91">
        <f t="shared" ref="BT32:EE32" si="337">BT31*BT23</f>
        <v>11233.29130721157</v>
      </c>
      <c r="BU32" s="91">
        <f t="shared" si="337"/>
        <v>11425.97586997846</v>
      </c>
      <c r="BV32" s="91">
        <f t="shared" si="337"/>
        <v>18234.970276880424</v>
      </c>
      <c r="BW32" s="91">
        <f t="shared" si="337"/>
        <v>17683.187288120302</v>
      </c>
      <c r="BX32" s="91">
        <f t="shared" si="337"/>
        <v>11210.824724597149</v>
      </c>
      <c r="BY32" s="91">
        <f t="shared" si="337"/>
        <v>11403.123918238505</v>
      </c>
      <c r="BZ32" s="91">
        <f t="shared" si="337"/>
        <v>18198.500336326666</v>
      </c>
      <c r="CA32" s="91">
        <f t="shared" si="337"/>
        <v>17647.820913544063</v>
      </c>
      <c r="CB32" s="91">
        <f t="shared" si="337"/>
        <v>11188.403075147955</v>
      </c>
      <c r="CC32" s="91">
        <f t="shared" si="337"/>
        <v>11380.317670402028</v>
      </c>
      <c r="CD32" s="91">
        <f t="shared" si="337"/>
        <v>18162.10333565401</v>
      </c>
      <c r="CE32" s="91">
        <f t="shared" si="337"/>
        <v>17612.525271716979</v>
      </c>
      <c r="CF32" s="91">
        <f t="shared" si="337"/>
        <v>11166.026268997659</v>
      </c>
      <c r="CG32" s="91">
        <f t="shared" si="337"/>
        <v>11357.557035061225</v>
      </c>
      <c r="CH32" s="91">
        <f t="shared" si="337"/>
        <v>18125.779128982704</v>
      </c>
      <c r="CI32" s="91">
        <f t="shared" si="337"/>
        <v>17577.300221173544</v>
      </c>
      <c r="CJ32" s="91">
        <f t="shared" si="337"/>
        <v>11143.694216459664</v>
      </c>
      <c r="CK32" s="91">
        <f t="shared" si="337"/>
        <v>11334.841920991103</v>
      </c>
      <c r="CL32" s="91">
        <f t="shared" si="337"/>
        <v>18089.527570724738</v>
      </c>
      <c r="CM32" s="91">
        <f t="shared" si="337"/>
        <v>17542.145620731197</v>
      </c>
      <c r="CN32" s="91">
        <f t="shared" si="337"/>
        <v>11121.406828026746</v>
      </c>
      <c r="CO32" s="91">
        <f t="shared" si="337"/>
        <v>11312.172237149121</v>
      </c>
      <c r="CP32" s="91">
        <f t="shared" si="337"/>
        <v>18053.348515583293</v>
      </c>
      <c r="CQ32" s="91">
        <f t="shared" si="337"/>
        <v>17507.061329489738</v>
      </c>
      <c r="CR32" s="91">
        <f t="shared" si="337"/>
        <v>11099.164014370694</v>
      </c>
      <c r="CS32" s="91">
        <f t="shared" si="337"/>
        <v>11289.547892674824</v>
      </c>
      <c r="CT32" s="91">
        <f t="shared" si="337"/>
        <v>18017.241818552127</v>
      </c>
      <c r="CU32" s="248">
        <f t="shared" si="337"/>
        <v>17472.047206830761</v>
      </c>
      <c r="CV32" s="91">
        <f t="shared" si="337"/>
        <v>11076.965686341953</v>
      </c>
      <c r="CW32" s="91">
        <f t="shared" si="337"/>
        <v>11266.968796889476</v>
      </c>
      <c r="CX32" s="91">
        <f t="shared" si="337"/>
        <v>17981.207334915023</v>
      </c>
      <c r="CY32" s="91">
        <f t="shared" si="337"/>
        <v>17437.103112417099</v>
      </c>
      <c r="CZ32" s="91">
        <f t="shared" si="337"/>
        <v>11054.811754969271</v>
      </c>
      <c r="DA32" s="91">
        <f t="shared" si="337"/>
        <v>11244.434859295698</v>
      </c>
      <c r="DB32" s="91">
        <f t="shared" si="337"/>
        <v>17945.244920245197</v>
      </c>
      <c r="DC32" s="91">
        <f t="shared" si="337"/>
        <v>17402.228906192267</v>
      </c>
      <c r="DD32" s="91">
        <f t="shared" si="337"/>
        <v>11032.702131459333</v>
      </c>
      <c r="DE32" s="91">
        <f t="shared" si="337"/>
        <v>11221.945989577107</v>
      </c>
      <c r="DF32" s="91">
        <f t="shared" si="337"/>
        <v>17909.354430404706</v>
      </c>
      <c r="DG32" s="91">
        <f t="shared" si="337"/>
        <v>17367.424448379883</v>
      </c>
      <c r="DH32" s="91">
        <f t="shared" si="337"/>
        <v>11010.636727196415</v>
      </c>
      <c r="DI32" s="91">
        <f t="shared" si="337"/>
        <v>11199.502097597955</v>
      </c>
      <c r="DJ32" s="91">
        <f t="shared" si="337"/>
        <v>17873.5357215439</v>
      </c>
      <c r="DK32" s="91">
        <f t="shared" si="337"/>
        <v>17332.689599483125</v>
      </c>
      <c r="DL32" s="91">
        <f t="shared" si="337"/>
        <v>10988.615453742024</v>
      </c>
      <c r="DM32" s="91">
        <f t="shared" si="337"/>
        <v>11177.10309340276</v>
      </c>
      <c r="DN32" s="91">
        <f t="shared" si="337"/>
        <v>17837.788650100814</v>
      </c>
      <c r="DO32" s="91">
        <f t="shared" si="337"/>
        <v>17298.024220284162</v>
      </c>
      <c r="DP32" s="91">
        <f t="shared" si="337"/>
        <v>10966.638222834541</v>
      </c>
      <c r="DQ32" s="91">
        <f t="shared" si="337"/>
        <v>11154.748887215956</v>
      </c>
      <c r="DR32" s="91">
        <f t="shared" si="337"/>
        <v>17802.113072800614</v>
      </c>
      <c r="DS32" s="91">
        <f t="shared" si="337"/>
        <v>17263.428171843596</v>
      </c>
      <c r="DT32" s="91">
        <f t="shared" si="337"/>
        <v>10944.704946388872</v>
      </c>
      <c r="DU32" s="91">
        <f t="shared" si="337"/>
        <v>11132.439389441524</v>
      </c>
      <c r="DV32" s="91">
        <f t="shared" si="337"/>
        <v>17766.508846655015</v>
      </c>
      <c r="DW32" s="91">
        <f t="shared" si="337"/>
        <v>17228.901315499908</v>
      </c>
      <c r="DX32" s="91">
        <f t="shared" si="337"/>
        <v>10922.815536496097</v>
      </c>
      <c r="DY32" s="91">
        <f t="shared" si="337"/>
        <v>11110.174510662644</v>
      </c>
      <c r="DZ32" s="91">
        <f t="shared" si="337"/>
        <v>17730.975828961709</v>
      </c>
      <c r="EA32" s="91">
        <f t="shared" si="337"/>
        <v>17194.443512868915</v>
      </c>
      <c r="EB32" s="91">
        <f t="shared" si="337"/>
        <v>10900.969905423106</v>
      </c>
      <c r="EC32" s="91">
        <f t="shared" si="337"/>
        <v>11087.954161641319</v>
      </c>
      <c r="ED32" s="91">
        <f t="shared" si="337"/>
        <v>17695.513877303787</v>
      </c>
      <c r="EE32" s="91">
        <f t="shared" si="337"/>
        <v>17160.054625843175</v>
      </c>
      <c r="EF32" s="91">
        <f t="shared" ref="EF32:FA32" si="338">EF31*EF23</f>
        <v>10879.16796561226</v>
      </c>
      <c r="EG32" s="91">
        <f t="shared" si="338"/>
        <v>11065.778253318038</v>
      </c>
      <c r="EH32" s="91">
        <f t="shared" si="338"/>
        <v>17660.122849549178</v>
      </c>
      <c r="EI32" s="91">
        <f t="shared" si="338"/>
        <v>17125.734516591492</v>
      </c>
      <c r="EJ32" s="91">
        <f t="shared" si="338"/>
        <v>0</v>
      </c>
      <c r="EK32" s="91">
        <f t="shared" si="338"/>
        <v>0</v>
      </c>
      <c r="EL32" s="91">
        <f t="shared" si="338"/>
        <v>0</v>
      </c>
      <c r="EM32" s="91">
        <f t="shared" si="338"/>
        <v>0</v>
      </c>
      <c r="EN32" s="91">
        <f t="shared" si="338"/>
        <v>0</v>
      </c>
      <c r="EO32" s="91">
        <f t="shared" si="338"/>
        <v>0</v>
      </c>
      <c r="EP32" s="91">
        <f t="shared" si="338"/>
        <v>0</v>
      </c>
      <c r="EQ32" s="91">
        <f t="shared" si="338"/>
        <v>0</v>
      </c>
      <c r="ER32" s="91">
        <f t="shared" si="338"/>
        <v>0</v>
      </c>
      <c r="ES32" s="91">
        <f t="shared" si="338"/>
        <v>0</v>
      </c>
      <c r="ET32" s="91">
        <f t="shared" si="338"/>
        <v>0</v>
      </c>
      <c r="EU32" s="91">
        <f t="shared" si="338"/>
        <v>0</v>
      </c>
      <c r="EV32" s="91">
        <f t="shared" si="338"/>
        <v>0</v>
      </c>
      <c r="EW32" s="91">
        <f t="shared" si="338"/>
        <v>0</v>
      </c>
      <c r="EX32" s="91">
        <f t="shared" si="338"/>
        <v>0</v>
      </c>
      <c r="EY32" s="91">
        <f t="shared" si="338"/>
        <v>0</v>
      </c>
      <c r="EZ32" s="91">
        <f t="shared" si="338"/>
        <v>0</v>
      </c>
      <c r="FA32" s="91">
        <f t="shared" si="338"/>
        <v>0</v>
      </c>
    </row>
    <row r="33" spans="2:157" ht="15.5" customHeight="1" outlineLevel="1" x14ac:dyDescent="0.2">
      <c r="B33" s="1"/>
      <c r="C33" s="30" t="s">
        <v>323</v>
      </c>
      <c r="D33" s="22" t="s">
        <v>100</v>
      </c>
      <c r="E33" s="62"/>
      <c r="F33" s="22"/>
      <c r="G33" s="91">
        <f>G32*(1-G27)</f>
        <v>18131.245417857732</v>
      </c>
      <c r="H33" s="91">
        <f t="shared" ref="H33:BS33" si="339">H32*(1-H27)</f>
        <v>11500.640209491403</v>
      </c>
      <c r="I33" s="91">
        <f t="shared" si="339"/>
        <v>11703.766883484885</v>
      </c>
      <c r="J33" s="91">
        <f t="shared" si="339"/>
        <v>18687.654007400459</v>
      </c>
      <c r="K33" s="91">
        <f t="shared" si="339"/>
        <v>18131.245417857732</v>
      </c>
      <c r="L33" s="91">
        <f t="shared" si="339"/>
        <v>11500.640209491403</v>
      </c>
      <c r="M33" s="91">
        <f t="shared" si="339"/>
        <v>11703.766883484885</v>
      </c>
      <c r="N33" s="91">
        <f t="shared" si="339"/>
        <v>18687.654007400459</v>
      </c>
      <c r="O33" s="91">
        <f t="shared" si="339"/>
        <v>18131.245417857732</v>
      </c>
      <c r="P33" s="91">
        <f t="shared" si="339"/>
        <v>11500.640209491403</v>
      </c>
      <c r="Q33" s="91">
        <f t="shared" si="339"/>
        <v>11703.766883484885</v>
      </c>
      <c r="R33" s="91">
        <f t="shared" si="339"/>
        <v>18687.654007400459</v>
      </c>
      <c r="S33" s="91">
        <f t="shared" si="339"/>
        <v>18122.172987988426</v>
      </c>
      <c r="T33" s="91">
        <f t="shared" si="339"/>
        <v>11489.133813204289</v>
      </c>
      <c r="U33" s="91">
        <f t="shared" si="339"/>
        <v>11686.20684058553</v>
      </c>
      <c r="V33" s="91">
        <f t="shared" si="339"/>
        <v>18650.278699385661</v>
      </c>
      <c r="W33" s="91">
        <f t="shared" si="339"/>
        <v>18085.928642012452</v>
      </c>
      <c r="X33" s="91">
        <f t="shared" si="339"/>
        <v>11466.155545577882</v>
      </c>
      <c r="Y33" s="91">
        <f t="shared" si="339"/>
        <v>11662.834426904359</v>
      </c>
      <c r="Z33" s="91">
        <f t="shared" si="339"/>
        <v>18612.978141986892</v>
      </c>
      <c r="AA33" s="91">
        <f t="shared" si="339"/>
        <v>18049.75678472843</v>
      </c>
      <c r="AB33" s="91">
        <f t="shared" si="339"/>
        <v>11443.223234486726</v>
      </c>
      <c r="AC33" s="91">
        <f t="shared" si="339"/>
        <v>11639.508758050551</v>
      </c>
      <c r="AD33" s="91">
        <f t="shared" si="339"/>
        <v>18575.752185702917</v>
      </c>
      <c r="AE33" s="91">
        <f t="shared" si="339"/>
        <v>18013.657271158972</v>
      </c>
      <c r="AF33" s="91">
        <f t="shared" si="339"/>
        <v>11420.336788017756</v>
      </c>
      <c r="AG33" s="91">
        <f t="shared" si="339"/>
        <v>11616.229740534451</v>
      </c>
      <c r="AH33" s="91">
        <f t="shared" si="339"/>
        <v>18538.600681331514</v>
      </c>
      <c r="AI33" s="91">
        <f t="shared" si="339"/>
        <v>17977.629956616656</v>
      </c>
      <c r="AJ33" s="91">
        <f t="shared" si="339"/>
        <v>11397.496114441721</v>
      </c>
      <c r="AK33" s="91">
        <f t="shared" si="339"/>
        <v>11592.997281053385</v>
      </c>
      <c r="AL33" s="91">
        <f t="shared" si="339"/>
        <v>18501.523479968855</v>
      </c>
      <c r="AM33" s="91">
        <f t="shared" si="339"/>
        <v>17941.674696703427</v>
      </c>
      <c r="AN33" s="91">
        <f t="shared" si="339"/>
        <v>11374.701122212839</v>
      </c>
      <c r="AO33" s="91">
        <f t="shared" si="339"/>
        <v>11569.81128649128</v>
      </c>
      <c r="AP33" s="91">
        <f t="shared" si="339"/>
        <v>18464.520433008918</v>
      </c>
      <c r="AQ33" s="91">
        <f t="shared" si="339"/>
        <v>17788.994916043073</v>
      </c>
      <c r="AR33" s="91">
        <f t="shared" si="339"/>
        <v>11277.904869813075</v>
      </c>
      <c r="AS33" s="91">
        <f t="shared" si="339"/>
        <v>11471.354688689529</v>
      </c>
      <c r="AT33" s="91">
        <f t="shared" si="339"/>
        <v>18307.391347939265</v>
      </c>
      <c r="AU33" s="91">
        <f t="shared" si="339"/>
        <v>17753.416926210986</v>
      </c>
      <c r="AV33" s="91">
        <f t="shared" si="339"/>
        <v>11255.349060073451</v>
      </c>
      <c r="AW33" s="91">
        <f t="shared" si="339"/>
        <v>11448.411979312152</v>
      </c>
      <c r="AX33" s="91">
        <f t="shared" si="339"/>
        <v>18270.776565243385</v>
      </c>
      <c r="AY33" s="91">
        <f t="shared" si="339"/>
        <v>17717.910092358565</v>
      </c>
      <c r="AZ33" s="91">
        <f t="shared" si="339"/>
        <v>11232.838361953305</v>
      </c>
      <c r="BA33" s="91">
        <f t="shared" si="339"/>
        <v>11425.515155353527</v>
      </c>
      <c r="BB33" s="91">
        <f t="shared" si="339"/>
        <v>18234.235012112898</v>
      </c>
      <c r="BC33" s="91">
        <f t="shared" si="339"/>
        <v>17682.474272173851</v>
      </c>
      <c r="BD33" s="91">
        <f t="shared" si="339"/>
        <v>11210.372685229397</v>
      </c>
      <c r="BE33" s="91">
        <f t="shared" si="339"/>
        <v>11402.664125042822</v>
      </c>
      <c r="BF33" s="91">
        <f t="shared" si="339"/>
        <v>18197.766542088677</v>
      </c>
      <c r="BG33" s="91">
        <f t="shared" si="339"/>
        <v>17647.109323629502</v>
      </c>
      <c r="BH33" s="91">
        <f t="shared" si="339"/>
        <v>11187.95193985894</v>
      </c>
      <c r="BI33" s="91">
        <f t="shared" si="339"/>
        <v>11379.858796792736</v>
      </c>
      <c r="BJ33" s="91">
        <f t="shared" si="339"/>
        <v>18161.371009004499</v>
      </c>
      <c r="BK33" s="91">
        <f t="shared" si="339"/>
        <v>17611.815104982245</v>
      </c>
      <c r="BL33" s="91">
        <f t="shared" si="339"/>
        <v>11165.576035979224</v>
      </c>
      <c r="BM33" s="91">
        <f t="shared" si="339"/>
        <v>11357.099079199152</v>
      </c>
      <c r="BN33" s="91">
        <f t="shared" si="339"/>
        <v>18125.04826698649</v>
      </c>
      <c r="BO33" s="91">
        <f t="shared" si="339"/>
        <v>17576.591474772285</v>
      </c>
      <c r="BP33" s="91">
        <f t="shared" si="339"/>
        <v>11143.244883907268</v>
      </c>
      <c r="BQ33" s="91">
        <f t="shared" si="339"/>
        <v>11334.384881040754</v>
      </c>
      <c r="BR33" s="91">
        <f t="shared" si="339"/>
        <v>18088.798170452519</v>
      </c>
      <c r="BS33" s="91">
        <f t="shared" si="339"/>
        <v>17541.438291822742</v>
      </c>
      <c r="BT33" s="91">
        <f t="shared" ref="BT33:EE33" si="340">BT32*(1-BT27)</f>
        <v>11120.958394139454</v>
      </c>
      <c r="BU33" s="91">
        <f t="shared" si="340"/>
        <v>11311.716111278674</v>
      </c>
      <c r="BV33" s="91">
        <f t="shared" si="340"/>
        <v>18052.620574111621</v>
      </c>
      <c r="BW33" s="91">
        <f t="shared" si="340"/>
        <v>17506.355415239097</v>
      </c>
      <c r="BX33" s="91">
        <f t="shared" si="340"/>
        <v>11098.716477351178</v>
      </c>
      <c r="BY33" s="91">
        <f t="shared" si="340"/>
        <v>11289.092679056121</v>
      </c>
      <c r="BZ33" s="91">
        <f t="shared" si="340"/>
        <v>18016.515332963398</v>
      </c>
      <c r="CA33" s="91">
        <f t="shared" si="340"/>
        <v>17471.342704408624</v>
      </c>
      <c r="CB33" s="91">
        <f t="shared" si="340"/>
        <v>11076.519044396475</v>
      </c>
      <c r="CC33" s="91">
        <f t="shared" si="340"/>
        <v>11266.514493698007</v>
      </c>
      <c r="CD33" s="91">
        <f t="shared" si="340"/>
        <v>17980.482302297471</v>
      </c>
      <c r="CE33" s="91">
        <f t="shared" si="340"/>
        <v>17348.337392641224</v>
      </c>
      <c r="CF33" s="91">
        <f t="shared" si="340"/>
        <v>10998.535874962694</v>
      </c>
      <c r="CG33" s="91">
        <f t="shared" si="340"/>
        <v>11187.193679535307</v>
      </c>
      <c r="CH33" s="91">
        <f t="shared" si="340"/>
        <v>17853.892442047963</v>
      </c>
      <c r="CI33" s="91">
        <f t="shared" si="340"/>
        <v>17313.640717855942</v>
      </c>
      <c r="CJ33" s="91">
        <f t="shared" si="340"/>
        <v>10976.538803212768</v>
      </c>
      <c r="CK33" s="91">
        <f t="shared" si="340"/>
        <v>11164.819292176237</v>
      </c>
      <c r="CL33" s="91">
        <f t="shared" si="340"/>
        <v>17818.184657163867</v>
      </c>
      <c r="CM33" s="91">
        <f t="shared" si="340"/>
        <v>17279.013436420228</v>
      </c>
      <c r="CN33" s="91">
        <f t="shared" si="340"/>
        <v>10954.585725606345</v>
      </c>
      <c r="CO33" s="91">
        <f t="shared" si="340"/>
        <v>11142.489653591885</v>
      </c>
      <c r="CP33" s="91">
        <f t="shared" si="340"/>
        <v>17782.548287849542</v>
      </c>
      <c r="CQ33" s="91">
        <f t="shared" si="340"/>
        <v>17244.45540954739</v>
      </c>
      <c r="CR33" s="91">
        <f t="shared" si="340"/>
        <v>10932.676554155132</v>
      </c>
      <c r="CS33" s="91">
        <f t="shared" si="340"/>
        <v>11120.204674284701</v>
      </c>
      <c r="CT33" s="91">
        <f t="shared" si="340"/>
        <v>17746.983191273845</v>
      </c>
      <c r="CU33" s="248">
        <f t="shared" si="340"/>
        <v>17209.966498728299</v>
      </c>
      <c r="CV33" s="91">
        <f t="shared" si="340"/>
        <v>10910.811201046823</v>
      </c>
      <c r="CW33" s="91">
        <f t="shared" si="340"/>
        <v>11097.964264936134</v>
      </c>
      <c r="CX33" s="91">
        <f t="shared" si="340"/>
        <v>17711.489224891298</v>
      </c>
      <c r="CY33" s="91">
        <f t="shared" si="340"/>
        <v>17175.546565730841</v>
      </c>
      <c r="CZ33" s="91">
        <f t="shared" si="340"/>
        <v>10888.989578644732</v>
      </c>
      <c r="DA33" s="91">
        <f t="shared" si="340"/>
        <v>11075.768336406261</v>
      </c>
      <c r="DB33" s="91">
        <f t="shared" si="340"/>
        <v>17676.066246441518</v>
      </c>
      <c r="DC33" s="91">
        <f t="shared" si="340"/>
        <v>17141.195472599382</v>
      </c>
      <c r="DD33" s="91">
        <f t="shared" si="340"/>
        <v>10867.211599487442</v>
      </c>
      <c r="DE33" s="91">
        <f t="shared" si="340"/>
        <v>11053.616799733451</v>
      </c>
      <c r="DF33" s="91">
        <f t="shared" si="340"/>
        <v>17640.714113948634</v>
      </c>
      <c r="DG33" s="91">
        <f t="shared" si="340"/>
        <v>17106.913081654184</v>
      </c>
      <c r="DH33" s="91">
        <f t="shared" si="340"/>
        <v>10845.477176288468</v>
      </c>
      <c r="DI33" s="91">
        <f t="shared" si="340"/>
        <v>11031.509566133986</v>
      </c>
      <c r="DJ33" s="91">
        <f t="shared" si="340"/>
        <v>17605.432685720742</v>
      </c>
      <c r="DK33" s="91">
        <f t="shared" si="340"/>
        <v>17072.699255490879</v>
      </c>
      <c r="DL33" s="91">
        <f t="shared" si="340"/>
        <v>10823.786221935894</v>
      </c>
      <c r="DM33" s="91">
        <f t="shared" si="340"/>
        <v>11009.446547001718</v>
      </c>
      <c r="DN33" s="91">
        <f t="shared" si="340"/>
        <v>17570.221820349303</v>
      </c>
      <c r="DO33" s="91">
        <f t="shared" si="340"/>
        <v>17038.553856979899</v>
      </c>
      <c r="DP33" s="91">
        <f t="shared" si="340"/>
        <v>10802.138649492023</v>
      </c>
      <c r="DQ33" s="91">
        <f t="shared" si="340"/>
        <v>10987.427653907716</v>
      </c>
      <c r="DR33" s="91">
        <f t="shared" si="340"/>
        <v>17535.081376708604</v>
      </c>
      <c r="DS33" s="91">
        <f t="shared" si="340"/>
        <v>17004.476749265941</v>
      </c>
      <c r="DT33" s="91">
        <f t="shared" si="340"/>
        <v>10780.534372193039</v>
      </c>
      <c r="DU33" s="91">
        <f t="shared" si="340"/>
        <v>10965.452798599901</v>
      </c>
      <c r="DV33" s="91">
        <f t="shared" si="340"/>
        <v>17500.011213955189</v>
      </c>
      <c r="DW33" s="91">
        <f t="shared" si="340"/>
        <v>16970.46779576741</v>
      </c>
      <c r="DX33" s="91">
        <f t="shared" si="340"/>
        <v>10758.973303448654</v>
      </c>
      <c r="DY33" s="91">
        <f t="shared" si="340"/>
        <v>10943.521893002704</v>
      </c>
      <c r="DZ33" s="91">
        <f t="shared" si="340"/>
        <v>17465.011191527283</v>
      </c>
      <c r="EA33" s="91">
        <f t="shared" si="340"/>
        <v>16936.52686017588</v>
      </c>
      <c r="EB33" s="91">
        <f t="shared" si="340"/>
        <v>10737.45535684176</v>
      </c>
      <c r="EC33" s="91">
        <f t="shared" si="340"/>
        <v>10921.6348492167</v>
      </c>
      <c r="ED33" s="91">
        <f t="shared" si="340"/>
        <v>17430.081169144229</v>
      </c>
      <c r="EE33" s="91">
        <f t="shared" si="340"/>
        <v>16902.653806455528</v>
      </c>
      <c r="EF33" s="91">
        <f t="shared" ref="EF33:FA33" si="341">EF32*(1-EF27)</f>
        <v>10715.980446128076</v>
      </c>
      <c r="EG33" s="91">
        <f t="shared" si="341"/>
        <v>10899.791579518267</v>
      </c>
      <c r="EH33" s="91">
        <f t="shared" si="341"/>
        <v>17395.221006805939</v>
      </c>
      <c r="EI33" s="91">
        <f t="shared" si="341"/>
        <v>16868.848498842621</v>
      </c>
      <c r="EJ33" s="91">
        <f t="shared" si="341"/>
        <v>0</v>
      </c>
      <c r="EK33" s="91">
        <f t="shared" si="341"/>
        <v>0</v>
      </c>
      <c r="EL33" s="91">
        <f t="shared" si="341"/>
        <v>0</v>
      </c>
      <c r="EM33" s="91">
        <f t="shared" si="341"/>
        <v>0</v>
      </c>
      <c r="EN33" s="91">
        <f t="shared" si="341"/>
        <v>0</v>
      </c>
      <c r="EO33" s="91">
        <f t="shared" si="341"/>
        <v>0</v>
      </c>
      <c r="EP33" s="91">
        <f t="shared" si="341"/>
        <v>0</v>
      </c>
      <c r="EQ33" s="91">
        <f t="shared" si="341"/>
        <v>0</v>
      </c>
      <c r="ER33" s="91">
        <f t="shared" si="341"/>
        <v>0</v>
      </c>
      <c r="ES33" s="91">
        <f t="shared" si="341"/>
        <v>0</v>
      </c>
      <c r="ET33" s="91">
        <f t="shared" si="341"/>
        <v>0</v>
      </c>
      <c r="EU33" s="91">
        <f t="shared" si="341"/>
        <v>0</v>
      </c>
      <c r="EV33" s="91">
        <f t="shared" si="341"/>
        <v>0</v>
      </c>
      <c r="EW33" s="91">
        <f t="shared" si="341"/>
        <v>0</v>
      </c>
      <c r="EX33" s="91">
        <f t="shared" si="341"/>
        <v>0</v>
      </c>
      <c r="EY33" s="91">
        <f t="shared" si="341"/>
        <v>0</v>
      </c>
      <c r="EZ33" s="91">
        <f t="shared" si="341"/>
        <v>0</v>
      </c>
      <c r="FA33" s="91">
        <f t="shared" si="341"/>
        <v>0</v>
      </c>
    </row>
    <row r="34" spans="2:157" ht="15.5" customHeight="1" outlineLevel="1" x14ac:dyDescent="0.2">
      <c r="B34" s="1"/>
      <c r="C34" s="30" t="s">
        <v>338</v>
      </c>
      <c r="D34" s="22" t="s">
        <v>100</v>
      </c>
      <c r="E34" s="62"/>
      <c r="F34" s="22"/>
      <c r="G34" s="91">
        <f>G33*(1-G28)</f>
        <v>17677.964282411289</v>
      </c>
      <c r="H34" s="91">
        <f t="shared" ref="H34:BS34" si="342">H33*(1-H28)</f>
        <v>11213.124204254118</v>
      </c>
      <c r="I34" s="91">
        <f t="shared" si="342"/>
        <v>11411.172711397763</v>
      </c>
      <c r="J34" s="91">
        <f t="shared" si="342"/>
        <v>18220.462657215448</v>
      </c>
      <c r="K34" s="91">
        <f t="shared" si="342"/>
        <v>17677.964282411289</v>
      </c>
      <c r="L34" s="91">
        <f t="shared" si="342"/>
        <v>11213.124204254118</v>
      </c>
      <c r="M34" s="91">
        <f t="shared" si="342"/>
        <v>11411.172711397763</v>
      </c>
      <c r="N34" s="91">
        <f t="shared" si="342"/>
        <v>18220.462657215448</v>
      </c>
      <c r="O34" s="91">
        <f t="shared" si="342"/>
        <v>17677.964282411289</v>
      </c>
      <c r="P34" s="91">
        <f t="shared" si="342"/>
        <v>11213.124204254118</v>
      </c>
      <c r="Q34" s="91">
        <f t="shared" si="342"/>
        <v>11411.172711397763</v>
      </c>
      <c r="R34" s="91">
        <f t="shared" si="342"/>
        <v>18220.462657215448</v>
      </c>
      <c r="S34" s="91">
        <f t="shared" si="342"/>
        <v>17669.118663288715</v>
      </c>
      <c r="T34" s="91">
        <f t="shared" si="342"/>
        <v>11201.905467874181</v>
      </c>
      <c r="U34" s="91">
        <f t="shared" si="342"/>
        <v>11394.051669570892</v>
      </c>
      <c r="V34" s="91">
        <f t="shared" si="342"/>
        <v>18184.021731901019</v>
      </c>
      <c r="W34" s="91">
        <f t="shared" si="342"/>
        <v>17633.780425962141</v>
      </c>
      <c r="X34" s="91">
        <f t="shared" si="342"/>
        <v>11179.501656938435</v>
      </c>
      <c r="Y34" s="91">
        <f t="shared" si="342"/>
        <v>11371.26356623175</v>
      </c>
      <c r="Z34" s="91">
        <f t="shared" si="342"/>
        <v>18147.653688437218</v>
      </c>
      <c r="AA34" s="91">
        <f t="shared" si="342"/>
        <v>17598.51286511022</v>
      </c>
      <c r="AB34" s="91">
        <f t="shared" si="342"/>
        <v>11157.142653624558</v>
      </c>
      <c r="AC34" s="91">
        <f t="shared" si="342"/>
        <v>11348.521039099287</v>
      </c>
      <c r="AD34" s="91">
        <f t="shared" si="342"/>
        <v>18111.358381060345</v>
      </c>
      <c r="AE34" s="91">
        <f t="shared" si="342"/>
        <v>17563.315839379997</v>
      </c>
      <c r="AF34" s="91">
        <f t="shared" si="342"/>
        <v>11134.828368317312</v>
      </c>
      <c r="AG34" s="91">
        <f t="shared" si="342"/>
        <v>11325.823997021089</v>
      </c>
      <c r="AH34" s="91">
        <f t="shared" si="342"/>
        <v>18075.135664298225</v>
      </c>
      <c r="AI34" s="91">
        <f t="shared" si="342"/>
        <v>17348.412908135073</v>
      </c>
      <c r="AJ34" s="91">
        <f t="shared" si="342"/>
        <v>10998.583750436261</v>
      </c>
      <c r="AK34" s="91">
        <f t="shared" si="342"/>
        <v>11187.242376216516</v>
      </c>
      <c r="AL34" s="91">
        <f t="shared" si="342"/>
        <v>17853.970158169945</v>
      </c>
      <c r="AM34" s="91">
        <f t="shared" si="342"/>
        <v>17313.716082318806</v>
      </c>
      <c r="AN34" s="91">
        <f t="shared" si="342"/>
        <v>10976.586582935388</v>
      </c>
      <c r="AO34" s="91">
        <f t="shared" si="342"/>
        <v>11164.867891464084</v>
      </c>
      <c r="AP34" s="91">
        <f t="shared" si="342"/>
        <v>17818.262217853604</v>
      </c>
      <c r="AQ34" s="91">
        <f t="shared" si="342"/>
        <v>17166.380093981566</v>
      </c>
      <c r="AR34" s="91">
        <f t="shared" si="342"/>
        <v>10883.178199369617</v>
      </c>
      <c r="AS34" s="91">
        <f t="shared" si="342"/>
        <v>11069.857274585396</v>
      </c>
      <c r="AT34" s="91">
        <f t="shared" si="342"/>
        <v>17666.632650761389</v>
      </c>
      <c r="AU34" s="91">
        <f t="shared" si="342"/>
        <v>17132.047333793602</v>
      </c>
      <c r="AV34" s="91">
        <f t="shared" si="342"/>
        <v>10861.41184297088</v>
      </c>
      <c r="AW34" s="91">
        <f t="shared" si="342"/>
        <v>11047.717560036226</v>
      </c>
      <c r="AX34" s="91">
        <f t="shared" si="342"/>
        <v>17631.299385459864</v>
      </c>
      <c r="AY34" s="91">
        <f t="shared" si="342"/>
        <v>17097.783239126013</v>
      </c>
      <c r="AZ34" s="91">
        <f t="shared" si="342"/>
        <v>10839.689019284939</v>
      </c>
      <c r="BA34" s="91">
        <f t="shared" si="342"/>
        <v>11025.622124916154</v>
      </c>
      <c r="BB34" s="91">
        <f t="shared" si="342"/>
        <v>17596.036786688946</v>
      </c>
      <c r="BC34" s="91">
        <f t="shared" si="342"/>
        <v>16798.350558565158</v>
      </c>
      <c r="BD34" s="91">
        <f t="shared" si="342"/>
        <v>10649.854050967926</v>
      </c>
      <c r="BE34" s="91">
        <f t="shared" si="342"/>
        <v>10832.530918790681</v>
      </c>
      <c r="BF34" s="91">
        <f t="shared" si="342"/>
        <v>17287.878214984241</v>
      </c>
      <c r="BG34" s="91">
        <f t="shared" si="342"/>
        <v>16764.753857448028</v>
      </c>
      <c r="BH34" s="91">
        <f t="shared" si="342"/>
        <v>10628.554342865993</v>
      </c>
      <c r="BI34" s="91">
        <f t="shared" si="342"/>
        <v>10810.865856953098</v>
      </c>
      <c r="BJ34" s="91">
        <f t="shared" si="342"/>
        <v>17253.302458554273</v>
      </c>
      <c r="BK34" s="91">
        <f t="shared" si="342"/>
        <v>16731.224349733133</v>
      </c>
      <c r="BL34" s="91">
        <f t="shared" si="342"/>
        <v>10607.297234180262</v>
      </c>
      <c r="BM34" s="91">
        <f t="shared" si="342"/>
        <v>10789.244125239193</v>
      </c>
      <c r="BN34" s="91">
        <f t="shared" si="342"/>
        <v>17218.795853637166</v>
      </c>
      <c r="BO34" s="91">
        <f t="shared" si="342"/>
        <v>16697.761901033671</v>
      </c>
      <c r="BP34" s="91">
        <f t="shared" si="342"/>
        <v>10586.082639711904</v>
      </c>
      <c r="BQ34" s="91">
        <f t="shared" si="342"/>
        <v>10767.665636988717</v>
      </c>
      <c r="BR34" s="91">
        <f t="shared" si="342"/>
        <v>17184.358261929894</v>
      </c>
      <c r="BS34" s="91">
        <f t="shared" si="342"/>
        <v>16664.366377231603</v>
      </c>
      <c r="BT34" s="91">
        <f t="shared" ref="BT34:EE34" si="343">BT33*(1-BT28)</f>
        <v>10564.910474432481</v>
      </c>
      <c r="BU34" s="91">
        <f t="shared" si="343"/>
        <v>10746.13030571474</v>
      </c>
      <c r="BV34" s="91">
        <f t="shared" si="343"/>
        <v>17149.989545406039</v>
      </c>
      <c r="BW34" s="91">
        <f t="shared" si="343"/>
        <v>16631.037644477143</v>
      </c>
      <c r="BX34" s="91">
        <f t="shared" si="343"/>
        <v>10543.780653483618</v>
      </c>
      <c r="BY34" s="91">
        <f t="shared" si="343"/>
        <v>10724.638045103315</v>
      </c>
      <c r="BZ34" s="91">
        <f t="shared" si="343"/>
        <v>17115.689566315228</v>
      </c>
      <c r="CA34" s="91">
        <f t="shared" si="343"/>
        <v>16597.77556918819</v>
      </c>
      <c r="CB34" s="91">
        <f t="shared" si="343"/>
        <v>10522.693092176651</v>
      </c>
      <c r="CC34" s="91">
        <f t="shared" si="343"/>
        <v>10703.188769013106</v>
      </c>
      <c r="CD34" s="91">
        <f t="shared" si="343"/>
        <v>17081.458187182598</v>
      </c>
      <c r="CE34" s="91">
        <f t="shared" si="343"/>
        <v>16220.695462119545</v>
      </c>
      <c r="CF34" s="91">
        <f t="shared" si="343"/>
        <v>10283.631043090119</v>
      </c>
      <c r="CG34" s="91">
        <f t="shared" si="343"/>
        <v>10460.026090365513</v>
      </c>
      <c r="CH34" s="91">
        <f t="shared" si="343"/>
        <v>16693.389433314846</v>
      </c>
      <c r="CI34" s="91">
        <f t="shared" si="343"/>
        <v>16188.254071195306</v>
      </c>
      <c r="CJ34" s="91">
        <f t="shared" si="343"/>
        <v>10263.063781003939</v>
      </c>
      <c r="CK34" s="91">
        <f t="shared" si="343"/>
        <v>10439.106038184782</v>
      </c>
      <c r="CL34" s="91">
        <f t="shared" si="343"/>
        <v>16660.002654448217</v>
      </c>
      <c r="CM34" s="91">
        <f t="shared" si="343"/>
        <v>16155.877563052914</v>
      </c>
      <c r="CN34" s="91">
        <f t="shared" si="343"/>
        <v>10242.537653441932</v>
      </c>
      <c r="CO34" s="91">
        <f t="shared" si="343"/>
        <v>10418.227826108414</v>
      </c>
      <c r="CP34" s="91">
        <f t="shared" si="343"/>
        <v>16626.682649139322</v>
      </c>
      <c r="CQ34" s="91">
        <f t="shared" si="343"/>
        <v>16123.565807926811</v>
      </c>
      <c r="CR34" s="91">
        <f t="shared" si="343"/>
        <v>10222.05257813505</v>
      </c>
      <c r="CS34" s="91">
        <f t="shared" si="343"/>
        <v>10397.391370456196</v>
      </c>
      <c r="CT34" s="91">
        <f t="shared" si="343"/>
        <v>16593.429283841044</v>
      </c>
      <c r="CU34" s="248">
        <f t="shared" si="343"/>
        <v>16091.318676310961</v>
      </c>
      <c r="CV34" s="91">
        <f t="shared" si="343"/>
        <v>10201.60847297878</v>
      </c>
      <c r="CW34" s="91">
        <f t="shared" si="343"/>
        <v>10376.596587715287</v>
      </c>
      <c r="CX34" s="91">
        <f t="shared" si="343"/>
        <v>16560.242425273365</v>
      </c>
      <c r="CY34" s="91">
        <f t="shared" si="343"/>
        <v>15801.502840472374</v>
      </c>
      <c r="CZ34" s="91">
        <f t="shared" si="343"/>
        <v>10017.870412353153</v>
      </c>
      <c r="DA34" s="91">
        <f t="shared" si="343"/>
        <v>10189.706869493761</v>
      </c>
      <c r="DB34" s="91">
        <f t="shared" si="343"/>
        <v>16261.980946726197</v>
      </c>
      <c r="DC34" s="91">
        <f t="shared" si="343"/>
        <v>15769.899834791431</v>
      </c>
      <c r="DD34" s="91">
        <f t="shared" si="343"/>
        <v>9997.8346715284479</v>
      </c>
      <c r="DE34" s="91">
        <f t="shared" si="343"/>
        <v>10169.327455754776</v>
      </c>
      <c r="DF34" s="91">
        <f t="shared" si="343"/>
        <v>16229.456984832745</v>
      </c>
      <c r="DG34" s="91">
        <f t="shared" si="343"/>
        <v>15738.36003512185</v>
      </c>
      <c r="DH34" s="91">
        <f t="shared" si="343"/>
        <v>9977.839002185392</v>
      </c>
      <c r="DI34" s="91">
        <f t="shared" si="343"/>
        <v>10148.988800843266</v>
      </c>
      <c r="DJ34" s="91">
        <f t="shared" si="343"/>
        <v>16196.998070863083</v>
      </c>
      <c r="DK34" s="91">
        <f t="shared" si="343"/>
        <v>15706.883315051609</v>
      </c>
      <c r="DL34" s="91">
        <f t="shared" si="343"/>
        <v>9957.8833241810225</v>
      </c>
      <c r="DM34" s="91">
        <f t="shared" si="343"/>
        <v>10128.690823241581</v>
      </c>
      <c r="DN34" s="91">
        <f t="shared" si="343"/>
        <v>16164.604074721359</v>
      </c>
      <c r="DO34" s="91">
        <f t="shared" si="343"/>
        <v>15675.469548421508</v>
      </c>
      <c r="DP34" s="91">
        <f t="shared" si="343"/>
        <v>9937.9675575326619</v>
      </c>
      <c r="DQ34" s="91">
        <f t="shared" si="343"/>
        <v>10108.4334415951</v>
      </c>
      <c r="DR34" s="91">
        <f t="shared" si="343"/>
        <v>16132.274866571915</v>
      </c>
      <c r="DS34" s="91">
        <f t="shared" si="343"/>
        <v>15644.118609324667</v>
      </c>
      <c r="DT34" s="91">
        <f t="shared" si="343"/>
        <v>9918.0916224175962</v>
      </c>
      <c r="DU34" s="91">
        <f t="shared" si="343"/>
        <v>10088.216574711909</v>
      </c>
      <c r="DV34" s="91">
        <f t="shared" si="343"/>
        <v>16100.010316838774</v>
      </c>
      <c r="DW34" s="91">
        <f t="shared" si="343"/>
        <v>15612.830372106018</v>
      </c>
      <c r="DX34" s="91">
        <f t="shared" si="343"/>
        <v>9898.2554391727626</v>
      </c>
      <c r="DY34" s="91">
        <f t="shared" si="343"/>
        <v>10068.040141562487</v>
      </c>
      <c r="DZ34" s="91">
        <f t="shared" si="343"/>
        <v>16067.810296205102</v>
      </c>
      <c r="EA34" s="91">
        <f t="shared" si="343"/>
        <v>15581.60471136181</v>
      </c>
      <c r="EB34" s="91">
        <f t="shared" si="343"/>
        <v>9878.4589282944198</v>
      </c>
      <c r="EC34" s="91">
        <f t="shared" si="343"/>
        <v>10047.904061279365</v>
      </c>
      <c r="ED34" s="91">
        <f t="shared" si="343"/>
        <v>16035.67467561269</v>
      </c>
      <c r="EE34" s="91">
        <f t="shared" si="343"/>
        <v>15550.441501939087</v>
      </c>
      <c r="EF34" s="91">
        <f t="shared" ref="EF34:FA34" si="344">EF33*(1-EF28)</f>
        <v>9858.7020104378316</v>
      </c>
      <c r="EG34" s="91">
        <f t="shared" si="344"/>
        <v>10027.808253156807</v>
      </c>
      <c r="EH34" s="91">
        <f t="shared" si="344"/>
        <v>16003.603326261466</v>
      </c>
      <c r="EI34" s="91">
        <f t="shared" si="344"/>
        <v>15519.340618935212</v>
      </c>
      <c r="EJ34" s="91">
        <f t="shared" si="344"/>
        <v>0</v>
      </c>
      <c r="EK34" s="91">
        <f t="shared" si="344"/>
        <v>0</v>
      </c>
      <c r="EL34" s="91">
        <f t="shared" si="344"/>
        <v>0</v>
      </c>
      <c r="EM34" s="91">
        <f t="shared" si="344"/>
        <v>0</v>
      </c>
      <c r="EN34" s="91">
        <f t="shared" si="344"/>
        <v>0</v>
      </c>
      <c r="EO34" s="91">
        <f t="shared" si="344"/>
        <v>0</v>
      </c>
      <c r="EP34" s="91">
        <f t="shared" si="344"/>
        <v>0</v>
      </c>
      <c r="EQ34" s="91">
        <f t="shared" si="344"/>
        <v>0</v>
      </c>
      <c r="ER34" s="91">
        <f t="shared" si="344"/>
        <v>0</v>
      </c>
      <c r="ES34" s="91">
        <f t="shared" si="344"/>
        <v>0</v>
      </c>
      <c r="ET34" s="91">
        <f t="shared" si="344"/>
        <v>0</v>
      </c>
      <c r="EU34" s="91">
        <f t="shared" si="344"/>
        <v>0</v>
      </c>
      <c r="EV34" s="91">
        <f t="shared" si="344"/>
        <v>0</v>
      </c>
      <c r="EW34" s="91">
        <f t="shared" si="344"/>
        <v>0</v>
      </c>
      <c r="EX34" s="91">
        <f t="shared" si="344"/>
        <v>0</v>
      </c>
      <c r="EY34" s="91">
        <f t="shared" si="344"/>
        <v>0</v>
      </c>
      <c r="EZ34" s="91">
        <f t="shared" si="344"/>
        <v>0</v>
      </c>
      <c r="FA34" s="91">
        <f t="shared" si="344"/>
        <v>0</v>
      </c>
    </row>
    <row r="35" spans="2:157" ht="15.5" customHeight="1" outlineLevel="1" x14ac:dyDescent="0.2">
      <c r="B35" s="1"/>
      <c r="C35" s="30"/>
      <c r="D35" s="22"/>
      <c r="E35" s="62"/>
      <c r="F35" s="22"/>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1"/>
      <c r="CT35" s="91"/>
      <c r="CU35" s="248"/>
      <c r="CV35" s="91"/>
      <c r="CW35" s="91"/>
      <c r="CX35" s="91"/>
      <c r="CY35" s="91"/>
      <c r="CZ35" s="91"/>
      <c r="DA35" s="91"/>
      <c r="DB35" s="91"/>
      <c r="DC35" s="91"/>
      <c r="DD35" s="91"/>
      <c r="DE35" s="91"/>
      <c r="DF35" s="91"/>
      <c r="DG35" s="91"/>
      <c r="DH35" s="91"/>
      <c r="DI35" s="91"/>
      <c r="DJ35" s="91"/>
      <c r="DK35" s="91"/>
      <c r="DL35" s="91"/>
      <c r="DM35" s="91"/>
      <c r="DN35" s="91"/>
      <c r="DO35" s="91"/>
      <c r="DP35" s="91"/>
      <c r="DQ35" s="91"/>
      <c r="DR35" s="91"/>
      <c r="DS35" s="91"/>
      <c r="DT35" s="91"/>
      <c r="DU35" s="91"/>
      <c r="DV35" s="91"/>
      <c r="DW35" s="91"/>
      <c r="DX35" s="91"/>
      <c r="DY35" s="91"/>
      <c r="DZ35" s="91"/>
      <c r="EA35" s="91"/>
      <c r="EB35" s="91"/>
      <c r="EC35" s="91"/>
      <c r="ED35" s="91"/>
      <c r="EE35" s="91"/>
      <c r="EF35" s="91"/>
      <c r="EG35" s="91"/>
      <c r="EH35" s="91"/>
      <c r="EI35" s="91"/>
      <c r="EJ35" s="91"/>
      <c r="EK35" s="91"/>
      <c r="EL35" s="91"/>
      <c r="EM35" s="91"/>
      <c r="EN35" s="91"/>
      <c r="EO35" s="91"/>
      <c r="EP35" s="91"/>
      <c r="EQ35" s="91"/>
      <c r="ER35" s="91"/>
      <c r="ES35" s="91"/>
      <c r="ET35" s="91"/>
      <c r="EU35" s="91"/>
      <c r="EV35" s="91"/>
      <c r="EW35" s="91"/>
      <c r="EX35" s="91"/>
      <c r="EY35" s="91"/>
      <c r="EZ35" s="91"/>
      <c r="FA35" s="91"/>
    </row>
    <row r="36" spans="2:157" s="124" customFormat="1" ht="34" outlineLevel="1" x14ac:dyDescent="0.2">
      <c r="B36" s="138"/>
      <c r="C36" s="233" t="s">
        <v>345</v>
      </c>
      <c r="D36" s="130" t="s">
        <v>100</v>
      </c>
      <c r="E36" s="230"/>
      <c r="F36" s="130"/>
      <c r="G36" s="231">
        <f>G17*G16*G34</f>
        <v>0</v>
      </c>
      <c r="H36" s="231">
        <f t="shared" ref="H36:BS36" si="345">H17*H16*H34</f>
        <v>0</v>
      </c>
      <c r="I36" s="231">
        <f t="shared" si="345"/>
        <v>0</v>
      </c>
      <c r="J36" s="231">
        <f t="shared" si="345"/>
        <v>0</v>
      </c>
      <c r="K36" s="231">
        <f t="shared" si="345"/>
        <v>0</v>
      </c>
      <c r="L36" s="231">
        <f t="shared" si="345"/>
        <v>0</v>
      </c>
      <c r="M36" s="231">
        <f t="shared" si="345"/>
        <v>251045.79965075079</v>
      </c>
      <c r="N36" s="231">
        <f t="shared" si="345"/>
        <v>546613.8797164635</v>
      </c>
      <c r="O36" s="231">
        <f t="shared" si="345"/>
        <v>654084.6784492177</v>
      </c>
      <c r="P36" s="231">
        <f t="shared" si="345"/>
        <v>672787.45225524704</v>
      </c>
      <c r="Q36" s="231">
        <f t="shared" si="345"/>
        <v>969949.68046880991</v>
      </c>
      <c r="R36" s="231">
        <f t="shared" si="345"/>
        <v>1767384.8777498985</v>
      </c>
      <c r="S36" s="231">
        <f t="shared" si="345"/>
        <v>1819919.2223187375</v>
      </c>
      <c r="T36" s="231">
        <f t="shared" si="345"/>
        <v>1153796.2631910406</v>
      </c>
      <c r="U36" s="231">
        <f t="shared" si="345"/>
        <v>1173587.321965802</v>
      </c>
      <c r="V36" s="231">
        <f t="shared" si="345"/>
        <v>1872954.2383858049</v>
      </c>
      <c r="W36" s="231">
        <f t="shared" si="345"/>
        <v>1816279.3838741004</v>
      </c>
      <c r="X36" s="231">
        <f t="shared" si="345"/>
        <v>1151488.6706646588</v>
      </c>
      <c r="Y36" s="231">
        <f t="shared" si="345"/>
        <v>1171240.1473218703</v>
      </c>
      <c r="Z36" s="231">
        <f t="shared" si="345"/>
        <v>1869208.3299090334</v>
      </c>
      <c r="AA36" s="231">
        <f t="shared" si="345"/>
        <v>1812646.8251063528</v>
      </c>
      <c r="AB36" s="231">
        <f t="shared" si="345"/>
        <v>1149185.6933233296</v>
      </c>
      <c r="AC36" s="231">
        <f t="shared" si="345"/>
        <v>1168897.6670272266</v>
      </c>
      <c r="AD36" s="231">
        <f t="shared" si="345"/>
        <v>1865469.9132492156</v>
      </c>
      <c r="AE36" s="231">
        <f t="shared" si="345"/>
        <v>1809021.5314561396</v>
      </c>
      <c r="AF36" s="231">
        <f t="shared" si="345"/>
        <v>1146887.3219366833</v>
      </c>
      <c r="AG36" s="231">
        <f t="shared" si="345"/>
        <v>1166559.8716931723</v>
      </c>
      <c r="AH36" s="231">
        <f t="shared" si="345"/>
        <v>1861738.9734227171</v>
      </c>
      <c r="AI36" s="231">
        <f t="shared" si="345"/>
        <v>1786886.5295379125</v>
      </c>
      <c r="AJ36" s="231">
        <f t="shared" si="345"/>
        <v>1132854.1262949349</v>
      </c>
      <c r="AK36" s="231">
        <f t="shared" si="345"/>
        <v>1152285.9647503011</v>
      </c>
      <c r="AL36" s="231">
        <f t="shared" si="345"/>
        <v>1838958.9262915044</v>
      </c>
      <c r="AM36" s="231">
        <f t="shared" si="345"/>
        <v>1783312.756478837</v>
      </c>
      <c r="AN36" s="231">
        <f t="shared" si="345"/>
        <v>1130588.418042345</v>
      </c>
      <c r="AO36" s="231">
        <f t="shared" si="345"/>
        <v>1149981.3928208007</v>
      </c>
      <c r="AP36" s="231">
        <f t="shared" si="345"/>
        <v>1835281.0084389213</v>
      </c>
      <c r="AQ36" s="231">
        <f t="shared" si="345"/>
        <v>1768137.1496801013</v>
      </c>
      <c r="AR36" s="231">
        <f t="shared" si="345"/>
        <v>1120967.3545350705</v>
      </c>
      <c r="AS36" s="231">
        <f t="shared" si="345"/>
        <v>1140195.2992822959</v>
      </c>
      <c r="AT36" s="231">
        <f t="shared" si="345"/>
        <v>1819663.163028423</v>
      </c>
      <c r="AU36" s="231">
        <f t="shared" si="345"/>
        <v>1764600.875380741</v>
      </c>
      <c r="AV36" s="231">
        <f t="shared" si="345"/>
        <v>1118725.4198260007</v>
      </c>
      <c r="AW36" s="231">
        <f t="shared" si="345"/>
        <v>1137914.9086837312</v>
      </c>
      <c r="AX36" s="231">
        <f t="shared" si="345"/>
        <v>1816023.8367023661</v>
      </c>
      <c r="AY36" s="231">
        <f t="shared" si="345"/>
        <v>1761071.6736299794</v>
      </c>
      <c r="AZ36" s="231">
        <f t="shared" si="345"/>
        <v>1116487.9689863487</v>
      </c>
      <c r="BA36" s="231">
        <f t="shared" si="345"/>
        <v>1135639.0788663637</v>
      </c>
      <c r="BB36" s="231">
        <f t="shared" si="345"/>
        <v>1812391.7890289614</v>
      </c>
      <c r="BC36" s="231">
        <f t="shared" si="345"/>
        <v>1730230.1075322113</v>
      </c>
      <c r="BD36" s="231">
        <f t="shared" si="345"/>
        <v>1096934.9672496964</v>
      </c>
      <c r="BE36" s="231">
        <f t="shared" si="345"/>
        <v>1115750.6846354401</v>
      </c>
      <c r="BF36" s="231">
        <f t="shared" si="345"/>
        <v>1780651.4561433769</v>
      </c>
      <c r="BG36" s="231">
        <f t="shared" si="345"/>
        <v>1726769.6473171469</v>
      </c>
      <c r="BH36" s="231">
        <f t="shared" si="345"/>
        <v>1094741.0973151973</v>
      </c>
      <c r="BI36" s="231">
        <f t="shared" si="345"/>
        <v>1113519.1832661692</v>
      </c>
      <c r="BJ36" s="231">
        <f t="shared" si="345"/>
        <v>1777090.1532310902</v>
      </c>
      <c r="BK36" s="231">
        <f t="shared" si="345"/>
        <v>1723316.1080225126</v>
      </c>
      <c r="BL36" s="231">
        <f t="shared" si="345"/>
        <v>1092551.6151205669</v>
      </c>
      <c r="BM36" s="231">
        <f t="shared" si="345"/>
        <v>1111292.1448996367</v>
      </c>
      <c r="BN36" s="231">
        <f t="shared" si="345"/>
        <v>1773535.9729246281</v>
      </c>
      <c r="BO36" s="231">
        <f t="shared" si="345"/>
        <v>1719869.4758064682</v>
      </c>
      <c r="BP36" s="231">
        <f t="shared" si="345"/>
        <v>1090366.5118903262</v>
      </c>
      <c r="BQ36" s="231">
        <f t="shared" si="345"/>
        <v>1109069.5606098378</v>
      </c>
      <c r="BR36" s="231">
        <f t="shared" si="345"/>
        <v>1769988.9009787792</v>
      </c>
      <c r="BS36" s="231">
        <f t="shared" si="345"/>
        <v>1716429.7368548552</v>
      </c>
      <c r="BT36" s="231">
        <f t="shared" ref="BT36:EE36" si="346">BT17*BT16*BT34</f>
        <v>1088185.7788665455</v>
      </c>
      <c r="BU36" s="231">
        <f t="shared" si="346"/>
        <v>1106851.4214886182</v>
      </c>
      <c r="BV36" s="231">
        <f t="shared" si="346"/>
        <v>1766448.923176822</v>
      </c>
      <c r="BW36" s="231">
        <f t="shared" si="346"/>
        <v>1712996.8773811457</v>
      </c>
      <c r="BX36" s="231">
        <f t="shared" si="346"/>
        <v>1086009.4073088127</v>
      </c>
      <c r="BY36" s="231">
        <f t="shared" si="346"/>
        <v>1104637.7186456413</v>
      </c>
      <c r="BZ36" s="231">
        <f t="shared" si="346"/>
        <v>1762916.0253304685</v>
      </c>
      <c r="CA36" s="231">
        <f t="shared" si="346"/>
        <v>1709570.8836263835</v>
      </c>
      <c r="CB36" s="231">
        <f t="shared" si="346"/>
        <v>1083837.388494195</v>
      </c>
      <c r="CC36" s="231">
        <f t="shared" si="346"/>
        <v>1102428.4432083499</v>
      </c>
      <c r="CD36" s="231">
        <f t="shared" si="346"/>
        <v>1759390.1932798075</v>
      </c>
      <c r="CE36" s="231">
        <f t="shared" si="346"/>
        <v>1670731.6325983133</v>
      </c>
      <c r="CF36" s="231">
        <f t="shared" si="346"/>
        <v>1059213.9974382822</v>
      </c>
      <c r="CG36" s="231">
        <f t="shared" si="346"/>
        <v>1077382.6873076479</v>
      </c>
      <c r="CH36" s="231">
        <f t="shared" si="346"/>
        <v>1719419.1116314291</v>
      </c>
      <c r="CI36" s="231">
        <f t="shared" si="346"/>
        <v>1667390.1693331166</v>
      </c>
      <c r="CJ36" s="231">
        <f t="shared" si="346"/>
        <v>1057095.5694434056</v>
      </c>
      <c r="CK36" s="231">
        <f t="shared" si="346"/>
        <v>1075227.9219330326</v>
      </c>
      <c r="CL36" s="231">
        <f t="shared" si="346"/>
        <v>1715980.2734081664</v>
      </c>
      <c r="CM36" s="231">
        <f t="shared" si="346"/>
        <v>1664055.3889944502</v>
      </c>
      <c r="CN36" s="231">
        <f t="shared" si="346"/>
        <v>1054981.378304519</v>
      </c>
      <c r="CO36" s="231">
        <f t="shared" si="346"/>
        <v>1073077.4660891667</v>
      </c>
      <c r="CP36" s="231">
        <f t="shared" si="346"/>
        <v>1712548.3128613501</v>
      </c>
      <c r="CQ36" s="231">
        <f t="shared" si="346"/>
        <v>1660727.2782164614</v>
      </c>
      <c r="CR36" s="231">
        <f t="shared" si="346"/>
        <v>1052871.4155479101</v>
      </c>
      <c r="CS36" s="231">
        <f t="shared" si="346"/>
        <v>1070931.3111569881</v>
      </c>
      <c r="CT36" s="231">
        <f t="shared" si="346"/>
        <v>1709123.2162356274</v>
      </c>
      <c r="CU36" s="249">
        <f t="shared" si="346"/>
        <v>1657405.8236600289</v>
      </c>
      <c r="CV36" s="231">
        <f t="shared" si="346"/>
        <v>1050765.6727168143</v>
      </c>
      <c r="CW36" s="231">
        <f t="shared" si="346"/>
        <v>1068789.4485346745</v>
      </c>
      <c r="CX36" s="231">
        <f t="shared" si="346"/>
        <v>1705704.9698031566</v>
      </c>
      <c r="CY36" s="231">
        <f t="shared" si="346"/>
        <v>1627554.7925686545</v>
      </c>
      <c r="CZ36" s="231">
        <f t="shared" si="346"/>
        <v>1031840.6524723748</v>
      </c>
      <c r="DA36" s="231">
        <f t="shared" si="346"/>
        <v>1049539.8075578574</v>
      </c>
      <c r="DB36" s="231">
        <f t="shared" si="346"/>
        <v>1674984.0375127983</v>
      </c>
      <c r="DC36" s="231">
        <f t="shared" si="346"/>
        <v>1624299.6829835174</v>
      </c>
      <c r="DD36" s="231">
        <f t="shared" si="346"/>
        <v>1029776.9711674302</v>
      </c>
      <c r="DE36" s="231">
        <f t="shared" si="346"/>
        <v>1047440.7279427419</v>
      </c>
      <c r="DF36" s="231">
        <f t="shared" si="346"/>
        <v>1671634.0694377727</v>
      </c>
      <c r="DG36" s="231">
        <f t="shared" si="346"/>
        <v>1621051.0836175506</v>
      </c>
      <c r="DH36" s="231">
        <f t="shared" si="346"/>
        <v>1027717.4172250953</v>
      </c>
      <c r="DI36" s="231">
        <f t="shared" si="346"/>
        <v>1045345.8464868565</v>
      </c>
      <c r="DJ36" s="231">
        <f t="shared" si="346"/>
        <v>1668290.8012988975</v>
      </c>
      <c r="DK36" s="231">
        <f t="shared" si="346"/>
        <v>1617808.9814503158</v>
      </c>
      <c r="DL36" s="231">
        <f t="shared" si="346"/>
        <v>1025661.9823906453</v>
      </c>
      <c r="DM36" s="231">
        <f t="shared" si="346"/>
        <v>1043255.1547938829</v>
      </c>
      <c r="DN36" s="231">
        <f t="shared" si="346"/>
        <v>1664954.2196963001</v>
      </c>
      <c r="DO36" s="231">
        <f t="shared" si="346"/>
        <v>1614573.3634874152</v>
      </c>
      <c r="DP36" s="231">
        <f t="shared" si="346"/>
        <v>1023610.6584258642</v>
      </c>
      <c r="DQ36" s="231">
        <f t="shared" si="346"/>
        <v>1041168.6444842953</v>
      </c>
      <c r="DR36" s="231">
        <f t="shared" si="346"/>
        <v>1661624.3112569072</v>
      </c>
      <c r="DS36" s="231">
        <f t="shared" si="346"/>
        <v>1611344.2167604407</v>
      </c>
      <c r="DT36" s="231">
        <f t="shared" si="346"/>
        <v>1021563.4371090124</v>
      </c>
      <c r="DU36" s="231">
        <f t="shared" si="346"/>
        <v>1039086.3071953267</v>
      </c>
      <c r="DV36" s="231">
        <f t="shared" si="346"/>
        <v>1658301.0626343938</v>
      </c>
      <c r="DW36" s="231">
        <f t="shared" si="346"/>
        <v>1608121.52832692</v>
      </c>
      <c r="DX36" s="231">
        <f t="shared" si="346"/>
        <v>1019520.3102347945</v>
      </c>
      <c r="DY36" s="231">
        <f t="shared" si="346"/>
        <v>1037008.1345809362</v>
      </c>
      <c r="DZ36" s="231">
        <f t="shared" si="346"/>
        <v>1654984.4605091254</v>
      </c>
      <c r="EA36" s="231">
        <f t="shared" si="346"/>
        <v>1604905.2852702665</v>
      </c>
      <c r="EB36" s="231">
        <f t="shared" si="346"/>
        <v>1017481.2696143253</v>
      </c>
      <c r="EC36" s="231">
        <f t="shared" si="346"/>
        <v>1034934.1183117746</v>
      </c>
      <c r="ED36" s="231">
        <f t="shared" si="346"/>
        <v>1651674.4915881071</v>
      </c>
      <c r="EE36" s="231">
        <f t="shared" si="346"/>
        <v>1601695.4746997259</v>
      </c>
      <c r="EF36" s="231">
        <f t="shared" ref="EF36:FA36" si="347">EF17*EF16*EF34</f>
        <v>1015446.3070750966</v>
      </c>
      <c r="EG36" s="231">
        <f t="shared" si="347"/>
        <v>1032864.2500751511</v>
      </c>
      <c r="EH36" s="231">
        <f t="shared" si="347"/>
        <v>1648371.142604931</v>
      </c>
      <c r="EI36" s="231">
        <f t="shared" si="347"/>
        <v>1598492.0837503269</v>
      </c>
      <c r="EJ36" s="231">
        <f t="shared" si="347"/>
        <v>0</v>
      </c>
      <c r="EK36" s="231">
        <f t="shared" si="347"/>
        <v>0</v>
      </c>
      <c r="EL36" s="231">
        <f t="shared" si="347"/>
        <v>0</v>
      </c>
      <c r="EM36" s="231">
        <f t="shared" si="347"/>
        <v>0</v>
      </c>
      <c r="EN36" s="231">
        <f t="shared" si="347"/>
        <v>0</v>
      </c>
      <c r="EO36" s="231">
        <f t="shared" si="347"/>
        <v>0</v>
      </c>
      <c r="EP36" s="231">
        <f t="shared" si="347"/>
        <v>0</v>
      </c>
      <c r="EQ36" s="231">
        <f t="shared" si="347"/>
        <v>0</v>
      </c>
      <c r="ER36" s="231">
        <f t="shared" si="347"/>
        <v>0</v>
      </c>
      <c r="ES36" s="231">
        <f t="shared" si="347"/>
        <v>0</v>
      </c>
      <c r="ET36" s="231">
        <f t="shared" si="347"/>
        <v>0</v>
      </c>
      <c r="EU36" s="231">
        <f t="shared" si="347"/>
        <v>0</v>
      </c>
      <c r="EV36" s="231">
        <f t="shared" si="347"/>
        <v>0</v>
      </c>
      <c r="EW36" s="231">
        <f t="shared" si="347"/>
        <v>0</v>
      </c>
      <c r="EX36" s="231">
        <f t="shared" si="347"/>
        <v>0</v>
      </c>
      <c r="EY36" s="231">
        <f t="shared" si="347"/>
        <v>0</v>
      </c>
      <c r="EZ36" s="231">
        <f t="shared" si="347"/>
        <v>0</v>
      </c>
      <c r="FA36" s="231">
        <f t="shared" si="347"/>
        <v>0</v>
      </c>
    </row>
    <row r="37" spans="2:157" s="124" customFormat="1" ht="34" outlineLevel="1" x14ac:dyDescent="0.2">
      <c r="B37" s="138"/>
      <c r="C37" s="233" t="s">
        <v>346</v>
      </c>
      <c r="D37" s="130" t="s">
        <v>347</v>
      </c>
      <c r="E37" s="230"/>
      <c r="F37" s="130"/>
      <c r="G37" s="232">
        <f>G16*G17*Inputs_Assumptions!$E$26</f>
        <v>0</v>
      </c>
      <c r="H37" s="232">
        <f>H16*H17*Inputs_Assumptions!$E$26</f>
        <v>0</v>
      </c>
      <c r="I37" s="232">
        <f>I16*I17*Inputs_Assumptions!$E$26</f>
        <v>0</v>
      </c>
      <c r="J37" s="232">
        <f>J16*J17*Inputs_Assumptions!$E$26</f>
        <v>0</v>
      </c>
      <c r="K37" s="232">
        <f>K16*K17*Inputs_Assumptions!$E$26</f>
        <v>0</v>
      </c>
      <c r="L37" s="232">
        <f>L16*L17*Inputs_Assumptions!$E$26</f>
        <v>0</v>
      </c>
      <c r="M37" s="232">
        <f>M16*M17*Inputs_Assumptions!$E$26</f>
        <v>330</v>
      </c>
      <c r="N37" s="232">
        <f>N16*N17*Inputs_Assumptions!$E$26</f>
        <v>450</v>
      </c>
      <c r="O37" s="232">
        <f>O16*O17*Inputs_Assumptions!$E$26</f>
        <v>555</v>
      </c>
      <c r="P37" s="232">
        <f>P16*P17*Inputs_Assumptions!$E$26</f>
        <v>900</v>
      </c>
      <c r="Q37" s="232">
        <f>Q16*Q17*Inputs_Assumptions!$E$26</f>
        <v>1275</v>
      </c>
      <c r="R37" s="232">
        <f>R16*R17*Inputs_Assumptions!$E$26</f>
        <v>1455</v>
      </c>
      <c r="S37" s="232">
        <f>S16*S17*Inputs_Assumptions!$E$26</f>
        <v>1545</v>
      </c>
      <c r="T37" s="232">
        <f>T16*T17*Inputs_Assumptions!$E$26</f>
        <v>1545</v>
      </c>
      <c r="U37" s="232">
        <f>U16*U17*Inputs_Assumptions!$E$26</f>
        <v>1545</v>
      </c>
      <c r="V37" s="232">
        <f>V16*V17*Inputs_Assumptions!$E$26</f>
        <v>1545</v>
      </c>
      <c r="W37" s="232">
        <f>W16*W17*Inputs_Assumptions!$E$26</f>
        <v>1545</v>
      </c>
      <c r="X37" s="232">
        <f>X16*X17*Inputs_Assumptions!$E$26</f>
        <v>1545</v>
      </c>
      <c r="Y37" s="232">
        <f>Y16*Y17*Inputs_Assumptions!$E$26</f>
        <v>1545</v>
      </c>
      <c r="Z37" s="232">
        <f>Z16*Z17*Inputs_Assumptions!$E$26</f>
        <v>1545</v>
      </c>
      <c r="AA37" s="232">
        <f>AA16*AA17*Inputs_Assumptions!$E$26</f>
        <v>1545</v>
      </c>
      <c r="AB37" s="232">
        <f>AB16*AB17*Inputs_Assumptions!$E$26</f>
        <v>1545</v>
      </c>
      <c r="AC37" s="232">
        <f>AC16*AC17*Inputs_Assumptions!$E$26</f>
        <v>1545</v>
      </c>
      <c r="AD37" s="232">
        <f>AD16*AD17*Inputs_Assumptions!$E$26</f>
        <v>1545</v>
      </c>
      <c r="AE37" s="232">
        <f>AE16*AE17*Inputs_Assumptions!$E$26</f>
        <v>1545</v>
      </c>
      <c r="AF37" s="232">
        <f>AF16*AF17*Inputs_Assumptions!$E$26</f>
        <v>1545</v>
      </c>
      <c r="AG37" s="232">
        <f>AG16*AG17*Inputs_Assumptions!$E$26</f>
        <v>1545</v>
      </c>
      <c r="AH37" s="232">
        <f>AH16*AH17*Inputs_Assumptions!$E$26</f>
        <v>1545</v>
      </c>
      <c r="AI37" s="232">
        <f>AI16*AI17*Inputs_Assumptions!$E$26</f>
        <v>1545</v>
      </c>
      <c r="AJ37" s="232">
        <f>AJ16*AJ17*Inputs_Assumptions!$E$26</f>
        <v>1545</v>
      </c>
      <c r="AK37" s="232">
        <f>AK16*AK17*Inputs_Assumptions!$E$26</f>
        <v>1545</v>
      </c>
      <c r="AL37" s="232">
        <f>AL16*AL17*Inputs_Assumptions!$E$26</f>
        <v>1545</v>
      </c>
      <c r="AM37" s="232">
        <f>AM16*AM17*Inputs_Assumptions!$E$26</f>
        <v>1545</v>
      </c>
      <c r="AN37" s="232">
        <f>AN16*AN17*Inputs_Assumptions!$E$26</f>
        <v>1545</v>
      </c>
      <c r="AO37" s="232">
        <f>AO16*AO17*Inputs_Assumptions!$E$26</f>
        <v>1545</v>
      </c>
      <c r="AP37" s="232">
        <f>AP16*AP17*Inputs_Assumptions!$E$26</f>
        <v>1545</v>
      </c>
      <c r="AQ37" s="232">
        <f>AQ16*AQ17*Inputs_Assumptions!$E$26</f>
        <v>1545</v>
      </c>
      <c r="AR37" s="232">
        <f>AR16*AR17*Inputs_Assumptions!$E$26</f>
        <v>1545</v>
      </c>
      <c r="AS37" s="232">
        <f>AS16*AS17*Inputs_Assumptions!$E$26</f>
        <v>1545</v>
      </c>
      <c r="AT37" s="232">
        <f>AT16*AT17*Inputs_Assumptions!$E$26</f>
        <v>1545</v>
      </c>
      <c r="AU37" s="232">
        <f>AU16*AU17*Inputs_Assumptions!$E$26</f>
        <v>1545</v>
      </c>
      <c r="AV37" s="232">
        <f>AV16*AV17*Inputs_Assumptions!$E$26</f>
        <v>1545</v>
      </c>
      <c r="AW37" s="232">
        <f>AW16*AW17*Inputs_Assumptions!$E$26</f>
        <v>1545</v>
      </c>
      <c r="AX37" s="232">
        <f>AX16*AX17*Inputs_Assumptions!$E$26</f>
        <v>1545</v>
      </c>
      <c r="AY37" s="232">
        <f>AY16*AY17*Inputs_Assumptions!$E$26</f>
        <v>1545</v>
      </c>
      <c r="AZ37" s="232">
        <f>AZ16*AZ17*Inputs_Assumptions!$E$26</f>
        <v>1545</v>
      </c>
      <c r="BA37" s="232">
        <f>BA16*BA17*Inputs_Assumptions!$E$26</f>
        <v>1545</v>
      </c>
      <c r="BB37" s="232">
        <f>BB16*BB17*Inputs_Assumptions!$E$26</f>
        <v>1545</v>
      </c>
      <c r="BC37" s="232">
        <f>BC16*BC17*Inputs_Assumptions!$E$26</f>
        <v>1545</v>
      </c>
      <c r="BD37" s="232">
        <f>BD16*BD17*Inputs_Assumptions!$E$26</f>
        <v>1545</v>
      </c>
      <c r="BE37" s="232">
        <f>BE16*BE17*Inputs_Assumptions!$E$26</f>
        <v>1545</v>
      </c>
      <c r="BF37" s="232">
        <f>BF16*BF17*Inputs_Assumptions!$E$26</f>
        <v>1545</v>
      </c>
      <c r="BG37" s="232">
        <f>BG16*BG17*Inputs_Assumptions!$E$26</f>
        <v>1545</v>
      </c>
      <c r="BH37" s="232">
        <f>BH16*BH17*Inputs_Assumptions!$E$26</f>
        <v>1545</v>
      </c>
      <c r="BI37" s="232">
        <f>BI16*BI17*Inputs_Assumptions!$E$26</f>
        <v>1545</v>
      </c>
      <c r="BJ37" s="232">
        <f>BJ16*BJ17*Inputs_Assumptions!$E$26</f>
        <v>1545</v>
      </c>
      <c r="BK37" s="232">
        <f>BK16*BK17*Inputs_Assumptions!$E$26</f>
        <v>1545</v>
      </c>
      <c r="BL37" s="232">
        <f>BL16*BL17*Inputs_Assumptions!$E$26</f>
        <v>1545</v>
      </c>
      <c r="BM37" s="232">
        <f>BM16*BM17*Inputs_Assumptions!$E$26</f>
        <v>1545</v>
      </c>
      <c r="BN37" s="232">
        <f>BN16*BN17*Inputs_Assumptions!$E$26</f>
        <v>1545</v>
      </c>
      <c r="BO37" s="232">
        <f>BO16*BO17*Inputs_Assumptions!$E$26</f>
        <v>1545</v>
      </c>
      <c r="BP37" s="232">
        <f>BP16*BP17*Inputs_Assumptions!$E$26</f>
        <v>1545</v>
      </c>
      <c r="BQ37" s="232">
        <f>BQ16*BQ17*Inputs_Assumptions!$E$26</f>
        <v>1545</v>
      </c>
      <c r="BR37" s="232">
        <f>BR16*BR17*Inputs_Assumptions!$E$26</f>
        <v>1545</v>
      </c>
      <c r="BS37" s="232">
        <f>BS16*BS17*Inputs_Assumptions!$E$26</f>
        <v>1545</v>
      </c>
      <c r="BT37" s="232">
        <f>BT16*BT17*Inputs_Assumptions!$E$26</f>
        <v>1545</v>
      </c>
      <c r="BU37" s="232">
        <f>BU16*BU17*Inputs_Assumptions!$E$26</f>
        <v>1545</v>
      </c>
      <c r="BV37" s="232">
        <f>BV16*BV17*Inputs_Assumptions!$E$26</f>
        <v>1545</v>
      </c>
      <c r="BW37" s="232">
        <f>BW16*BW17*Inputs_Assumptions!$E$26</f>
        <v>1545</v>
      </c>
      <c r="BX37" s="232">
        <f>BX16*BX17*Inputs_Assumptions!$E$26</f>
        <v>1545</v>
      </c>
      <c r="BY37" s="232">
        <f>BY16*BY17*Inputs_Assumptions!$E$26</f>
        <v>1545</v>
      </c>
      <c r="BZ37" s="232">
        <f>BZ16*BZ17*Inputs_Assumptions!$E$26</f>
        <v>1545</v>
      </c>
      <c r="CA37" s="232">
        <f>CA16*CA17*Inputs_Assumptions!$E$26</f>
        <v>1545</v>
      </c>
      <c r="CB37" s="232">
        <f>CB16*CB17*Inputs_Assumptions!$E$26</f>
        <v>1545</v>
      </c>
      <c r="CC37" s="232">
        <f>CC16*CC17*Inputs_Assumptions!$E$26</f>
        <v>1545</v>
      </c>
      <c r="CD37" s="232">
        <f>CD16*CD17*Inputs_Assumptions!$E$26</f>
        <v>1545</v>
      </c>
      <c r="CE37" s="232">
        <f>CE16*CE17*Inputs_Assumptions!$E$26</f>
        <v>1545</v>
      </c>
      <c r="CF37" s="232">
        <f>CF16*CF17*Inputs_Assumptions!$E$26</f>
        <v>1545</v>
      </c>
      <c r="CG37" s="232">
        <f>CG16*CG17*Inputs_Assumptions!$E$26</f>
        <v>1545</v>
      </c>
      <c r="CH37" s="232">
        <f>CH16*CH17*Inputs_Assumptions!$E$26</f>
        <v>1545</v>
      </c>
      <c r="CI37" s="232">
        <f>CI16*CI17*Inputs_Assumptions!$E$26</f>
        <v>1545</v>
      </c>
      <c r="CJ37" s="232">
        <f>CJ16*CJ17*Inputs_Assumptions!$E$26</f>
        <v>1545</v>
      </c>
      <c r="CK37" s="232">
        <f>CK16*CK17*Inputs_Assumptions!$E$26</f>
        <v>1545</v>
      </c>
      <c r="CL37" s="232">
        <f>CL16*CL17*Inputs_Assumptions!$E$26</f>
        <v>1545</v>
      </c>
      <c r="CM37" s="232">
        <f>CM16*CM17*Inputs_Assumptions!$E$26</f>
        <v>1545</v>
      </c>
      <c r="CN37" s="232">
        <f>CN16*CN17*Inputs_Assumptions!$E$26</f>
        <v>1545</v>
      </c>
      <c r="CO37" s="232">
        <f>CO16*CO17*Inputs_Assumptions!$E$26</f>
        <v>1545</v>
      </c>
      <c r="CP37" s="232">
        <f>CP16*CP17*Inputs_Assumptions!$E$26</f>
        <v>1545</v>
      </c>
      <c r="CQ37" s="232">
        <f>CQ16*CQ17*Inputs_Assumptions!$E$26</f>
        <v>1545</v>
      </c>
      <c r="CR37" s="232">
        <f>CR16*CR17*Inputs_Assumptions!$E$26</f>
        <v>1545</v>
      </c>
      <c r="CS37" s="232">
        <f>CS16*CS17*Inputs_Assumptions!$E$26</f>
        <v>1545</v>
      </c>
      <c r="CT37" s="232">
        <f>CT16*CT17*Inputs_Assumptions!$E$26</f>
        <v>1545</v>
      </c>
      <c r="CU37" s="250">
        <f>CU16*CU17*Inputs_Assumptions!$E$26</f>
        <v>1545</v>
      </c>
      <c r="CV37" s="232">
        <f>CV16*CV17*Inputs_Assumptions!$E$26</f>
        <v>1545</v>
      </c>
      <c r="CW37" s="232">
        <f>CW16*CW17*Inputs_Assumptions!$E$26</f>
        <v>1545</v>
      </c>
      <c r="CX37" s="232">
        <f>CX16*CX17*Inputs_Assumptions!$E$26</f>
        <v>1545</v>
      </c>
      <c r="CY37" s="232">
        <f>CY16*CY17*Inputs_Assumptions!$E$26</f>
        <v>1545</v>
      </c>
      <c r="CZ37" s="232">
        <f>CZ16*CZ17*Inputs_Assumptions!$E$26</f>
        <v>1545</v>
      </c>
      <c r="DA37" s="232">
        <f>DA16*DA17*Inputs_Assumptions!$E$26</f>
        <v>1545</v>
      </c>
      <c r="DB37" s="232">
        <f>DB16*DB17*Inputs_Assumptions!$E$26</f>
        <v>1545</v>
      </c>
      <c r="DC37" s="232">
        <f>DC16*DC17*Inputs_Assumptions!$E$26</f>
        <v>1545</v>
      </c>
      <c r="DD37" s="232">
        <f>DD16*DD17*Inputs_Assumptions!$E$26</f>
        <v>1545</v>
      </c>
      <c r="DE37" s="232">
        <f>DE16*DE17*Inputs_Assumptions!$E$26</f>
        <v>1545</v>
      </c>
      <c r="DF37" s="232">
        <f>DF16*DF17*Inputs_Assumptions!$E$26</f>
        <v>1545</v>
      </c>
      <c r="DG37" s="232">
        <f>DG16*DG17*Inputs_Assumptions!$E$26</f>
        <v>1545</v>
      </c>
      <c r="DH37" s="232">
        <f>DH16*DH17*Inputs_Assumptions!$E$26</f>
        <v>1545</v>
      </c>
      <c r="DI37" s="232">
        <f>DI16*DI17*Inputs_Assumptions!$E$26</f>
        <v>1545</v>
      </c>
      <c r="DJ37" s="232">
        <f>DJ16*DJ17*Inputs_Assumptions!$E$26</f>
        <v>1545</v>
      </c>
      <c r="DK37" s="232">
        <f>DK16*DK17*Inputs_Assumptions!$E$26</f>
        <v>1545</v>
      </c>
      <c r="DL37" s="232">
        <f>DL16*DL17*Inputs_Assumptions!$E$26</f>
        <v>1545</v>
      </c>
      <c r="DM37" s="232">
        <f>DM16*DM17*Inputs_Assumptions!$E$26</f>
        <v>1545</v>
      </c>
      <c r="DN37" s="232">
        <f>DN16*DN17*Inputs_Assumptions!$E$26</f>
        <v>1545</v>
      </c>
      <c r="DO37" s="232">
        <f>DO16*DO17*Inputs_Assumptions!$E$26</f>
        <v>1545</v>
      </c>
      <c r="DP37" s="232">
        <f>DP16*DP17*Inputs_Assumptions!$E$26</f>
        <v>1545</v>
      </c>
      <c r="DQ37" s="232">
        <f>DQ16*DQ17*Inputs_Assumptions!$E$26</f>
        <v>1545</v>
      </c>
      <c r="DR37" s="232">
        <f>DR16*DR17*Inputs_Assumptions!$E$26</f>
        <v>1545</v>
      </c>
      <c r="DS37" s="232">
        <f>DS16*DS17*Inputs_Assumptions!$E$26</f>
        <v>1545</v>
      </c>
      <c r="DT37" s="232">
        <f>DT16*DT17*Inputs_Assumptions!$E$26</f>
        <v>1545</v>
      </c>
      <c r="DU37" s="232">
        <f>DU16*DU17*Inputs_Assumptions!$E$26</f>
        <v>1545</v>
      </c>
      <c r="DV37" s="232">
        <f>DV16*DV17*Inputs_Assumptions!$E$26</f>
        <v>1545</v>
      </c>
      <c r="DW37" s="232">
        <f>DW16*DW17*Inputs_Assumptions!$E$26</f>
        <v>1545</v>
      </c>
      <c r="DX37" s="232">
        <f>DX16*DX17*Inputs_Assumptions!$E$26</f>
        <v>1545</v>
      </c>
      <c r="DY37" s="232">
        <f>DY16*DY17*Inputs_Assumptions!$E$26</f>
        <v>1545</v>
      </c>
      <c r="DZ37" s="232">
        <f>DZ16*DZ17*Inputs_Assumptions!$E$26</f>
        <v>1545</v>
      </c>
      <c r="EA37" s="232">
        <f>EA16*EA17*Inputs_Assumptions!$E$26</f>
        <v>1545</v>
      </c>
      <c r="EB37" s="232">
        <f>EB16*EB17*Inputs_Assumptions!$E$26</f>
        <v>1545</v>
      </c>
      <c r="EC37" s="232">
        <f>EC16*EC17*Inputs_Assumptions!$E$26</f>
        <v>1545</v>
      </c>
      <c r="ED37" s="232">
        <f>ED16*ED17*Inputs_Assumptions!$E$26</f>
        <v>1545</v>
      </c>
      <c r="EE37" s="232">
        <f>EE16*EE17*Inputs_Assumptions!$E$26</f>
        <v>1545</v>
      </c>
      <c r="EF37" s="232">
        <f>EF16*EF17*Inputs_Assumptions!$E$26</f>
        <v>1545</v>
      </c>
      <c r="EG37" s="232">
        <f>EG16*EG17*Inputs_Assumptions!$E$26</f>
        <v>1545</v>
      </c>
      <c r="EH37" s="232">
        <f>EH16*EH17*Inputs_Assumptions!$E$26</f>
        <v>1545</v>
      </c>
      <c r="EI37" s="232">
        <f>EI16*EI17*Inputs_Assumptions!$E$26</f>
        <v>1545</v>
      </c>
      <c r="EJ37" s="232">
        <f>EJ16*EJ17*Inputs_Assumptions!$E$26</f>
        <v>0</v>
      </c>
      <c r="EK37" s="232">
        <f>EK16*EK17*Inputs_Assumptions!$E$26</f>
        <v>0</v>
      </c>
      <c r="EL37" s="232">
        <f>EL16*EL17*Inputs_Assumptions!$E$26</f>
        <v>0</v>
      </c>
      <c r="EM37" s="232">
        <f>EM16*EM17*Inputs_Assumptions!$E$26</f>
        <v>0</v>
      </c>
      <c r="EN37" s="232">
        <f>EN16*EN17*Inputs_Assumptions!$E$26</f>
        <v>0</v>
      </c>
      <c r="EO37" s="232">
        <f>EO16*EO17*Inputs_Assumptions!$E$26</f>
        <v>0</v>
      </c>
      <c r="EP37" s="232">
        <f>EP16*EP17*Inputs_Assumptions!$E$26</f>
        <v>0</v>
      </c>
      <c r="EQ37" s="232">
        <f>EQ16*EQ17*Inputs_Assumptions!$E$26</f>
        <v>0</v>
      </c>
      <c r="ER37" s="232">
        <f>ER16*ER17*Inputs_Assumptions!$E$26</f>
        <v>0</v>
      </c>
      <c r="ES37" s="232">
        <f>ES16*ES17*Inputs_Assumptions!$E$26</f>
        <v>0</v>
      </c>
      <c r="ET37" s="232">
        <f>ET16*ET17*Inputs_Assumptions!$E$26</f>
        <v>0</v>
      </c>
      <c r="EU37" s="232">
        <f>EU16*EU17*Inputs_Assumptions!$E$26</f>
        <v>0</v>
      </c>
      <c r="EV37" s="232">
        <f>EV16*EV17*Inputs_Assumptions!$E$26</f>
        <v>0</v>
      </c>
      <c r="EW37" s="232">
        <f>EW16*EW17*Inputs_Assumptions!$E$26</f>
        <v>0</v>
      </c>
      <c r="EX37" s="232">
        <f>EX16*EX17*Inputs_Assumptions!$E$26</f>
        <v>0</v>
      </c>
      <c r="EY37" s="232">
        <f>EY16*EY17*Inputs_Assumptions!$E$26</f>
        <v>0</v>
      </c>
      <c r="EZ37" s="232">
        <f>EZ16*EZ17*Inputs_Assumptions!$E$26</f>
        <v>0</v>
      </c>
      <c r="FA37" s="232">
        <f>FA16*FA17*Inputs_Assumptions!$E$26</f>
        <v>0</v>
      </c>
    </row>
    <row r="38" spans="2:157" ht="15.5" customHeight="1" outlineLevel="1" x14ac:dyDescent="0.2">
      <c r="B38" s="1"/>
      <c r="C38" s="30"/>
      <c r="D38" s="21"/>
      <c r="E38" s="5"/>
      <c r="F38" s="21"/>
      <c r="G38" s="220"/>
      <c r="H38" s="221"/>
      <c r="I38" s="221"/>
      <c r="J38" s="221"/>
      <c r="K38" s="221"/>
      <c r="L38" s="221"/>
      <c r="M38" s="221"/>
      <c r="N38" s="221"/>
      <c r="O38" s="221"/>
      <c r="P38" s="221"/>
      <c r="Q38" s="221"/>
      <c r="R38" s="221"/>
      <c r="S38" s="221"/>
      <c r="T38" s="221"/>
      <c r="U38" s="221"/>
      <c r="V38" s="221"/>
      <c r="W38" s="221"/>
      <c r="X38" s="221"/>
      <c r="Y38" s="221"/>
      <c r="Z38" s="221"/>
      <c r="AA38" s="221"/>
      <c r="AB38" s="221"/>
      <c r="AC38" s="221"/>
      <c r="AD38" s="221"/>
      <c r="AE38" s="221"/>
      <c r="AF38" s="221"/>
      <c r="AG38" s="221"/>
      <c r="AH38" s="221"/>
      <c r="AI38" s="221"/>
      <c r="AJ38" s="221"/>
      <c r="AK38" s="221"/>
      <c r="AL38" s="221"/>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51"/>
      <c r="CV38" s="222"/>
      <c r="CW38" s="222"/>
      <c r="CX38" s="222"/>
      <c r="CY38" s="222"/>
      <c r="CZ38" s="222"/>
      <c r="DA38" s="222"/>
      <c r="DB38" s="222"/>
      <c r="DC38" s="222"/>
      <c r="DD38" s="222"/>
      <c r="DE38" s="222"/>
      <c r="DF38" s="222"/>
      <c r="DG38" s="222"/>
      <c r="DH38" s="222"/>
      <c r="DI38" s="222"/>
      <c r="DJ38" s="222"/>
      <c r="DK38" s="222"/>
      <c r="DL38" s="222"/>
      <c r="DM38" s="222"/>
      <c r="DN38" s="222"/>
      <c r="DO38" s="222"/>
      <c r="DP38" s="222"/>
      <c r="DQ38" s="222"/>
      <c r="DR38" s="222"/>
      <c r="DS38" s="222"/>
      <c r="DT38" s="222"/>
      <c r="DU38" s="222"/>
      <c r="DV38" s="222"/>
      <c r="DW38" s="222"/>
      <c r="DX38" s="222"/>
      <c r="DY38" s="222"/>
      <c r="DZ38" s="222"/>
      <c r="EA38" s="222"/>
      <c r="EB38" s="222"/>
      <c r="EC38" s="222"/>
      <c r="ED38" s="222"/>
      <c r="EE38" s="222"/>
      <c r="EF38" s="222"/>
      <c r="EG38" s="222"/>
      <c r="EH38" s="222"/>
      <c r="EI38" s="222"/>
      <c r="EJ38" s="222"/>
      <c r="EK38" s="222"/>
      <c r="EL38" s="222"/>
      <c r="EM38" s="222"/>
      <c r="EN38" s="222"/>
      <c r="EO38" s="222"/>
      <c r="EP38" s="222"/>
      <c r="EQ38" s="222"/>
      <c r="ER38" s="222"/>
      <c r="ES38" s="222"/>
      <c r="ET38" s="222"/>
      <c r="EU38" s="222"/>
      <c r="EV38" s="222"/>
      <c r="EW38" s="222"/>
      <c r="EX38" s="222"/>
      <c r="EY38" s="222"/>
      <c r="EZ38" s="222"/>
      <c r="FA38" s="222"/>
    </row>
    <row r="39" spans="2:157" outlineLevel="1" x14ac:dyDescent="0.2">
      <c r="B39" s="1"/>
      <c r="C39" s="30" t="s">
        <v>328</v>
      </c>
      <c r="D39" s="21" t="s">
        <v>98</v>
      </c>
      <c r="E39" s="5"/>
      <c r="F39" s="21"/>
      <c r="G39" s="226">
        <f t="shared" ref="G39:AL39" si="348">G20*CfD_Strike_Price</f>
        <v>94.701204316574746</v>
      </c>
      <c r="H39" s="226">
        <f t="shared" si="348"/>
        <v>95.28761750103736</v>
      </c>
      <c r="I39" s="226">
        <f t="shared" si="348"/>
        <v>95.877661900386769</v>
      </c>
      <c r="J39" s="226">
        <f t="shared" si="348"/>
        <v>96.471360000000004</v>
      </c>
      <c r="K39" s="226">
        <f t="shared" si="348"/>
        <v>97.068734424489122</v>
      </c>
      <c r="L39" s="226">
        <f t="shared" si="348"/>
        <v>97.669807938563309</v>
      </c>
      <c r="M39" s="226">
        <f t="shared" si="348"/>
        <v>98.274603447896453</v>
      </c>
      <c r="N39" s="226">
        <f t="shared" si="348"/>
        <v>98.88314400000003</v>
      </c>
      <c r="O39" s="226">
        <f t="shared" si="348"/>
        <v>99.495452785101378</v>
      </c>
      <c r="P39" s="226">
        <f t="shared" si="348"/>
        <v>100.11155313702743</v>
      </c>
      <c r="Q39" s="226">
        <f t="shared" si="348"/>
        <v>100.73146853409391</v>
      </c>
      <c r="R39" s="226">
        <f t="shared" si="348"/>
        <v>101.35522260000009</v>
      </c>
      <c r="S39" s="226">
        <f t="shared" si="348"/>
        <v>101.98283910472898</v>
      </c>
      <c r="T39" s="226">
        <f t="shared" si="348"/>
        <v>102.61434196545316</v>
      </c>
      <c r="U39" s="226">
        <f t="shared" si="348"/>
        <v>103.24975524744632</v>
      </c>
      <c r="V39" s="226">
        <f t="shared" si="348"/>
        <v>103.88910316500014</v>
      </c>
      <c r="W39" s="226">
        <f t="shared" si="348"/>
        <v>104.53241008234724</v>
      </c>
      <c r="X39" s="226">
        <f t="shared" si="348"/>
        <v>105.17970051458954</v>
      </c>
      <c r="Y39" s="226">
        <f t="shared" si="348"/>
        <v>105.83099912863251</v>
      </c>
      <c r="Z39" s="226">
        <f t="shared" si="348"/>
        <v>106.4863307441252</v>
      </c>
      <c r="AA39" s="226">
        <f t="shared" si="348"/>
        <v>107.14572033440596</v>
      </c>
      <c r="AB39" s="226">
        <f t="shared" si="348"/>
        <v>107.80919302745431</v>
      </c>
      <c r="AC39" s="226">
        <f t="shared" si="348"/>
        <v>108.47677410684837</v>
      </c>
      <c r="AD39" s="226">
        <f t="shared" si="348"/>
        <v>109.14848901272835</v>
      </c>
      <c r="AE39" s="226">
        <f t="shared" si="348"/>
        <v>109.82436334276615</v>
      </c>
      <c r="AF39" s="226">
        <f t="shared" si="348"/>
        <v>110.50442285314071</v>
      </c>
      <c r="AG39" s="226">
        <f t="shared" si="348"/>
        <v>111.18869345951961</v>
      </c>
      <c r="AH39" s="226">
        <f t="shared" si="348"/>
        <v>111.8772012380466</v>
      </c>
      <c r="AI39" s="226">
        <f t="shared" si="348"/>
        <v>112.56997242633534</v>
      </c>
      <c r="AJ39" s="226">
        <f t="shared" si="348"/>
        <v>113.26703342446928</v>
      </c>
      <c r="AK39" s="226">
        <f t="shared" si="348"/>
        <v>113.96841079600765</v>
      </c>
      <c r="AL39" s="226">
        <f t="shared" si="348"/>
        <v>114.67413126899781</v>
      </c>
      <c r="AM39" s="226">
        <f t="shared" ref="AM39:BR39" si="349">AM20*CfD_Strike_Price</f>
        <v>115.38422173699377</v>
      </c>
      <c r="AN39" s="226">
        <f t="shared" si="349"/>
        <v>116.09870926008105</v>
      </c>
      <c r="AO39" s="226">
        <f t="shared" si="349"/>
        <v>116.81762106590787</v>
      </c>
      <c r="AP39" s="226">
        <f t="shared" si="349"/>
        <v>117.54098455072278</v>
      </c>
      <c r="AQ39" s="226">
        <f t="shared" si="349"/>
        <v>118.26882728041865</v>
      </c>
      <c r="AR39" s="226">
        <f t="shared" si="349"/>
        <v>119.00117699158312</v>
      </c>
      <c r="AS39" s="226">
        <f t="shared" si="349"/>
        <v>119.73806159255561</v>
      </c>
      <c r="AT39" s="226">
        <f t="shared" si="349"/>
        <v>120.47950916449091</v>
      </c>
      <c r="AU39" s="226">
        <f t="shared" si="349"/>
        <v>121.22554796242916</v>
      </c>
      <c r="AV39" s="226">
        <f t="shared" si="349"/>
        <v>121.97620641637275</v>
      </c>
      <c r="AW39" s="226">
        <f t="shared" si="349"/>
        <v>122.73151313236956</v>
      </c>
      <c r="AX39" s="226">
        <f t="shared" si="349"/>
        <v>123.49149689360323</v>
      </c>
      <c r="AY39" s="226">
        <f t="shared" si="349"/>
        <v>124.25618666148995</v>
      </c>
      <c r="AZ39" s="226">
        <f t="shared" si="349"/>
        <v>125.02561157678211</v>
      </c>
      <c r="BA39" s="226">
        <f t="shared" si="349"/>
        <v>125.79980096067884</v>
      </c>
      <c r="BB39" s="226">
        <f t="shared" si="349"/>
        <v>126.57878431594335</v>
      </c>
      <c r="BC39" s="226">
        <f t="shared" si="349"/>
        <v>127.36259132802722</v>
      </c>
      <c r="BD39" s="226">
        <f t="shared" si="349"/>
        <v>128.15125186620168</v>
      </c>
      <c r="BE39" s="226">
        <f t="shared" si="349"/>
        <v>128.94479598469584</v>
      </c>
      <c r="BF39" s="226">
        <f t="shared" si="349"/>
        <v>129.74325392384196</v>
      </c>
      <c r="BG39" s="226">
        <f t="shared" si="349"/>
        <v>130.54665611122795</v>
      </c>
      <c r="BH39" s="226">
        <f t="shared" si="349"/>
        <v>131.35503316285678</v>
      </c>
      <c r="BI39" s="226">
        <f t="shared" si="349"/>
        <v>132.1684158843133</v>
      </c>
      <c r="BJ39" s="226">
        <f t="shared" si="349"/>
        <v>132.98683527193808</v>
      </c>
      <c r="BK39" s="226">
        <f t="shared" si="349"/>
        <v>133.8103225140087</v>
      </c>
      <c r="BL39" s="226">
        <f t="shared" si="349"/>
        <v>134.63890899192825</v>
      </c>
      <c r="BM39" s="226">
        <f t="shared" si="349"/>
        <v>135.47262628142116</v>
      </c>
      <c r="BN39" s="226">
        <f t="shared" si="349"/>
        <v>136.31150615373656</v>
      </c>
      <c r="BO39" s="226">
        <f t="shared" si="349"/>
        <v>137.15558057685897</v>
      </c>
      <c r="BP39" s="226">
        <f t="shared" si="349"/>
        <v>138.00488171672649</v>
      </c>
      <c r="BQ39" s="226">
        <f t="shared" si="349"/>
        <v>138.85944193845674</v>
      </c>
      <c r="BR39" s="226">
        <f t="shared" si="349"/>
        <v>139.71929380758002</v>
      </c>
      <c r="BS39" s="226">
        <f t="shared" ref="BS39:CX39" si="350">BS20*CfD_Strike_Price</f>
        <v>140.58447009128048</v>
      </c>
      <c r="BT39" s="226">
        <f t="shared" si="350"/>
        <v>141.45500375964471</v>
      </c>
      <c r="BU39" s="226">
        <f t="shared" si="350"/>
        <v>142.3309279869182</v>
      </c>
      <c r="BV39" s="226">
        <f t="shared" si="350"/>
        <v>143.21227615276959</v>
      </c>
      <c r="BW39" s="226">
        <f t="shared" si="350"/>
        <v>144.09908184356254</v>
      </c>
      <c r="BX39" s="226">
        <f t="shared" si="350"/>
        <v>144.99137885363587</v>
      </c>
      <c r="BY39" s="226">
        <f t="shared" si="350"/>
        <v>145.88920118659121</v>
      </c>
      <c r="BZ39" s="226">
        <f t="shared" si="350"/>
        <v>146.79258305658885</v>
      </c>
      <c r="CA39" s="226">
        <f t="shared" si="350"/>
        <v>147.70155888965164</v>
      </c>
      <c r="CB39" s="226">
        <f t="shared" si="350"/>
        <v>148.61616332497681</v>
      </c>
      <c r="CC39" s="226">
        <f t="shared" si="350"/>
        <v>149.53643121625603</v>
      </c>
      <c r="CD39" s="226">
        <f t="shared" si="350"/>
        <v>150.46239763300363</v>
      </c>
      <c r="CE39" s="226">
        <f t="shared" si="350"/>
        <v>151.39409786189299</v>
      </c>
      <c r="CF39" s="226">
        <f t="shared" si="350"/>
        <v>152.33156740810131</v>
      </c>
      <c r="CG39" s="226">
        <f t="shared" si="350"/>
        <v>153.27484199666247</v>
      </c>
      <c r="CH39" s="226">
        <f t="shared" si="350"/>
        <v>154.22395757382876</v>
      </c>
      <c r="CI39" s="226">
        <f t="shared" si="350"/>
        <v>155.17895030844036</v>
      </c>
      <c r="CJ39" s="226">
        <f t="shared" si="350"/>
        <v>156.13985659330388</v>
      </c>
      <c r="CK39" s="226">
        <f t="shared" si="350"/>
        <v>157.1067130465791</v>
      </c>
      <c r="CL39" s="226">
        <f t="shared" si="350"/>
        <v>158.07955651317454</v>
      </c>
      <c r="CM39" s="226">
        <f t="shared" si="350"/>
        <v>159.05842406615145</v>
      </c>
      <c r="CN39" s="226">
        <f t="shared" si="350"/>
        <v>160.04335300813653</v>
      </c>
      <c r="CO39" s="226">
        <f t="shared" si="350"/>
        <v>161.03438087274364</v>
      </c>
      <c r="CP39" s="226">
        <f t="shared" si="350"/>
        <v>162.03154542600399</v>
      </c>
      <c r="CQ39" s="226">
        <f t="shared" si="350"/>
        <v>163.03488466780527</v>
      </c>
      <c r="CR39" s="226">
        <f t="shared" si="350"/>
        <v>164.04443683334</v>
      </c>
      <c r="CS39" s="226">
        <f t="shared" si="350"/>
        <v>165.0602403945623</v>
      </c>
      <c r="CT39" s="226">
        <f t="shared" si="350"/>
        <v>166.08233406165414</v>
      </c>
      <c r="CU39" s="252">
        <f t="shared" si="350"/>
        <v>167.11075678450047</v>
      </c>
      <c r="CV39" s="226">
        <f t="shared" si="350"/>
        <v>168.14554775417355</v>
      </c>
      <c r="CW39" s="226">
        <f t="shared" si="350"/>
        <v>169.1867464044264</v>
      </c>
      <c r="CX39" s="226">
        <f t="shared" si="350"/>
        <v>170.23439241319554</v>
      </c>
      <c r="CY39" s="226">
        <f t="shared" ref="CY39:ED39" si="351">CY20*CfD_Strike_Price</f>
        <v>171.28852570411303</v>
      </c>
      <c r="CZ39" s="226">
        <f t="shared" si="351"/>
        <v>172.34918644802795</v>
      </c>
      <c r="DA39" s="226">
        <f t="shared" si="351"/>
        <v>173.41641506453712</v>
      </c>
      <c r="DB39" s="226">
        <f t="shared" si="351"/>
        <v>174.49025222352549</v>
      </c>
      <c r="DC39" s="226">
        <f t="shared" si="351"/>
        <v>175.57073884671593</v>
      </c>
      <c r="DD39" s="226">
        <f t="shared" si="351"/>
        <v>176.65791610922872</v>
      </c>
      <c r="DE39" s="226">
        <f t="shared" si="351"/>
        <v>177.75182544115063</v>
      </c>
      <c r="DF39" s="226">
        <f t="shared" si="351"/>
        <v>178.85250852911372</v>
      </c>
      <c r="DG39" s="226">
        <f t="shared" si="351"/>
        <v>179.96000731788391</v>
      </c>
      <c r="DH39" s="226">
        <f t="shared" si="351"/>
        <v>181.07436401195955</v>
      </c>
      <c r="DI39" s="226">
        <f t="shared" si="351"/>
        <v>182.19562107717948</v>
      </c>
      <c r="DJ39" s="226">
        <f t="shared" si="351"/>
        <v>183.32382124234164</v>
      </c>
      <c r="DK39" s="226">
        <f t="shared" si="351"/>
        <v>184.45900750083112</v>
      </c>
      <c r="DL39" s="226">
        <f t="shared" si="351"/>
        <v>185.60122311225859</v>
      </c>
      <c r="DM39" s="226">
        <f t="shared" si="351"/>
        <v>186.75051160410905</v>
      </c>
      <c r="DN39" s="226">
        <f t="shared" si="351"/>
        <v>187.90691677340027</v>
      </c>
      <c r="DO39" s="226">
        <f t="shared" si="351"/>
        <v>189.07048268835197</v>
      </c>
      <c r="DP39" s="226">
        <f t="shared" si="351"/>
        <v>190.24125369006515</v>
      </c>
      <c r="DQ39" s="226">
        <f t="shared" si="351"/>
        <v>191.41927439421187</v>
      </c>
      <c r="DR39" s="226">
        <f t="shared" si="351"/>
        <v>192.60458969273537</v>
      </c>
      <c r="DS39" s="226">
        <f t="shared" si="351"/>
        <v>193.79724475556083</v>
      </c>
      <c r="DT39" s="226">
        <f t="shared" si="351"/>
        <v>194.99728503231685</v>
      </c>
      <c r="DU39" s="226">
        <f t="shared" si="351"/>
        <v>196.20475625406723</v>
      </c>
      <c r="DV39" s="226">
        <f t="shared" si="351"/>
        <v>197.4197044350538</v>
      </c>
      <c r="DW39" s="226">
        <f t="shared" si="351"/>
        <v>198.64217587444995</v>
      </c>
      <c r="DX39" s="226">
        <f t="shared" si="351"/>
        <v>199.87221715812484</v>
      </c>
      <c r="DY39" s="226">
        <f t="shared" si="351"/>
        <v>201.10987516041899</v>
      </c>
      <c r="DZ39" s="226">
        <f t="shared" si="351"/>
        <v>202.35519704593023</v>
      </c>
      <c r="EA39" s="226">
        <f t="shared" si="351"/>
        <v>203.60823027131124</v>
      </c>
      <c r="EB39" s="226">
        <f t="shared" si="351"/>
        <v>204.86902258707806</v>
      </c>
      <c r="EC39" s="226">
        <f t="shared" si="351"/>
        <v>206.13762203942952</v>
      </c>
      <c r="ED39" s="226">
        <f t="shared" si="351"/>
        <v>207.41407697207856</v>
      </c>
      <c r="EE39" s="226">
        <f t="shared" ref="EE39:FA39" si="352">EE20*CfD_Strike_Price</f>
        <v>208.69843602809411</v>
      </c>
      <c r="EF39" s="226">
        <f t="shared" si="352"/>
        <v>209.99074815175507</v>
      </c>
      <c r="EG39" s="226">
        <f t="shared" si="352"/>
        <v>211.29106259041535</v>
      </c>
      <c r="EH39" s="226">
        <f t="shared" si="352"/>
        <v>212.5994288963806</v>
      </c>
      <c r="EI39" s="226">
        <f t="shared" si="352"/>
        <v>213.91589692879654</v>
      </c>
      <c r="EJ39" s="226">
        <f t="shared" si="352"/>
        <v>215.24051685554903</v>
      </c>
      <c r="EK39" s="226">
        <f t="shared" si="352"/>
        <v>216.5733391551758</v>
      </c>
      <c r="EL39" s="226">
        <f t="shared" si="352"/>
        <v>217.91441461879018</v>
      </c>
      <c r="EM39" s="226">
        <f t="shared" si="352"/>
        <v>219.2637943520165</v>
      </c>
      <c r="EN39" s="226">
        <f t="shared" si="352"/>
        <v>220.62152977693779</v>
      </c>
      <c r="EO39" s="226">
        <f t="shared" si="352"/>
        <v>221.98767263405523</v>
      </c>
      <c r="EP39" s="226">
        <f t="shared" si="352"/>
        <v>223.36227498425998</v>
      </c>
      <c r="EQ39" s="226">
        <f t="shared" si="352"/>
        <v>224.745389210817</v>
      </c>
      <c r="ER39" s="226">
        <f t="shared" si="352"/>
        <v>226.1370680213613</v>
      </c>
      <c r="ES39" s="226">
        <f t="shared" si="352"/>
        <v>227.53736444990668</v>
      </c>
      <c r="ET39" s="226">
        <f t="shared" si="352"/>
        <v>228.94633185886656</v>
      </c>
      <c r="EU39" s="226">
        <f t="shared" si="352"/>
        <v>230.36402394108748</v>
      </c>
      <c r="EV39" s="226">
        <f t="shared" si="352"/>
        <v>231.79049472189539</v>
      </c>
      <c r="EW39" s="226">
        <f t="shared" si="352"/>
        <v>233.22579856115439</v>
      </c>
      <c r="EX39" s="226">
        <f t="shared" si="352"/>
        <v>234.66999015533827</v>
      </c>
      <c r="EY39" s="226">
        <f t="shared" si="352"/>
        <v>236.12312453961471</v>
      </c>
      <c r="EZ39" s="226">
        <f t="shared" si="352"/>
        <v>237.58525708994284</v>
      </c>
      <c r="FA39" s="226">
        <f t="shared" si="352"/>
        <v>239.05644352518334</v>
      </c>
    </row>
    <row r="40" spans="2:157" outlineLevel="1" x14ac:dyDescent="0.2">
      <c r="B40" s="1"/>
      <c r="C40" s="30" t="s">
        <v>329</v>
      </c>
      <c r="D40" s="21" t="s">
        <v>98</v>
      </c>
      <c r="E40" s="5"/>
      <c r="F40" s="21"/>
      <c r="G40" s="226">
        <f>G20*Merchant_Price*(1-Inputs_Assumptions!$E$121)</f>
        <v>46.526329470097409</v>
      </c>
      <c r="H40" s="226">
        <f>H20*Merchant_Price*(1-Inputs_Assumptions!$E$121)</f>
        <v>46.814431962803951</v>
      </c>
      <c r="I40" s="226">
        <f>I20*Merchant_Price*(1-Inputs_Assumptions!$E$121)</f>
        <v>47.104318457112363</v>
      </c>
      <c r="J40" s="226">
        <f>J20*Merchant_Price*(1-Inputs_Assumptions!$E$121)</f>
        <v>47.396000000000008</v>
      </c>
      <c r="K40" s="226">
        <f>K20*Merchant_Price*(1-Inputs_Assumptions!$E$121)</f>
        <v>47.689487706849853</v>
      </c>
      <c r="L40" s="226">
        <f>L20*Merchant_Price*(1-Inputs_Assumptions!$E$121)</f>
        <v>47.984792761874061</v>
      </c>
      <c r="M40" s="226">
        <f>M20*Merchant_Price*(1-Inputs_Assumptions!$E$121)</f>
        <v>48.281926418540181</v>
      </c>
      <c r="N40" s="226">
        <f>N20*Merchant_Price*(1-Inputs_Assumptions!$E$121)</f>
        <v>48.580900000000014</v>
      </c>
      <c r="O40" s="226">
        <f>O20*Merchant_Price*(1-Inputs_Assumptions!$E$121)</f>
        <v>48.88172489952111</v>
      </c>
      <c r="P40" s="226">
        <f>P20*Merchant_Price*(1-Inputs_Assumptions!$E$121)</f>
        <v>49.184412580920927</v>
      </c>
      <c r="Q40" s="226">
        <f>Q20*Merchant_Price*(1-Inputs_Assumptions!$E$121)</f>
        <v>49.48897457900371</v>
      </c>
      <c r="R40" s="226">
        <f>R20*Merchant_Price*(1-Inputs_Assumptions!$E$121)</f>
        <v>49.795422500000043</v>
      </c>
      <c r="S40" s="226">
        <f>S20*Merchant_Price*(1-Inputs_Assumptions!$E$121)</f>
        <v>50.103768022009177</v>
      </c>
      <c r="T40" s="226">
        <f>T20*Merchant_Price*(1-Inputs_Assumptions!$E$121)</f>
        <v>50.414022895443978</v>
      </c>
      <c r="U40" s="226">
        <f>U20*Merchant_Price*(1-Inputs_Assumptions!$E$121)</f>
        <v>50.726198943478835</v>
      </c>
      <c r="V40" s="226">
        <f>V20*Merchant_Price*(1-Inputs_Assumptions!$E$121)</f>
        <v>51.040308062500074</v>
      </c>
      <c r="W40" s="226">
        <f>W20*Merchant_Price*(1-Inputs_Assumptions!$E$121)</f>
        <v>51.356362222559419</v>
      </c>
      <c r="X40" s="226">
        <f>X20*Merchant_Price*(1-Inputs_Assumptions!$E$121)</f>
        <v>51.674373467830094</v>
      </c>
      <c r="Y40" s="226">
        <f>Y20*Merchant_Price*(1-Inputs_Assumptions!$E$121)</f>
        <v>51.994353917065816</v>
      </c>
      <c r="Z40" s="226">
        <f>Z20*Merchant_Price*(1-Inputs_Assumptions!$E$121)</f>
        <v>52.316315764062601</v>
      </c>
      <c r="AA40" s="226">
        <f>AA20*Merchant_Price*(1-Inputs_Assumptions!$E$121)</f>
        <v>52.640271278123436</v>
      </c>
      <c r="AB40" s="226">
        <f>AB20*Merchant_Price*(1-Inputs_Assumptions!$E$121)</f>
        <v>52.966232804525873</v>
      </c>
      <c r="AC40" s="226">
        <f>AC20*Merchant_Price*(1-Inputs_Assumptions!$E$121)</f>
        <v>53.294212764992487</v>
      </c>
      <c r="AD40" s="226">
        <f>AD20*Merchant_Price*(1-Inputs_Assumptions!$E$121)</f>
        <v>53.624223658164169</v>
      </c>
      <c r="AE40" s="226">
        <f>AE20*Merchant_Price*(1-Inputs_Assumptions!$E$121)</f>
        <v>53.956278060076535</v>
      </c>
      <c r="AF40" s="226">
        <f>AF20*Merchant_Price*(1-Inputs_Assumptions!$E$121)</f>
        <v>54.290388624639036</v>
      </c>
      <c r="AG40" s="226">
        <f>AG20*Merchant_Price*(1-Inputs_Assumptions!$E$121)</f>
        <v>54.626568084117309</v>
      </c>
      <c r="AH40" s="226">
        <f>AH20*Merchant_Price*(1-Inputs_Assumptions!$E$121)</f>
        <v>54.964829249618305</v>
      </c>
      <c r="AI40" s="226">
        <f>AI20*Merchant_Price*(1-Inputs_Assumptions!$E$121)</f>
        <v>55.305185011578466</v>
      </c>
      <c r="AJ40" s="226">
        <f>AJ20*Merchant_Price*(1-Inputs_Assumptions!$E$121)</f>
        <v>55.647648340255039</v>
      </c>
      <c r="AK40" s="226">
        <f>AK20*Merchant_Price*(1-Inputs_Assumptions!$E$121)</f>
        <v>55.992232286220272</v>
      </c>
      <c r="AL40" s="226">
        <f>AL20*Merchant_Price*(1-Inputs_Assumptions!$E$121)</f>
        <v>56.338949980858779</v>
      </c>
      <c r="AM40" s="226">
        <f>AM20*Merchant_Price*(1-Inputs_Assumptions!$E$121)</f>
        <v>56.687814636867941</v>
      </c>
      <c r="AN40" s="226">
        <f>AN20*Merchant_Price*(1-Inputs_Assumptions!$E$121)</f>
        <v>57.03883954876143</v>
      </c>
      <c r="AO40" s="226">
        <f>AO20*Merchant_Price*(1-Inputs_Assumptions!$E$121)</f>
        <v>57.392038093375788</v>
      </c>
      <c r="AP40" s="226">
        <f>AP20*Merchant_Price*(1-Inputs_Assumptions!$E$121)</f>
        <v>57.747423730380262</v>
      </c>
      <c r="AQ40" s="226">
        <f>AQ20*Merchant_Price*(1-Inputs_Assumptions!$E$121)</f>
        <v>58.105010002789669</v>
      </c>
      <c r="AR40" s="226">
        <f>AR20*Merchant_Price*(1-Inputs_Assumptions!$E$121)</f>
        <v>58.464810537480496</v>
      </c>
      <c r="AS40" s="226">
        <f>AS20*Merchant_Price*(1-Inputs_Assumptions!$E$121)</f>
        <v>58.826839045710216</v>
      </c>
      <c r="AT40" s="226">
        <f>AT20*Merchant_Price*(1-Inputs_Assumptions!$E$121)</f>
        <v>59.1911093236398</v>
      </c>
      <c r="AU40" s="226">
        <f>AU20*Merchant_Price*(1-Inputs_Assumptions!$E$121)</f>
        <v>59.557635252859427</v>
      </c>
      <c r="AV40" s="226">
        <f>AV20*Merchant_Price*(1-Inputs_Assumptions!$E$121)</f>
        <v>59.926430800917529</v>
      </c>
      <c r="AW40" s="226">
        <f>AW20*Merchant_Price*(1-Inputs_Assumptions!$E$121)</f>
        <v>60.297510021852986</v>
      </c>
      <c r="AX40" s="226">
        <f>AX20*Merchant_Price*(1-Inputs_Assumptions!$E$121)</f>
        <v>60.67088705673082</v>
      </c>
      <c r="AY40" s="226">
        <f>AY20*Merchant_Price*(1-Inputs_Assumptions!$E$121)</f>
        <v>61.046576134180945</v>
      </c>
      <c r="AZ40" s="226">
        <f>AZ20*Merchant_Price*(1-Inputs_Assumptions!$E$121)</f>
        <v>61.424591570940485</v>
      </c>
      <c r="BA40" s="226">
        <f>BA20*Merchant_Price*(1-Inputs_Assumptions!$E$121)</f>
        <v>61.804947772399345</v>
      </c>
      <c r="BB40" s="226">
        <f>BB20*Merchant_Price*(1-Inputs_Assumptions!$E$121)</f>
        <v>62.187659233149105</v>
      </c>
      <c r="BC40" s="226">
        <f>BC20*Merchant_Price*(1-Inputs_Assumptions!$E$121)</f>
        <v>62.572740537535481</v>
      </c>
      <c r="BD40" s="226">
        <f>BD20*Merchant_Price*(1-Inputs_Assumptions!$E$121)</f>
        <v>62.960206360214016</v>
      </c>
      <c r="BE40" s="226">
        <f>BE20*Merchant_Price*(1-Inputs_Assumptions!$E$121)</f>
        <v>63.350071466709338</v>
      </c>
      <c r="BF40" s="226">
        <f>BF20*Merchant_Price*(1-Inputs_Assumptions!$E$121)</f>
        <v>63.742350713977856</v>
      </c>
      <c r="BG40" s="226">
        <f>BG20*Merchant_Price*(1-Inputs_Assumptions!$E$121)</f>
        <v>64.137059050973889</v>
      </c>
      <c r="BH40" s="226">
        <f>BH20*Merchant_Price*(1-Inputs_Assumptions!$E$121)</f>
        <v>64.534211519219397</v>
      </c>
      <c r="BI40" s="226">
        <f>BI20*Merchant_Price*(1-Inputs_Assumptions!$E$121)</f>
        <v>64.933823253377099</v>
      </c>
      <c r="BJ40" s="226">
        <f>BJ20*Merchant_Price*(1-Inputs_Assumptions!$E$121)</f>
        <v>65.335909481827329</v>
      </c>
      <c r="BK40" s="226">
        <f>BK20*Merchant_Price*(1-Inputs_Assumptions!$E$121)</f>
        <v>65.740485527248254</v>
      </c>
      <c r="BL40" s="226">
        <f>BL20*Merchant_Price*(1-Inputs_Assumptions!$E$121)</f>
        <v>66.147566807199894</v>
      </c>
      <c r="BM40" s="226">
        <f>BM20*Merchant_Price*(1-Inputs_Assumptions!$E$121)</f>
        <v>66.557168834711547</v>
      </c>
      <c r="BN40" s="226">
        <f>BN20*Merchant_Price*(1-Inputs_Assumptions!$E$121)</f>
        <v>66.969307218873027</v>
      </c>
      <c r="BO40" s="226">
        <f>BO20*Merchant_Price*(1-Inputs_Assumptions!$E$121)</f>
        <v>67.383997665429476</v>
      </c>
      <c r="BP40" s="226">
        <f>BP20*Merchant_Price*(1-Inputs_Assumptions!$E$121)</f>
        <v>67.80125597737991</v>
      </c>
      <c r="BQ40" s="226">
        <f>BQ20*Merchant_Price*(1-Inputs_Assumptions!$E$121)</f>
        <v>68.221098055579361</v>
      </c>
      <c r="BR40" s="226">
        <f>BR20*Merchant_Price*(1-Inputs_Assumptions!$E$121)</f>
        <v>68.643539899344873</v>
      </c>
      <c r="BS40" s="226">
        <f>BS20*Merchant_Price*(1-Inputs_Assumptions!$E$121)</f>
        <v>69.068597607065243</v>
      </c>
      <c r="BT40" s="226">
        <f>BT20*Merchant_Price*(1-Inputs_Assumptions!$E$121)</f>
        <v>69.496287376814436</v>
      </c>
      <c r="BU40" s="226">
        <f>BU20*Merchant_Price*(1-Inputs_Assumptions!$E$121)</f>
        <v>69.926625506968861</v>
      </c>
      <c r="BV40" s="226">
        <f>BV20*Merchant_Price*(1-Inputs_Assumptions!$E$121)</f>
        <v>70.359628396828526</v>
      </c>
      <c r="BW40" s="226">
        <f>BW20*Merchant_Price*(1-Inputs_Assumptions!$E$121)</f>
        <v>70.795312547241892</v>
      </c>
      <c r="BX40" s="226">
        <f>BX20*Merchant_Price*(1-Inputs_Assumptions!$E$121)</f>
        <v>71.233694561234813</v>
      </c>
      <c r="BY40" s="226">
        <f>BY20*Merchant_Price*(1-Inputs_Assumptions!$E$121)</f>
        <v>71.674791144643109</v>
      </c>
      <c r="BZ40" s="226">
        <f>BZ20*Merchant_Price*(1-Inputs_Assumptions!$E$121)</f>
        <v>72.118619106749264</v>
      </c>
      <c r="CA40" s="226">
        <f>CA20*Merchant_Price*(1-Inputs_Assumptions!$E$121)</f>
        <v>72.565195360922971</v>
      </c>
      <c r="CB40" s="226">
        <f>CB20*Merchant_Price*(1-Inputs_Assumptions!$E$121)</f>
        <v>73.014536925265716</v>
      </c>
      <c r="CC40" s="226">
        <f>CC20*Merchant_Price*(1-Inputs_Assumptions!$E$121)</f>
        <v>73.466660923259198</v>
      </c>
      <c r="CD40" s="226">
        <f>CD20*Merchant_Price*(1-Inputs_Assumptions!$E$121)</f>
        <v>73.921584584418014</v>
      </c>
      <c r="CE40" s="226">
        <f>CE20*Merchant_Price*(1-Inputs_Assumptions!$E$121)</f>
        <v>74.37932524494606</v>
      </c>
      <c r="CF40" s="226">
        <f>CF20*Merchant_Price*(1-Inputs_Assumptions!$E$121)</f>
        <v>74.839900348397393</v>
      </c>
      <c r="CG40" s="226">
        <f>CG20*Merchant_Price*(1-Inputs_Assumptions!$E$121)</f>
        <v>75.303327446340717</v>
      </c>
      <c r="CH40" s="226">
        <f>CH20*Merchant_Price*(1-Inputs_Assumptions!$E$121)</f>
        <v>75.769624199028485</v>
      </c>
      <c r="CI40" s="226">
        <f>CI20*Merchant_Price*(1-Inputs_Assumptions!$E$121)</f>
        <v>76.238808376069741</v>
      </c>
      <c r="CJ40" s="226">
        <f>CJ20*Merchant_Price*(1-Inputs_Assumptions!$E$121)</f>
        <v>76.710897857107341</v>
      </c>
      <c r="CK40" s="226">
        <f>CK20*Merchant_Price*(1-Inputs_Assumptions!$E$121)</f>
        <v>77.185910632499258</v>
      </c>
      <c r="CL40" s="226">
        <f>CL20*Merchant_Price*(1-Inputs_Assumptions!$E$121)</f>
        <v>77.66386480400422</v>
      </c>
      <c r="CM40" s="226">
        <f>CM20*Merchant_Price*(1-Inputs_Assumptions!$E$121)</f>
        <v>78.144778585471514</v>
      </c>
      <c r="CN40" s="226">
        <f>CN20*Merchant_Price*(1-Inputs_Assumptions!$E$121)</f>
        <v>78.628670303535046</v>
      </c>
      <c r="CO40" s="226">
        <f>CO20*Merchant_Price*(1-Inputs_Assumptions!$E$121)</f>
        <v>79.115558398311762</v>
      </c>
      <c r="CP40" s="226">
        <f>CP20*Merchant_Price*(1-Inputs_Assumptions!$E$121)</f>
        <v>79.605461424104362</v>
      </c>
      <c r="CQ40" s="226">
        <f>CQ20*Merchant_Price*(1-Inputs_Assumptions!$E$121)</f>
        <v>80.098398050108344</v>
      </c>
      <c r="CR40" s="226">
        <f>CR20*Merchant_Price*(1-Inputs_Assumptions!$E$121)</f>
        <v>80.594387061123456</v>
      </c>
      <c r="CS40" s="226">
        <f>CS20*Merchant_Price*(1-Inputs_Assumptions!$E$121)</f>
        <v>81.0934473582696</v>
      </c>
      <c r="CT40" s="226">
        <f>CT20*Merchant_Price*(1-Inputs_Assumptions!$E$121)</f>
        <v>81.595597959706993</v>
      </c>
      <c r="CU40" s="252">
        <f>CU20*Merchant_Price*(1-Inputs_Assumptions!$E$121)</f>
        <v>82.100858001361075</v>
      </c>
      <c r="CV40" s="226">
        <f>CV20*Merchant_Price*(1-Inputs_Assumptions!$E$121)</f>
        <v>82.609246737651574</v>
      </c>
      <c r="CW40" s="226">
        <f>CW20*Merchant_Price*(1-Inputs_Assumptions!$E$121)</f>
        <v>83.120783542226363</v>
      </c>
      <c r="CX40" s="226">
        <f>CX20*Merchant_Price*(1-Inputs_Assumptions!$E$121)</f>
        <v>83.635487908699702</v>
      </c>
      <c r="CY40" s="226">
        <f>CY20*Merchant_Price*(1-Inputs_Assumptions!$E$121)</f>
        <v>84.153379451395125</v>
      </c>
      <c r="CZ40" s="226">
        <f>CZ20*Merchant_Price*(1-Inputs_Assumptions!$E$121)</f>
        <v>84.674477906092889</v>
      </c>
      <c r="DA40" s="226">
        <f>DA20*Merchant_Price*(1-Inputs_Assumptions!$E$121)</f>
        <v>85.198803130782039</v>
      </c>
      <c r="DB40" s="226">
        <f>DB20*Merchant_Price*(1-Inputs_Assumptions!$E$121)</f>
        <v>85.726375106417223</v>
      </c>
      <c r="DC40" s="226">
        <f>DC20*Merchant_Price*(1-Inputs_Assumptions!$E$121)</f>
        <v>86.257213937680035</v>
      </c>
      <c r="DD40" s="226">
        <f>DD20*Merchant_Price*(1-Inputs_Assumptions!$E$121)</f>
        <v>86.791339853745242</v>
      </c>
      <c r="DE40" s="226">
        <f>DE20*Merchant_Price*(1-Inputs_Assumptions!$E$121)</f>
        <v>87.328773209051633</v>
      </c>
      <c r="DF40" s="226">
        <f>DF20*Merchant_Price*(1-Inputs_Assumptions!$E$121)</f>
        <v>87.86953448407769</v>
      </c>
      <c r="DG40" s="226">
        <f>DG20*Merchant_Price*(1-Inputs_Assumptions!$E$121)</f>
        <v>88.413644286122093</v>
      </c>
      <c r="DH40" s="226">
        <f>DH20*Merchant_Price*(1-Inputs_Assumptions!$E$121)</f>
        <v>88.961123350088926</v>
      </c>
      <c r="DI40" s="226">
        <f>DI20*Merchant_Price*(1-Inputs_Assumptions!$E$121)</f>
        <v>89.511992539277969</v>
      </c>
      <c r="DJ40" s="226">
        <f>DJ20*Merchant_Price*(1-Inputs_Assumptions!$E$121)</f>
        <v>90.066272846179686</v>
      </c>
      <c r="DK40" s="226">
        <f>DK20*Merchant_Price*(1-Inputs_Assumptions!$E$121)</f>
        <v>90.623985393275177</v>
      </c>
      <c r="DL40" s="226">
        <f>DL20*Merchant_Price*(1-Inputs_Assumptions!$E$121)</f>
        <v>91.185151433841185</v>
      </c>
      <c r="DM40" s="226">
        <f>DM20*Merchant_Price*(1-Inputs_Assumptions!$E$121)</f>
        <v>91.749792352759968</v>
      </c>
      <c r="DN40" s="226">
        <f>DN20*Merchant_Price*(1-Inputs_Assumptions!$E$121)</f>
        <v>92.317929667334226</v>
      </c>
      <c r="DO40" s="226">
        <f>DO20*Merchant_Price*(1-Inputs_Assumptions!$E$121)</f>
        <v>92.889585028107106</v>
      </c>
      <c r="DP40" s="226">
        <f>DP20*Merchant_Price*(1-Inputs_Assumptions!$E$121)</f>
        <v>93.464780219687256</v>
      </c>
      <c r="DQ40" s="226">
        <f>DQ20*Merchant_Price*(1-Inputs_Assumptions!$E$121)</f>
        <v>94.04353716157901</v>
      </c>
      <c r="DR40" s="226">
        <f>DR20*Merchant_Price*(1-Inputs_Assumptions!$E$121)</f>
        <v>94.625877909017618</v>
      </c>
      <c r="DS40" s="226">
        <f>DS20*Merchant_Price*(1-Inputs_Assumptions!$E$121)</f>
        <v>95.211824653809813</v>
      </c>
      <c r="DT40" s="226">
        <f>DT20*Merchant_Price*(1-Inputs_Assumptions!$E$121)</f>
        <v>95.801399725179465</v>
      </c>
      <c r="DU40" s="226">
        <f>DU20*Merchant_Price*(1-Inputs_Assumptions!$E$121)</f>
        <v>96.394625590618517</v>
      </c>
      <c r="DV40" s="226">
        <f>DV20*Merchant_Price*(1-Inputs_Assumptions!$E$121)</f>
        <v>96.991524856743084</v>
      </c>
      <c r="DW40" s="226">
        <f>DW20*Merchant_Price*(1-Inputs_Assumptions!$E$121)</f>
        <v>97.592120270155107</v>
      </c>
      <c r="DX40" s="226">
        <f>DX20*Merchant_Price*(1-Inputs_Assumptions!$E$121)</f>
        <v>98.196434718308993</v>
      </c>
      <c r="DY40" s="226">
        <f>DY20*Merchant_Price*(1-Inputs_Assumptions!$E$121)</f>
        <v>98.804491230384031</v>
      </c>
      <c r="DZ40" s="226">
        <f>DZ20*Merchant_Price*(1-Inputs_Assumptions!$E$121)</f>
        <v>99.416312978161713</v>
      </c>
      <c r="EA40" s="226">
        <f>EA20*Merchant_Price*(1-Inputs_Assumptions!$E$121)</f>
        <v>100.03192327690901</v>
      </c>
      <c r="EB40" s="226">
        <f>EB20*Merchant_Price*(1-Inputs_Assumptions!$E$121)</f>
        <v>100.65134558626676</v>
      </c>
      <c r="EC40" s="226">
        <f>EC20*Merchant_Price*(1-Inputs_Assumptions!$E$121)</f>
        <v>101.27460351114365</v>
      </c>
      <c r="ED40" s="226">
        <f>ED20*Merchant_Price*(1-Inputs_Assumptions!$E$121)</f>
        <v>101.90172080261578</v>
      </c>
      <c r="EE40" s="226">
        <f>EE20*Merchant_Price*(1-Inputs_Assumptions!$E$121)</f>
        <v>102.53272135883176</v>
      </c>
      <c r="EF40" s="226">
        <f>EF20*Merchant_Price*(1-Inputs_Assumptions!$E$121)</f>
        <v>103.16762922592346</v>
      </c>
      <c r="EG40" s="226">
        <f>EG20*Merchant_Price*(1-Inputs_Assumptions!$E$121)</f>
        <v>103.80646859892227</v>
      </c>
      <c r="EH40" s="226">
        <f>EH20*Merchant_Price*(1-Inputs_Assumptions!$E$121)</f>
        <v>104.4492638226812</v>
      </c>
      <c r="EI40" s="226">
        <f>EI20*Merchant_Price*(1-Inputs_Assumptions!$E$121)</f>
        <v>105.0960393928026</v>
      </c>
      <c r="EJ40" s="226">
        <f>EJ20*Merchant_Price*(1-Inputs_Assumptions!$E$121)</f>
        <v>105.74681995657158</v>
      </c>
      <c r="EK40" s="226">
        <f>EK20*Merchant_Price*(1-Inputs_Assumptions!$E$121)</f>
        <v>106.40163031389537</v>
      </c>
      <c r="EL40" s="226">
        <f>EL20*Merchant_Price*(1-Inputs_Assumptions!$E$121)</f>
        <v>107.06049541824828</v>
      </c>
      <c r="EM40" s="226">
        <f>EM20*Merchant_Price*(1-Inputs_Assumptions!$E$121)</f>
        <v>107.72344037762269</v>
      </c>
      <c r="EN40" s="226">
        <f>EN20*Merchant_Price*(1-Inputs_Assumptions!$E$121)</f>
        <v>108.39049045548589</v>
      </c>
      <c r="EO40" s="226">
        <f>EO20*Merchant_Price*(1-Inputs_Assumptions!$E$121)</f>
        <v>109.06167107174277</v>
      </c>
      <c r="EP40" s="226">
        <f>EP20*Merchant_Price*(1-Inputs_Assumptions!$E$121)</f>
        <v>109.7370078037045</v>
      </c>
      <c r="EQ40" s="226">
        <f>EQ20*Merchant_Price*(1-Inputs_Assumptions!$E$121)</f>
        <v>110.4165263870633</v>
      </c>
      <c r="ER40" s="226">
        <f>ER20*Merchant_Price*(1-Inputs_Assumptions!$E$121)</f>
        <v>111.10025271687307</v>
      </c>
      <c r="ES40" s="226">
        <f>ES20*Merchant_Price*(1-Inputs_Assumptions!$E$121)</f>
        <v>111.78821284853638</v>
      </c>
      <c r="ET40" s="226">
        <f>ET20*Merchant_Price*(1-Inputs_Assumptions!$E$121)</f>
        <v>112.48043299879714</v>
      </c>
      <c r="EU40" s="226">
        <f>EU20*Merchant_Price*(1-Inputs_Assumptions!$E$121)</f>
        <v>113.17693954673992</v>
      </c>
      <c r="EV40" s="226">
        <f>EV20*Merchant_Price*(1-Inputs_Assumptions!$E$121)</f>
        <v>113.87775903479495</v>
      </c>
      <c r="EW40" s="226">
        <f>EW20*Merchant_Price*(1-Inputs_Assumptions!$E$121)</f>
        <v>114.5829181697498</v>
      </c>
      <c r="EX40" s="226">
        <f>EX20*Merchant_Price*(1-Inputs_Assumptions!$E$121)</f>
        <v>115.2924438237671</v>
      </c>
      <c r="EY40" s="226">
        <f>EY20*Merchant_Price*(1-Inputs_Assumptions!$E$121)</f>
        <v>116.00636303540844</v>
      </c>
      <c r="EZ40" s="226">
        <f>EZ20*Merchant_Price*(1-Inputs_Assumptions!$E$121)</f>
        <v>116.72470301066483</v>
      </c>
      <c r="FA40" s="226">
        <f>FA20*Merchant_Price*(1-Inputs_Assumptions!$E$121)</f>
        <v>117.44749112399359</v>
      </c>
    </row>
    <row r="41" spans="2:157" outlineLevel="1" x14ac:dyDescent="0.2">
      <c r="B41" s="1"/>
      <c r="C41" s="30"/>
      <c r="D41" s="21"/>
      <c r="E41" s="5"/>
      <c r="F41" s="21"/>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253"/>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row>
    <row r="42" spans="2:157" outlineLevel="1" x14ac:dyDescent="0.2">
      <c r="B42" s="1"/>
      <c r="C42" s="30" t="s">
        <v>324</v>
      </c>
      <c r="D42" s="130" t="s">
        <v>119</v>
      </c>
      <c r="E42" s="5"/>
      <c r="F42" s="21"/>
      <c r="G42" s="235">
        <f>(Inputs_Assumptions!$E$112/Quarters_in_Year)*IRR_Revenue_Model!G21*Units</f>
        <v>2465.1710034978087</v>
      </c>
      <c r="H42" s="235">
        <f>(Inputs_Assumptions!$E$112/Quarters_in_Year)*IRR_Revenue_Model!H21*Units</f>
        <v>2480.4359495862823</v>
      </c>
      <c r="I42" s="235">
        <f>(Inputs_Assumptions!$E$112/Quarters_in_Year)*IRR_Revenue_Model!I21*Units</f>
        <v>2495.7954199810833</v>
      </c>
      <c r="J42" s="235">
        <f>(Inputs_Assumptions!$E$112/Quarters_in_Year)*IRR_Revenue_Model!J21*Units</f>
        <v>2511.2500000000005</v>
      </c>
      <c r="K42" s="235">
        <f>(Inputs_Assumptions!$E$112/Quarters_in_Year)*IRR_Revenue_Model!K21*Units</f>
        <v>2526.8002785852541</v>
      </c>
      <c r="L42" s="235">
        <f>(Inputs_Assumptions!$E$112/Quarters_in_Year)*IRR_Revenue_Model!L21*Units</f>
        <v>2542.4468483259398</v>
      </c>
      <c r="M42" s="235">
        <f>(Inputs_Assumptions!$E$112/Quarters_in_Year)*IRR_Revenue_Model!M21*Units</f>
        <v>2558.1903054806107</v>
      </c>
      <c r="N42" s="235">
        <f>(Inputs_Assumptions!$E$112/Quarters_in_Year)*IRR_Revenue_Model!N21*Units</f>
        <v>2574.0312500000009</v>
      </c>
      <c r="O42" s="235">
        <f>(Inputs_Assumptions!$E$112/Quarters_in_Year)*IRR_Revenue_Model!O21*Units</f>
        <v>2589.9702855498863</v>
      </c>
      <c r="P42" s="235">
        <f>(Inputs_Assumptions!$E$112/Quarters_in_Year)*IRR_Revenue_Model!P21*Units</f>
        <v>2606.0080195340893</v>
      </c>
      <c r="Q42" s="235">
        <f>(Inputs_Assumptions!$E$112/Quarters_in_Year)*IRR_Revenue_Model!Q21*Units</f>
        <v>2622.1450631176276</v>
      </c>
      <c r="R42" s="235">
        <f>(Inputs_Assumptions!$E$112/Quarters_in_Year)*IRR_Revenue_Model!R21*Units</f>
        <v>2638.3820312500025</v>
      </c>
      <c r="S42" s="235">
        <f>(Inputs_Assumptions!$E$112/Quarters_in_Year)*IRR_Revenue_Model!S21*Units</f>
        <v>2654.7195426886351</v>
      </c>
      <c r="T42" s="235">
        <f>(Inputs_Assumptions!$E$112/Quarters_in_Year)*IRR_Revenue_Model!T21*Units</f>
        <v>2671.1582200224429</v>
      </c>
      <c r="U42" s="235">
        <f>(Inputs_Assumptions!$E$112/Quarters_in_Year)*IRR_Revenue_Model!U21*Units</f>
        <v>2687.6986896955696</v>
      </c>
      <c r="V42" s="235">
        <f>(Inputs_Assumptions!$E$112/Quarters_in_Year)*IRR_Revenue_Model!V21*Units</f>
        <v>2704.3415820312543</v>
      </c>
      <c r="W42" s="235">
        <f>(Inputs_Assumptions!$E$112/Quarters_in_Year)*IRR_Revenue_Model!W21*Units</f>
        <v>2721.0875312558519</v>
      </c>
      <c r="X42" s="235">
        <f>(Inputs_Assumptions!$E$112/Quarters_in_Year)*IRR_Revenue_Model!X21*Units</f>
        <v>2737.937175523005</v>
      </c>
      <c r="Y42" s="235">
        <f>(Inputs_Assumptions!$E$112/Quarters_in_Year)*IRR_Revenue_Model!Y21*Units</f>
        <v>2754.8911569379602</v>
      </c>
      <c r="Z42" s="235">
        <f>(Inputs_Assumptions!$E$112/Quarters_in_Year)*IRR_Revenue_Model!Z21*Units</f>
        <v>2771.9501215820369</v>
      </c>
      <c r="AA42" s="235">
        <f>(Inputs_Assumptions!$E$112/Quarters_in_Year)*IRR_Revenue_Model!AA21*Units</f>
        <v>2789.1147195372496</v>
      </c>
      <c r="AB42" s="235">
        <f>(Inputs_Assumptions!$E$112/Quarters_in_Year)*IRR_Revenue_Model!AB21*Units</f>
        <v>2806.3856049110814</v>
      </c>
      <c r="AC42" s="235">
        <f>(Inputs_Assumptions!$E$112/Quarters_in_Year)*IRR_Revenue_Model!AC21*Units</f>
        <v>2823.7634358614096</v>
      </c>
      <c r="AD42" s="235">
        <f>(Inputs_Assumptions!$E$112/Quarters_in_Year)*IRR_Revenue_Model!AD21*Units</f>
        <v>2841.2488746215881</v>
      </c>
      <c r="AE42" s="235">
        <f>(Inputs_Assumptions!$E$112/Quarters_in_Year)*IRR_Revenue_Model!AE21*Units</f>
        <v>2858.8425875256817</v>
      </c>
      <c r="AF42" s="235">
        <f>(Inputs_Assumptions!$E$112/Quarters_in_Year)*IRR_Revenue_Model!AF21*Units</f>
        <v>2876.5452450338589</v>
      </c>
      <c r="AG42" s="235">
        <f>(Inputs_Assumptions!$E$112/Quarters_in_Year)*IRR_Revenue_Model!AG21*Units</f>
        <v>2894.357521757946</v>
      </c>
      <c r="AH42" s="235">
        <f>(Inputs_Assumptions!$E$112/Quarters_in_Year)*IRR_Revenue_Model!AH21*Units</f>
        <v>2912.280096487129</v>
      </c>
      <c r="AI42" s="235">
        <f>(Inputs_Assumptions!$E$112/Quarters_in_Year)*IRR_Revenue_Model!AI21*Units</f>
        <v>2930.3136522138248</v>
      </c>
      <c r="AJ42" s="235">
        <f>(Inputs_Assumptions!$E$112/Quarters_in_Year)*IRR_Revenue_Model!AJ21*Units</f>
        <v>2948.458876159707</v>
      </c>
      <c r="AK42" s="235">
        <f>(Inputs_Assumptions!$E$112/Quarters_in_Year)*IRR_Revenue_Model!AK21*Units</f>
        <v>2966.7164598018962</v>
      </c>
      <c r="AL42" s="235">
        <f>(Inputs_Assumptions!$E$112/Quarters_in_Year)*IRR_Revenue_Model!AL21*Units</f>
        <v>2985.0870988993083</v>
      </c>
      <c r="AM42" s="235">
        <f>(Inputs_Assumptions!$E$112/Quarters_in_Year)*IRR_Revenue_Model!AM21*Units</f>
        <v>3003.5714935191713</v>
      </c>
      <c r="AN42" s="235">
        <f>(Inputs_Assumptions!$E$112/Quarters_in_Year)*IRR_Revenue_Model!AN21*Units</f>
        <v>3022.1703480637007</v>
      </c>
      <c r="AO42" s="235">
        <f>(Inputs_Assumptions!$E$112/Quarters_in_Year)*IRR_Revenue_Model!AO21*Units</f>
        <v>3040.8843712969447</v>
      </c>
      <c r="AP42" s="235">
        <f>(Inputs_Assumptions!$E$112/Quarters_in_Year)*IRR_Revenue_Model!AP21*Units</f>
        <v>3059.714276371792</v>
      </c>
      <c r="AQ42" s="235">
        <f>(Inputs_Assumptions!$E$112/Quarters_in_Year)*IRR_Revenue_Model!AQ21*Units</f>
        <v>3078.6607808571516</v>
      </c>
      <c r="AR42" s="235">
        <f>(Inputs_Assumptions!$E$112/Quarters_in_Year)*IRR_Revenue_Model!AR21*Units</f>
        <v>3097.7246067652945</v>
      </c>
      <c r="AS42" s="235">
        <f>(Inputs_Assumptions!$E$112/Quarters_in_Year)*IRR_Revenue_Model!AS21*Units</f>
        <v>3116.9064805793691</v>
      </c>
      <c r="AT42" s="235">
        <f>(Inputs_Assumptions!$E$112/Quarters_in_Year)*IRR_Revenue_Model!AT21*Units</f>
        <v>3136.2071332810883</v>
      </c>
      <c r="AU42" s="235">
        <f>(Inputs_Assumptions!$E$112/Quarters_in_Year)*IRR_Revenue_Model!AU21*Units</f>
        <v>3155.6273003785814</v>
      </c>
      <c r="AV42" s="235">
        <f>(Inputs_Assumptions!$E$112/Quarters_in_Year)*IRR_Revenue_Model!AV21*Units</f>
        <v>3175.1677219344278</v>
      </c>
      <c r="AW42" s="235">
        <f>(Inputs_Assumptions!$E$112/Quarters_in_Year)*IRR_Revenue_Model!AW21*Units</f>
        <v>3194.8291425938551</v>
      </c>
      <c r="AX42" s="235">
        <f>(Inputs_Assumptions!$E$112/Quarters_in_Year)*IRR_Revenue_Model!AX21*Units</f>
        <v>3214.6123116131166</v>
      </c>
      <c r="AY42" s="235">
        <f>(Inputs_Assumptions!$E$112/Quarters_in_Year)*IRR_Revenue_Model!AY21*Units</f>
        <v>3234.5179828880473</v>
      </c>
      <c r="AZ42" s="235">
        <f>(Inputs_Assumptions!$E$112/Quarters_in_Year)*IRR_Revenue_Model!AZ21*Units</f>
        <v>3254.54691498279</v>
      </c>
      <c r="BA42" s="235">
        <f>(Inputs_Assumptions!$E$112/Quarters_in_Year)*IRR_Revenue_Model!BA21*Units</f>
        <v>3274.6998711587025</v>
      </c>
      <c r="BB42" s="235">
        <f>(Inputs_Assumptions!$E$112/Quarters_in_Year)*IRR_Revenue_Model!BB21*Units</f>
        <v>3294.9776194034457</v>
      </c>
      <c r="BC42" s="235">
        <f>(Inputs_Assumptions!$E$112/Quarters_in_Year)*IRR_Revenue_Model!BC21*Units</f>
        <v>3315.3809324602498</v>
      </c>
      <c r="BD42" s="235">
        <f>(Inputs_Assumptions!$E$112/Quarters_in_Year)*IRR_Revenue_Model!BD21*Units</f>
        <v>3335.9105878573605</v>
      </c>
      <c r="BE42" s="235">
        <f>(Inputs_Assumptions!$E$112/Quarters_in_Year)*IRR_Revenue_Model!BE21*Units</f>
        <v>3356.5673679376705</v>
      </c>
      <c r="BF42" s="235">
        <f>(Inputs_Assumptions!$E$112/Quarters_in_Year)*IRR_Revenue_Model!BF21*Units</f>
        <v>3377.3520598885329</v>
      </c>
      <c r="BG42" s="235">
        <f>(Inputs_Assumptions!$E$112/Quarters_in_Year)*IRR_Revenue_Model!BG21*Units</f>
        <v>3398.2654557717569</v>
      </c>
      <c r="BH42" s="235">
        <f>(Inputs_Assumptions!$E$112/Quarters_in_Year)*IRR_Revenue_Model!BH21*Units</f>
        <v>3419.3083525537959</v>
      </c>
      <c r="BI42" s="235">
        <f>(Inputs_Assumptions!$E$112/Quarters_in_Year)*IRR_Revenue_Model!BI21*Units</f>
        <v>3440.4815521361138</v>
      </c>
      <c r="BJ42" s="235">
        <f>(Inputs_Assumptions!$E$112/Quarters_in_Year)*IRR_Revenue_Model!BJ21*Units</f>
        <v>3461.7858613857475</v>
      </c>
      <c r="BK42" s="235">
        <f>(Inputs_Assumptions!$E$112/Quarters_in_Year)*IRR_Revenue_Model!BK21*Units</f>
        <v>3483.2220921660523</v>
      </c>
      <c r="BL42" s="235">
        <f>(Inputs_Assumptions!$E$112/Quarters_in_Year)*IRR_Revenue_Model!BL21*Units</f>
        <v>3504.7910613676418</v>
      </c>
      <c r="BM42" s="235">
        <f>(Inputs_Assumptions!$E$112/Quarters_in_Year)*IRR_Revenue_Model!BM21*Units</f>
        <v>3526.4935909395176</v>
      </c>
      <c r="BN42" s="235">
        <f>(Inputs_Assumptions!$E$112/Quarters_in_Year)*IRR_Revenue_Model!BN21*Units</f>
        <v>3548.3305079203924</v>
      </c>
      <c r="BO42" s="235">
        <f>(Inputs_Assumptions!$E$112/Quarters_in_Year)*IRR_Revenue_Model!BO21*Units</f>
        <v>3570.3026444702045</v>
      </c>
      <c r="BP42" s="235">
        <f>(Inputs_Assumptions!$E$112/Quarters_in_Year)*IRR_Revenue_Model!BP21*Units</f>
        <v>3592.4108379018339</v>
      </c>
      <c r="BQ42" s="235">
        <f>(Inputs_Assumptions!$E$112/Quarters_in_Year)*IRR_Revenue_Model!BQ21*Units</f>
        <v>3614.6559307130065</v>
      </c>
      <c r="BR42" s="235">
        <f>(Inputs_Assumptions!$E$112/Quarters_in_Year)*IRR_Revenue_Model!BR21*Units</f>
        <v>3637.0387706184029</v>
      </c>
      <c r="BS42" s="235">
        <f>(Inputs_Assumptions!$E$112/Quarters_in_Year)*IRR_Revenue_Model!BS21*Units</f>
        <v>3659.5602105819607</v>
      </c>
      <c r="BT42" s="235">
        <f>(Inputs_Assumptions!$E$112/Quarters_in_Year)*IRR_Revenue_Model!BT21*Units</f>
        <v>3682.2211088493809</v>
      </c>
      <c r="BU42" s="235">
        <f>(Inputs_Assumptions!$E$112/Quarters_in_Year)*IRR_Revenue_Model!BU21*Units</f>
        <v>3705.0223289808332</v>
      </c>
      <c r="BV42" s="235">
        <f>(Inputs_Assumptions!$E$112/Quarters_in_Year)*IRR_Revenue_Model!BV21*Units</f>
        <v>3727.9647398838642</v>
      </c>
      <c r="BW42" s="235">
        <f>(Inputs_Assumptions!$E$112/Quarters_in_Year)*IRR_Revenue_Model!BW21*Units</f>
        <v>3751.0492158465108</v>
      </c>
      <c r="BX42" s="235">
        <f>(Inputs_Assumptions!$E$112/Quarters_in_Year)*IRR_Revenue_Model!BX21*Units</f>
        <v>3774.2766365706166</v>
      </c>
      <c r="BY42" s="235">
        <f>(Inputs_Assumptions!$E$112/Quarters_in_Year)*IRR_Revenue_Model!BY21*Units</f>
        <v>3797.6478872053553</v>
      </c>
      <c r="BZ42" s="235">
        <f>(Inputs_Assumptions!$E$112/Quarters_in_Year)*IRR_Revenue_Model!BZ21*Units</f>
        <v>3821.1638583809622</v>
      </c>
      <c r="CA42" s="235">
        <f>(Inputs_Assumptions!$E$112/Quarters_in_Year)*IRR_Revenue_Model!CA21*Units</f>
        <v>3844.8254462426748</v>
      </c>
      <c r="CB42" s="235">
        <f>(Inputs_Assumptions!$E$112/Quarters_in_Year)*IRR_Revenue_Model!CB21*Units</f>
        <v>3868.6335524848832</v>
      </c>
      <c r="CC42" s="235">
        <f>(Inputs_Assumptions!$E$112/Quarters_in_Year)*IRR_Revenue_Model!CC21*Units</f>
        <v>3892.5890843854904</v>
      </c>
      <c r="CD42" s="235">
        <f>(Inputs_Assumptions!$E$112/Quarters_in_Year)*IRR_Revenue_Model!CD21*Units</f>
        <v>3916.6929548404873</v>
      </c>
      <c r="CE42" s="235">
        <f>(Inputs_Assumptions!$E$112/Quarters_in_Year)*IRR_Revenue_Model!CE21*Units</f>
        <v>3940.9460823987433</v>
      </c>
      <c r="CF42" s="235">
        <f>(Inputs_Assumptions!$E$112/Quarters_in_Year)*IRR_Revenue_Model!CF21*Units</f>
        <v>3965.3493912970071</v>
      </c>
      <c r="CG42" s="235">
        <f>(Inputs_Assumptions!$E$112/Quarters_in_Year)*IRR_Revenue_Model!CG21*Units</f>
        <v>3989.903811495129</v>
      </c>
      <c r="CH42" s="235">
        <f>(Inputs_Assumptions!$E$112/Quarters_in_Year)*IRR_Revenue_Model!CH21*Units</f>
        <v>4014.6102787115015</v>
      </c>
      <c r="CI42" s="235">
        <f>(Inputs_Assumptions!$E$112/Quarters_in_Year)*IRR_Revenue_Model!CI21*Units</f>
        <v>4039.469734458713</v>
      </c>
      <c r="CJ42" s="235">
        <f>(Inputs_Assumptions!$E$112/Quarters_in_Year)*IRR_Revenue_Model!CJ21*Units</f>
        <v>4064.4831260794331</v>
      </c>
      <c r="CK42" s="235">
        <f>(Inputs_Assumptions!$E$112/Quarters_in_Year)*IRR_Revenue_Model!CK21*Units</f>
        <v>4089.6514067825087</v>
      </c>
      <c r="CL42" s="235">
        <f>(Inputs_Assumptions!$E$112/Quarters_in_Year)*IRR_Revenue_Model!CL21*Units</f>
        <v>4114.9755356792894</v>
      </c>
      <c r="CM42" s="235">
        <f>(Inputs_Assumptions!$E$112/Quarters_in_Year)*IRR_Revenue_Model!CM21*Units</f>
        <v>4140.456477820183</v>
      </c>
      <c r="CN42" s="235">
        <f>(Inputs_Assumptions!$E$112/Quarters_in_Year)*IRR_Revenue_Model!CN21*Units</f>
        <v>4166.0952042314202</v>
      </c>
      <c r="CO42" s="235">
        <f>(Inputs_Assumptions!$E$112/Quarters_in_Year)*IRR_Revenue_Model!CO21*Units</f>
        <v>4191.8926919520727</v>
      </c>
      <c r="CP42" s="235">
        <f>(Inputs_Assumptions!$E$112/Quarters_in_Year)*IRR_Revenue_Model!CP21*Units</f>
        <v>4217.8499240712736</v>
      </c>
      <c r="CQ42" s="235">
        <f>(Inputs_Assumptions!$E$112/Quarters_in_Year)*IRR_Revenue_Model!CQ21*Units</f>
        <v>4243.9678897656886</v>
      </c>
      <c r="CR42" s="235">
        <f>(Inputs_Assumptions!$E$112/Quarters_in_Year)*IRR_Revenue_Model!CR21*Units</f>
        <v>4270.2475843372076</v>
      </c>
      <c r="CS42" s="235">
        <f>(Inputs_Assumptions!$E$112/Quarters_in_Year)*IRR_Revenue_Model!CS21*Units</f>
        <v>4296.6900092508768</v>
      </c>
      <c r="CT42" s="235">
        <f>(Inputs_Assumptions!$E$112/Quarters_in_Year)*IRR_Revenue_Model!CT21*Units</f>
        <v>4323.2961721730571</v>
      </c>
      <c r="CU42" s="254">
        <f>(Inputs_Assumptions!$E$112/Quarters_in_Year)*IRR_Revenue_Model!CU21*Units</f>
        <v>4350.067087009832</v>
      </c>
      <c r="CV42" s="235">
        <f>(Inputs_Assumptions!$E$112/Quarters_in_Year)*IRR_Revenue_Model!CV21*Units</f>
        <v>4377.0037739456393</v>
      </c>
      <c r="CW42" s="235">
        <f>(Inputs_Assumptions!$E$112/Quarters_in_Year)*IRR_Revenue_Model!CW21*Units</f>
        <v>4404.1072594821489</v>
      </c>
      <c r="CX42" s="235">
        <f>(Inputs_Assumptions!$E$112/Quarters_in_Year)*IRR_Revenue_Model!CX21*Units</f>
        <v>4431.3785764773856</v>
      </c>
      <c r="CY42" s="235">
        <f>(Inputs_Assumptions!$E$112/Quarters_in_Year)*IRR_Revenue_Model!CY21*Units</f>
        <v>4458.81876418508</v>
      </c>
      <c r="CZ42" s="235">
        <f>(Inputs_Assumptions!$E$112/Quarters_in_Year)*IRR_Revenue_Model!CZ21*Units</f>
        <v>4486.4288682942815</v>
      </c>
      <c r="DA42" s="235">
        <f>(Inputs_Assumptions!$E$112/Quarters_in_Year)*IRR_Revenue_Model!DA21*Units</f>
        <v>4514.2099409692046</v>
      </c>
      <c r="DB42" s="235">
        <f>(Inputs_Assumptions!$E$112/Quarters_in_Year)*IRR_Revenue_Model!DB21*Units</f>
        <v>4542.1630408893207</v>
      </c>
      <c r="DC42" s="235">
        <f>(Inputs_Assumptions!$E$112/Quarters_in_Year)*IRR_Revenue_Model!DC21*Units</f>
        <v>4570.2892332897081</v>
      </c>
      <c r="DD42" s="235">
        <f>(Inputs_Assumptions!$E$112/Quarters_in_Year)*IRR_Revenue_Model!DD21*Units</f>
        <v>4598.5895900016412</v>
      </c>
      <c r="DE42" s="235">
        <f>(Inputs_Assumptions!$E$112/Quarters_in_Year)*IRR_Revenue_Model!DE21*Units</f>
        <v>4627.0651894934372</v>
      </c>
      <c r="DF42" s="235">
        <f>(Inputs_Assumptions!$E$112/Quarters_in_Year)*IRR_Revenue_Model!DF21*Units</f>
        <v>4655.7171169115572</v>
      </c>
      <c r="DG42" s="235">
        <f>(Inputs_Assumptions!$E$112/Quarters_in_Year)*IRR_Revenue_Model!DG21*Units</f>
        <v>4684.5464641219532</v>
      </c>
      <c r="DH42" s="235">
        <f>(Inputs_Assumptions!$E$112/Quarters_in_Year)*IRR_Revenue_Model!DH21*Units</f>
        <v>4713.5543297516842</v>
      </c>
      <c r="DI42" s="235">
        <f>(Inputs_Assumptions!$E$112/Quarters_in_Year)*IRR_Revenue_Model!DI21*Units</f>
        <v>4742.741819230775</v>
      </c>
      <c r="DJ42" s="235">
        <f>(Inputs_Assumptions!$E$112/Quarters_in_Year)*IRR_Revenue_Model!DJ21*Units</f>
        <v>4772.1100448343486</v>
      </c>
      <c r="DK42" s="235">
        <f>(Inputs_Assumptions!$E$112/Quarters_in_Year)*IRR_Revenue_Model!DK21*Units</f>
        <v>4801.6601257250049</v>
      </c>
      <c r="DL42" s="235">
        <f>(Inputs_Assumptions!$E$112/Quarters_in_Year)*IRR_Revenue_Model!DL21*Units</f>
        <v>4831.393187995478</v>
      </c>
      <c r="DM42" s="235">
        <f>(Inputs_Assumptions!$E$112/Quarters_in_Year)*IRR_Revenue_Model!DM21*Units</f>
        <v>4861.3103647115468</v>
      </c>
      <c r="DN42" s="235">
        <f>(Inputs_Assumptions!$E$112/Quarters_in_Year)*IRR_Revenue_Model!DN21*Units</f>
        <v>4891.4127959552079</v>
      </c>
      <c r="DO42" s="235">
        <f>(Inputs_Assumptions!$E$112/Quarters_in_Year)*IRR_Revenue_Model!DO21*Units</f>
        <v>4921.7016288681325</v>
      </c>
      <c r="DP42" s="235">
        <f>(Inputs_Assumptions!$E$112/Quarters_in_Year)*IRR_Revenue_Model!DP21*Units</f>
        <v>4952.178017695368</v>
      </c>
      <c r="DQ42" s="235">
        <f>(Inputs_Assumptions!$E$112/Quarters_in_Year)*IRR_Revenue_Model!DQ21*Units</f>
        <v>4982.8431238293379</v>
      </c>
      <c r="DR42" s="235">
        <f>(Inputs_Assumptions!$E$112/Quarters_in_Year)*IRR_Revenue_Model!DR21*Units</f>
        <v>5013.6981158540912</v>
      </c>
      <c r="DS42" s="235">
        <f>(Inputs_Assumptions!$E$112/Quarters_in_Year)*IRR_Revenue_Model!DS21*Units</f>
        <v>5044.7441695898369</v>
      </c>
      <c r="DT42" s="235">
        <f>(Inputs_Assumptions!$E$112/Quarters_in_Year)*IRR_Revenue_Model!DT21*Units</f>
        <v>5075.9824681377531</v>
      </c>
      <c r="DU42" s="235">
        <f>(Inputs_Assumptions!$E$112/Quarters_in_Year)*IRR_Revenue_Model!DU21*Units</f>
        <v>5107.414201925073</v>
      </c>
      <c r="DV42" s="235">
        <f>(Inputs_Assumptions!$E$112/Quarters_in_Year)*IRR_Revenue_Model!DV21*Units</f>
        <v>5139.0405687504453</v>
      </c>
      <c r="DW42" s="235">
        <f>(Inputs_Assumptions!$E$112/Quarters_in_Year)*IRR_Revenue_Model!DW21*Units</f>
        <v>5170.8627738295845</v>
      </c>
      <c r="DX42" s="235">
        <f>(Inputs_Assumptions!$E$112/Quarters_in_Year)*IRR_Revenue_Model!DX21*Units</f>
        <v>5202.8820298411993</v>
      </c>
      <c r="DY42" s="235">
        <f>(Inputs_Assumptions!$E$112/Quarters_in_Year)*IRR_Revenue_Model!DY21*Units</f>
        <v>5235.0995569732013</v>
      </c>
      <c r="DZ42" s="235">
        <f>(Inputs_Assumptions!$E$112/Quarters_in_Year)*IRR_Revenue_Model!DZ21*Units</f>
        <v>5267.5165829692087</v>
      </c>
      <c r="EA42" s="235">
        <f>(Inputs_Assumptions!$E$112/Quarters_in_Year)*IRR_Revenue_Model!EA21*Units</f>
        <v>5300.1343431753266</v>
      </c>
      <c r="EB42" s="235">
        <f>(Inputs_Assumptions!$E$112/Quarters_in_Year)*IRR_Revenue_Model!EB21*Units</f>
        <v>5332.9540805872321</v>
      </c>
      <c r="EC42" s="235">
        <f>(Inputs_Assumptions!$E$112/Quarters_in_Year)*IRR_Revenue_Model!EC21*Units</f>
        <v>5365.9770458975336</v>
      </c>
      <c r="ED42" s="235">
        <f>(Inputs_Assumptions!$E$112/Quarters_in_Year)*IRR_Revenue_Model!ED21*Units</f>
        <v>5399.2044975434401</v>
      </c>
      <c r="EE42" s="235">
        <f>(Inputs_Assumptions!$E$112/Quarters_in_Year)*IRR_Revenue_Model!EE21*Units</f>
        <v>5432.637701754712</v>
      </c>
      <c r="EF42" s="235">
        <f>(Inputs_Assumptions!$E$112/Quarters_in_Year)*IRR_Revenue_Model!EF21*Units</f>
        <v>5466.2779326019136</v>
      </c>
      <c r="EG42" s="235">
        <f>(Inputs_Assumptions!$E$112/Quarters_in_Year)*IRR_Revenue_Model!EG21*Units</f>
        <v>5500.1264720449735</v>
      </c>
      <c r="EH42" s="235">
        <f>(Inputs_Assumptions!$E$112/Quarters_in_Year)*IRR_Revenue_Model!EH21*Units</f>
        <v>5534.1846099820286</v>
      </c>
      <c r="EI42" s="235">
        <f>(Inputs_Assumptions!$E$112/Quarters_in_Year)*IRR_Revenue_Model!EI21*Units</f>
        <v>5568.4536442985818</v>
      </c>
      <c r="EJ42" s="235">
        <f>(Inputs_Assumptions!$E$112/Quarters_in_Year)*IRR_Revenue_Model!EJ21*Units</f>
        <v>5602.9348809169633</v>
      </c>
      <c r="EK42" s="235">
        <f>(Inputs_Assumptions!$E$112/Quarters_in_Year)*IRR_Revenue_Model!EK21*Units</f>
        <v>5637.6296338461007</v>
      </c>
      <c r="EL42" s="235">
        <f>(Inputs_Assumptions!$E$112/Quarters_in_Year)*IRR_Revenue_Model!EL21*Units</f>
        <v>5672.5392252315805</v>
      </c>
      <c r="EM42" s="235">
        <f>(Inputs_Assumptions!$E$112/Quarters_in_Year)*IRR_Revenue_Model!EM21*Units</f>
        <v>5707.664985406047</v>
      </c>
      <c r="EN42" s="235">
        <f>(Inputs_Assumptions!$E$112/Quarters_in_Year)*IRR_Revenue_Model!EN21*Units</f>
        <v>5743.0082529398887</v>
      </c>
      <c r="EO42" s="235">
        <f>(Inputs_Assumptions!$E$112/Quarters_in_Year)*IRR_Revenue_Model!EO21*Units</f>
        <v>5778.5703746922536</v>
      </c>
      <c r="EP42" s="235">
        <f>(Inputs_Assumptions!$E$112/Quarters_in_Year)*IRR_Revenue_Model!EP21*Units</f>
        <v>5814.3527058623713</v>
      </c>
      <c r="EQ42" s="235">
        <f>(Inputs_Assumptions!$E$112/Quarters_in_Year)*IRR_Revenue_Model!EQ21*Units</f>
        <v>5850.3566100411999</v>
      </c>
      <c r="ER42" s="235">
        <f>(Inputs_Assumptions!$E$112/Quarters_in_Year)*IRR_Revenue_Model!ER21*Units</f>
        <v>5886.5834592633882</v>
      </c>
      <c r="ES42" s="235">
        <f>(Inputs_Assumptions!$E$112/Quarters_in_Year)*IRR_Revenue_Model!ES21*Units</f>
        <v>5923.0346340595615</v>
      </c>
      <c r="ET42" s="235">
        <f>(Inputs_Assumptions!$E$112/Quarters_in_Year)*IRR_Revenue_Model!ET21*Units</f>
        <v>5959.7115235089323</v>
      </c>
      <c r="EU42" s="235">
        <f>(Inputs_Assumptions!$E$112/Quarters_in_Year)*IRR_Revenue_Model!EU21*Units</f>
        <v>5996.6155252922317</v>
      </c>
      <c r="EV42" s="235">
        <f>(Inputs_Assumptions!$E$112/Quarters_in_Year)*IRR_Revenue_Model!EV21*Units</f>
        <v>6033.7480457449738</v>
      </c>
      <c r="EW42" s="235">
        <f>(Inputs_Assumptions!$E$112/Quarters_in_Year)*IRR_Revenue_Model!EW21*Units</f>
        <v>6071.1104999110521</v>
      </c>
      <c r="EX42" s="235">
        <f>(Inputs_Assumptions!$E$112/Quarters_in_Year)*IRR_Revenue_Model!EX21*Units</f>
        <v>6108.7043115966571</v>
      </c>
      <c r="EY42" s="235">
        <f>(Inputs_Assumptions!$E$112/Quarters_in_Year)*IRR_Revenue_Model!EY21*Units</f>
        <v>6146.530913424539</v>
      </c>
      <c r="EZ42" s="235">
        <f>(Inputs_Assumptions!$E$112/Quarters_in_Year)*IRR_Revenue_Model!EZ21*Units</f>
        <v>6184.5917468886</v>
      </c>
      <c r="FA42" s="235">
        <f>(Inputs_Assumptions!$E$112/Quarters_in_Year)*IRR_Revenue_Model!FA21*Units</f>
        <v>6222.888262408831</v>
      </c>
    </row>
    <row r="43" spans="2:157" outlineLevel="1" x14ac:dyDescent="0.2">
      <c r="B43" s="1"/>
      <c r="C43" s="30" t="s">
        <v>351</v>
      </c>
      <c r="D43" s="130" t="s">
        <v>119</v>
      </c>
      <c r="E43" s="5"/>
      <c r="F43" s="21"/>
      <c r="G43" s="235">
        <f>(Inputs_Assumptions!$E$113/Quarters_in_Year)*G22*Units</f>
        <v>18126.90167838725</v>
      </c>
      <c r="H43" s="235">
        <f>(Inputs_Assumptions!$E$113/Quarters_in_Year)*H22*Units</f>
        <v>18254.698025439913</v>
      </c>
      <c r="I43" s="235">
        <f>(Inputs_Assumptions!$E$113/Quarters_in_Year)*I22*Units</f>
        <v>18383.395348655511</v>
      </c>
      <c r="J43" s="235">
        <f>(Inputs_Assumptions!$E$113/Quarters_in_Year)*J22*Units</f>
        <v>18512.999999999996</v>
      </c>
      <c r="K43" s="235">
        <f>(Inputs_Assumptions!$E$113/Quarters_in_Year)*K22*Units</f>
        <v>18643.51837622128</v>
      </c>
      <c r="L43" s="235">
        <f>(Inputs_Assumptions!$E$113/Quarters_in_Year)*L22*Units</f>
        <v>18774.956919164946</v>
      </c>
      <c r="M43" s="235">
        <f>(Inputs_Assumptions!$E$113/Quarters_in_Year)*M22*Units</f>
        <v>18907.322116092186</v>
      </c>
      <c r="N43" s="235">
        <f>(Inputs_Assumptions!$E$113/Quarters_in_Year)*N22*Units</f>
        <v>19040.62049999999</v>
      </c>
      <c r="O43" s="235">
        <f>(Inputs_Assumptions!$E$113/Quarters_in_Year)*O22*Units</f>
        <v>19174.858649943581</v>
      </c>
      <c r="P43" s="235">
        <f>(Inputs_Assumptions!$E$113/Quarters_in_Year)*P22*Units</f>
        <v>19310.043191361139</v>
      </c>
      <c r="Q43" s="235">
        <f>(Inputs_Assumptions!$E$113/Quarters_in_Year)*Q22*Units</f>
        <v>19446.180796400808</v>
      </c>
      <c r="R43" s="235">
        <f>(Inputs_Assumptions!$E$113/Quarters_in_Year)*R22*Units</f>
        <v>19583.278184249983</v>
      </c>
      <c r="S43" s="235">
        <f>(Inputs_Assumptions!$E$113/Quarters_in_Year)*S22*Units</f>
        <v>19721.342121466969</v>
      </c>
      <c r="T43" s="235">
        <f>(Inputs_Assumptions!$E$113/Quarters_in_Year)*T22*Units</f>
        <v>19860.379422314927</v>
      </c>
      <c r="U43" s="235">
        <f>(Inputs_Assumptions!$E$113/Quarters_in_Year)*U22*Units</f>
        <v>20000.396949098227</v>
      </c>
      <c r="V43" s="235">
        <f>(Inputs_Assumptions!$E$113/Quarters_in_Year)*V22*Units</f>
        <v>20141.401612501108</v>
      </c>
      <c r="W43" s="235">
        <f>(Inputs_Assumptions!$E$113/Quarters_in_Year)*W22*Units</f>
        <v>20283.400371928776</v>
      </c>
      <c r="X43" s="235">
        <f>(Inputs_Assumptions!$E$113/Quarters_in_Year)*X22*Units</f>
        <v>20426.400235850902</v>
      </c>
      <c r="Y43" s="235">
        <f>(Inputs_Assumptions!$E$113/Quarters_in_Year)*Y22*Units</f>
        <v>20570.408262147525</v>
      </c>
      <c r="Z43" s="235">
        <f>(Inputs_Assumptions!$E$113/Quarters_in_Year)*Z22*Units</f>
        <v>20715.431558457381</v>
      </c>
      <c r="AA43" s="235">
        <f>(Inputs_Assumptions!$E$113/Quarters_in_Year)*AA22*Units</f>
        <v>20861.477282528744</v>
      </c>
      <c r="AB43" s="235">
        <f>(Inputs_Assumptions!$E$113/Quarters_in_Year)*AB22*Units</f>
        <v>21008.552642572649</v>
      </c>
      <c r="AC43" s="235">
        <f>(Inputs_Assumptions!$E$113/Quarters_in_Year)*AC22*Units</f>
        <v>21156.664897618721</v>
      </c>
      <c r="AD43" s="235">
        <f>(Inputs_Assumptions!$E$113/Quarters_in_Year)*AD22*Units</f>
        <v>21305.821357873414</v>
      </c>
      <c r="AE43" s="235">
        <f>(Inputs_Assumptions!$E$113/Quarters_in_Year)*AE22*Units</f>
        <v>21456.029385080805</v>
      </c>
      <c r="AF43" s="235">
        <f>(Inputs_Assumptions!$E$113/Quarters_in_Year)*AF22*Units</f>
        <v>21607.296392885964</v>
      </c>
      <c r="AG43" s="235">
        <f>(Inputs_Assumptions!$E$113/Quarters_in_Year)*AG22*Units</f>
        <v>21759.629847200853</v>
      </c>
      <c r="AH43" s="235">
        <f>(Inputs_Assumptions!$E$113/Quarters_in_Year)*AH22*Units</f>
        <v>21913.037266572799</v>
      </c>
      <c r="AI43" s="235">
        <f>(Inputs_Assumptions!$E$113/Quarters_in_Year)*AI22*Units</f>
        <v>22067.5262225556</v>
      </c>
      <c r="AJ43" s="235">
        <f>(Inputs_Assumptions!$E$113/Quarters_in_Year)*AJ22*Units</f>
        <v>22223.104340083202</v>
      </c>
      <c r="AK43" s="235">
        <f>(Inputs_Assumptions!$E$113/Quarters_in_Year)*AK22*Units</f>
        <v>22379.779297846071</v>
      </c>
      <c r="AL43" s="235">
        <f>(Inputs_Assumptions!$E$113/Quarters_in_Year)*AL22*Units</f>
        <v>22537.558828670117</v>
      </c>
      <c r="AM43" s="235">
        <f>(Inputs_Assumptions!$E$113/Quarters_in_Year)*AM22*Units</f>
        <v>22696.450719898428</v>
      </c>
      <c r="AN43" s="235">
        <f>(Inputs_Assumptions!$E$113/Quarters_in_Year)*AN22*Units</f>
        <v>22856.462813775572</v>
      </c>
      <c r="AO43" s="235">
        <f>(Inputs_Assumptions!$E$113/Quarters_in_Year)*AO22*Units</f>
        <v>23017.603007834681</v>
      </c>
      <c r="AP43" s="235">
        <f>(Inputs_Assumptions!$E$113/Quarters_in_Year)*AP22*Units</f>
        <v>23179.879255287215</v>
      </c>
      <c r="AQ43" s="235">
        <f>(Inputs_Assumptions!$E$113/Quarters_in_Year)*AQ22*Units</f>
        <v>23343.299565415531</v>
      </c>
      <c r="AR43" s="235">
        <f>(Inputs_Assumptions!$E$113/Quarters_in_Year)*AR22*Units</f>
        <v>23507.872003968176</v>
      </c>
      <c r="AS43" s="235">
        <f>(Inputs_Assumptions!$E$113/Quarters_in_Year)*AS22*Units</f>
        <v>23673.604693557965</v>
      </c>
      <c r="AT43" s="235">
        <f>(Inputs_Assumptions!$E$113/Quarters_in_Year)*AT22*Units</f>
        <v>23840.505814062897</v>
      </c>
      <c r="AU43" s="235">
        <f>(Inputs_Assumptions!$E$113/Quarters_in_Year)*AU22*Units</f>
        <v>24008.583603029871</v>
      </c>
      <c r="AV43" s="235">
        <f>(Inputs_Assumptions!$E$113/Quarters_in_Year)*AV22*Units</f>
        <v>24177.84635608126</v>
      </c>
      <c r="AW43" s="235">
        <f>(Inputs_Assumptions!$E$113/Quarters_in_Year)*AW22*Units</f>
        <v>24348.302427324361</v>
      </c>
      <c r="AX43" s="235">
        <f>(Inputs_Assumptions!$E$113/Quarters_in_Year)*AX22*Units</f>
        <v>24519.960229763681</v>
      </c>
      <c r="AY43" s="235">
        <f>(Inputs_Assumptions!$E$113/Quarters_in_Year)*AY22*Units</f>
        <v>24692.828235716213</v>
      </c>
      <c r="AZ43" s="235">
        <f>(Inputs_Assumptions!$E$113/Quarters_in_Year)*AZ22*Units</f>
        <v>24866.914977229571</v>
      </c>
      <c r="BA43" s="235">
        <f>(Inputs_Assumptions!$E$113/Quarters_in_Year)*BA22*Units</f>
        <v>25042.229046503096</v>
      </c>
      <c r="BB43" s="235">
        <f>(Inputs_Assumptions!$E$113/Quarters_in_Year)*BB22*Units</f>
        <v>25218.779096311937</v>
      </c>
      <c r="BC43" s="235">
        <f>(Inputs_Assumptions!$E$113/Quarters_in_Year)*BC22*Units</f>
        <v>25396.573840434117</v>
      </c>
      <c r="BD43" s="235">
        <f>(Inputs_Assumptions!$E$113/Quarters_in_Year)*BD22*Units</f>
        <v>25575.622054080606</v>
      </c>
      <c r="BE43" s="235">
        <f>(Inputs_Assumptions!$E$113/Quarters_in_Year)*BE22*Units</f>
        <v>25755.932574328428</v>
      </c>
      <c r="BF43" s="235">
        <f>(Inputs_Assumptions!$E$113/Quarters_in_Year)*BF22*Units</f>
        <v>25937.514300556821</v>
      </c>
      <c r="BG43" s="235">
        <f>(Inputs_Assumptions!$E$113/Quarters_in_Year)*BG22*Units</f>
        <v>26120.376194886485</v>
      </c>
      <c r="BH43" s="235">
        <f>(Inputs_Assumptions!$E$113/Quarters_in_Year)*BH22*Units</f>
        <v>26304.527282621897</v>
      </c>
      <c r="BI43" s="235">
        <f>(Inputs_Assumptions!$E$113/Quarters_in_Year)*BI22*Units</f>
        <v>26489.976652696783</v>
      </c>
      <c r="BJ43" s="235">
        <f>(Inputs_Assumptions!$E$113/Quarters_in_Year)*BJ22*Units</f>
        <v>26676.733458122682</v>
      </c>
      <c r="BK43" s="235">
        <f>(Inputs_Assumptions!$E$113/Quarters_in_Year)*BK22*Units</f>
        <v>26864.806916440742</v>
      </c>
      <c r="BL43" s="235">
        <f>(Inputs_Assumptions!$E$113/Quarters_in_Year)*BL22*Units</f>
        <v>27054.206310176614</v>
      </c>
      <c r="BM43" s="235">
        <f>(Inputs_Assumptions!$E$113/Quarters_in_Year)*BM22*Units</f>
        <v>27244.940987298629</v>
      </c>
      <c r="BN43" s="235">
        <f>(Inputs_Assumptions!$E$113/Quarters_in_Year)*BN22*Units</f>
        <v>27437.02036167917</v>
      </c>
      <c r="BO43" s="235">
        <f>(Inputs_Assumptions!$E$113/Quarters_in_Year)*BO22*Units</f>
        <v>27630.453913559293</v>
      </c>
      <c r="BP43" s="235">
        <f>(Inputs_Assumptions!$E$113/Quarters_in_Year)*BP22*Units</f>
        <v>27825.251190016639</v>
      </c>
      <c r="BQ43" s="235">
        <f>(Inputs_Assumptions!$E$113/Quarters_in_Year)*BQ22*Units</f>
        <v>28021.421805436639</v>
      </c>
      <c r="BR43" s="235">
        <f>(Inputs_Assumptions!$E$113/Quarters_in_Year)*BR22*Units</f>
        <v>28218.975441987026</v>
      </c>
      <c r="BS43" s="235">
        <f>(Inputs_Assumptions!$E$113/Quarters_in_Year)*BS22*Units</f>
        <v>28417.921850095732</v>
      </c>
      <c r="BT43" s="235">
        <f>(Inputs_Assumptions!$E$113/Quarters_in_Year)*BT22*Units</f>
        <v>28618.270848932108</v>
      </c>
      <c r="BU43" s="235">
        <f>(Inputs_Assumptions!$E$113/Quarters_in_Year)*BU22*Units</f>
        <v>28820.032326891578</v>
      </c>
      <c r="BV43" s="235">
        <f>(Inputs_Assumptions!$E$113/Quarters_in_Year)*BV22*Units</f>
        <v>29023.216242083654</v>
      </c>
      <c r="BW43" s="235">
        <f>(Inputs_Assumptions!$E$113/Quarters_in_Year)*BW22*Units</f>
        <v>29227.832622823455</v>
      </c>
      <c r="BX43" s="235">
        <f>(Inputs_Assumptions!$E$113/Quarters_in_Year)*BX22*Units</f>
        <v>29433.891568126677</v>
      </c>
      <c r="BY43" s="235">
        <f>(Inputs_Assumptions!$E$113/Quarters_in_Year)*BY22*Units</f>
        <v>29641.403248207986</v>
      </c>
      <c r="BZ43" s="235">
        <f>(Inputs_Assumptions!$E$113/Quarters_in_Year)*BZ22*Units</f>
        <v>29850.377904983034</v>
      </c>
      <c r="CA43" s="235">
        <f>(Inputs_Assumptions!$E$113/Quarters_in_Year)*CA22*Units</f>
        <v>30060.825852573922</v>
      </c>
      <c r="CB43" s="235">
        <f>(Inputs_Assumptions!$E$113/Quarters_in_Year)*CB22*Units</f>
        <v>30272.757477818279</v>
      </c>
      <c r="CC43" s="235">
        <f>(Inputs_Assumptions!$E$113/Quarters_in_Year)*CC22*Units</f>
        <v>30486.183240781906</v>
      </c>
      <c r="CD43" s="235">
        <f>(Inputs_Assumptions!$E$113/Quarters_in_Year)*CD22*Units</f>
        <v>30701.113675275039</v>
      </c>
      <c r="CE43" s="235">
        <f>(Inputs_Assumptions!$E$113/Quarters_in_Year)*CE22*Units</f>
        <v>30917.559389372269</v>
      </c>
      <c r="CF43" s="235">
        <f>(Inputs_Assumptions!$E$113/Quarters_in_Year)*CF22*Units</f>
        <v>31135.531065936088</v>
      </c>
      <c r="CG43" s="235">
        <f>(Inputs_Assumptions!$E$113/Quarters_in_Year)*CG22*Units</f>
        <v>31355.039463144181</v>
      </c>
      <c r="CH43" s="235">
        <f>(Inputs_Assumptions!$E$113/Quarters_in_Year)*CH22*Units</f>
        <v>31576.095415020372</v>
      </c>
      <c r="CI43" s="235">
        <f>(Inputs_Assumptions!$E$113/Quarters_in_Year)*CI22*Units</f>
        <v>31798.709831969372</v>
      </c>
      <c r="CJ43" s="235">
        <f>(Inputs_Assumptions!$E$113/Quarters_in_Year)*CJ22*Units</f>
        <v>32022.893701315261</v>
      </c>
      <c r="CK43" s="235">
        <f>(Inputs_Assumptions!$E$113/Quarters_in_Year)*CK22*Units</f>
        <v>32248.658087843785</v>
      </c>
      <c r="CL43" s="235">
        <f>(Inputs_Assumptions!$E$113/Quarters_in_Year)*CL22*Units</f>
        <v>32476.014134348447</v>
      </c>
      <c r="CM43" s="235">
        <f>(Inputs_Assumptions!$E$113/Quarters_in_Year)*CM22*Units</f>
        <v>32704.973062180492</v>
      </c>
      <c r="CN43" s="235">
        <f>(Inputs_Assumptions!$E$113/Quarters_in_Year)*CN22*Units</f>
        <v>32935.546171802744</v>
      </c>
      <c r="CO43" s="235">
        <f>(Inputs_Assumptions!$E$113/Quarters_in_Year)*CO22*Units</f>
        <v>33167.744843347326</v>
      </c>
      <c r="CP43" s="235">
        <f>(Inputs_Assumptions!$E$113/Quarters_in_Year)*CP22*Units</f>
        <v>33401.580537177368</v>
      </c>
      <c r="CQ43" s="235">
        <f>(Inputs_Assumptions!$E$113/Quarters_in_Year)*CQ22*Units</f>
        <v>33637.064794452628</v>
      </c>
      <c r="CR43" s="235">
        <f>(Inputs_Assumptions!$E$113/Quarters_in_Year)*CR22*Units</f>
        <v>33874.209237699113</v>
      </c>
      <c r="CS43" s="235">
        <f>(Inputs_Assumptions!$E$113/Quarters_in_Year)*CS22*Units</f>
        <v>34113.025571382714</v>
      </c>
      <c r="CT43" s="235">
        <f>(Inputs_Assumptions!$E$113/Quarters_in_Year)*CT22*Units</f>
        <v>34353.525582486916</v>
      </c>
      <c r="CU43" s="254">
        <f>(Inputs_Assumptions!$E$113/Quarters_in_Year)*CU22*Units</f>
        <v>34595.721141094524</v>
      </c>
      <c r="CV43" s="235">
        <f>(Inputs_Assumptions!$E$113/Quarters_in_Year)*CV22*Units</f>
        <v>34839.624200973529</v>
      </c>
      <c r="CW43" s="235">
        <f>(Inputs_Assumptions!$E$113/Quarters_in_Year)*CW22*Units</f>
        <v>35085.246800167122</v>
      </c>
      <c r="CX43" s="235">
        <f>(Inputs_Assumptions!$E$113/Quarters_in_Year)*CX22*Units</f>
        <v>35332.601061587789</v>
      </c>
      <c r="CY43" s="235">
        <f>(Inputs_Assumptions!$E$113/Quarters_in_Year)*CY22*Units</f>
        <v>35581.699193615714</v>
      </c>
      <c r="CZ43" s="235">
        <f>(Inputs_Assumptions!$E$113/Quarters_in_Year)*CZ22*Units</f>
        <v>35832.55349070127</v>
      </c>
      <c r="DA43" s="235">
        <f>(Inputs_Assumptions!$E$113/Quarters_in_Year)*DA22*Units</f>
        <v>36085.176333971882</v>
      </c>
      <c r="DB43" s="235">
        <f>(Inputs_Assumptions!$E$113/Quarters_in_Year)*DB22*Units</f>
        <v>36339.580191843044</v>
      </c>
      <c r="DC43" s="235">
        <f>(Inputs_Assumptions!$E$113/Quarters_in_Year)*DC22*Units</f>
        <v>36595.777620633751</v>
      </c>
      <c r="DD43" s="235">
        <f>(Inputs_Assumptions!$E$113/Quarters_in_Year)*DD22*Units</f>
        <v>36853.781265186248</v>
      </c>
      <c r="DE43" s="235">
        <f>(Inputs_Assumptions!$E$113/Quarters_in_Year)*DE22*Units</f>
        <v>37113.603859490067</v>
      </c>
      <c r="DF43" s="235">
        <f>(Inputs_Assumptions!$E$113/Quarters_in_Year)*DF22*Units</f>
        <v>37375.258227310558</v>
      </c>
      <c r="DG43" s="235">
        <f>(Inputs_Assumptions!$E$113/Quarters_in_Year)*DG22*Units</f>
        <v>37638.757282821811</v>
      </c>
      <c r="DH43" s="235">
        <f>(Inputs_Assumptions!$E$113/Quarters_in_Year)*DH22*Units</f>
        <v>37904.114031244055</v>
      </c>
      <c r="DI43" s="235">
        <f>(Inputs_Assumptions!$E$113/Quarters_in_Year)*DI22*Units</f>
        <v>38171.341569485536</v>
      </c>
      <c r="DJ43" s="235">
        <f>(Inputs_Assumptions!$E$113/Quarters_in_Year)*DJ22*Units</f>
        <v>38440.453086788904</v>
      </c>
      <c r="DK43" s="235">
        <f>(Inputs_Assumptions!$E$113/Quarters_in_Year)*DK22*Units</f>
        <v>38711.461865382233</v>
      </c>
      <c r="DL43" s="235">
        <f>(Inputs_Assumptions!$E$113/Quarters_in_Year)*DL22*Units</f>
        <v>38984.381281134512</v>
      </c>
      <c r="DM43" s="235">
        <f>(Inputs_Assumptions!$E$113/Quarters_in_Year)*DM22*Units</f>
        <v>39259.224804215868</v>
      </c>
      <c r="DN43" s="235">
        <f>(Inputs_Assumptions!$E$113/Quarters_in_Year)*DN22*Units</f>
        <v>39536.005999762383</v>
      </c>
      <c r="DO43" s="235">
        <f>(Inputs_Assumptions!$E$113/Quarters_in_Year)*DO22*Units</f>
        <v>39814.738528545611</v>
      </c>
      <c r="DP43" s="235">
        <f>(Inputs_Assumptions!$E$113/Quarters_in_Year)*DP22*Units</f>
        <v>40095.436147646826</v>
      </c>
      <c r="DQ43" s="235">
        <f>(Inputs_Assumptions!$E$113/Quarters_in_Year)*DQ22*Units</f>
        <v>40378.112711136011</v>
      </c>
      <c r="DR43" s="235">
        <f>(Inputs_Assumptions!$E$113/Quarters_in_Year)*DR22*Units</f>
        <v>40662.782170755607</v>
      </c>
      <c r="DS43" s="235">
        <f>(Inputs_Assumptions!$E$113/Quarters_in_Year)*DS22*Units</f>
        <v>40949.458576609162</v>
      </c>
      <c r="DT43" s="235">
        <f>(Inputs_Assumptions!$E$113/Quarters_in_Year)*DT22*Units</f>
        <v>41238.156077854757</v>
      </c>
      <c r="DU43" s="235">
        <f>(Inputs_Assumptions!$E$113/Quarters_in_Year)*DU22*Units</f>
        <v>41528.888923403378</v>
      </c>
      <c r="DV43" s="235">
        <f>(Inputs_Assumptions!$E$113/Quarters_in_Year)*DV22*Units</f>
        <v>41821.671462622136</v>
      </c>
      <c r="DW43" s="235">
        <f>(Inputs_Assumptions!$E$113/Quarters_in_Year)*DW22*Units</f>
        <v>42116.518146042516</v>
      </c>
      <c r="DX43" s="235">
        <f>(Inputs_Assumptions!$E$113/Quarters_in_Year)*DX22*Units</f>
        <v>42413.443526073621</v>
      </c>
      <c r="DY43" s="235">
        <f>(Inputs_Assumptions!$E$113/Quarters_in_Year)*DY22*Units</f>
        <v>42712.462257720377</v>
      </c>
      <c r="DZ43" s="235">
        <f>(Inputs_Assumptions!$E$113/Quarters_in_Year)*DZ22*Units</f>
        <v>43013.589099306861</v>
      </c>
      <c r="EA43" s="235">
        <f>(Inputs_Assumptions!$E$113/Quarters_in_Year)*EA22*Units</f>
        <v>43316.838913204723</v>
      </c>
      <c r="EB43" s="235">
        <f>(Inputs_Assumptions!$E$113/Quarters_in_Year)*EB22*Units</f>
        <v>43622.226666566712</v>
      </c>
      <c r="EC43" s="235">
        <f>(Inputs_Assumptions!$E$113/Quarters_in_Year)*EC22*Units</f>
        <v>43929.767432065404</v>
      </c>
      <c r="ED43" s="235">
        <f>(Inputs_Assumptions!$E$113/Quarters_in_Year)*ED22*Units</f>
        <v>44239.4763886371</v>
      </c>
      <c r="EE43" s="235">
        <f>(Inputs_Assumptions!$E$113/Quarters_in_Year)*EE22*Units</f>
        <v>44551.368822231052</v>
      </c>
      <c r="EF43" s="235">
        <f>(Inputs_Assumptions!$E$113/Quarters_in_Year)*EF22*Units</f>
        <v>44865.460126563856</v>
      </c>
      <c r="EG43" s="235">
        <f>(Inputs_Assumptions!$E$113/Quarters_in_Year)*EG22*Units</f>
        <v>45181.765803879251</v>
      </c>
      <c r="EH43" s="235">
        <f>(Inputs_Assumptions!$E$113/Quarters_in_Year)*EH22*Units</f>
        <v>45500.301465713252</v>
      </c>
      <c r="EI43" s="235">
        <f>(Inputs_Assumptions!$E$113/Quarters_in_Year)*EI22*Units</f>
        <v>45821.082833664615</v>
      </c>
      <c r="EJ43" s="235">
        <f>(Inputs_Assumptions!$E$113/Quarters_in_Year)*EJ22*Units</f>
        <v>46144.125740170915</v>
      </c>
      <c r="EK43" s="235">
        <f>(Inputs_Assumptions!$E$113/Quarters_in_Year)*EK22*Units</f>
        <v>46469.446129289798</v>
      </c>
      <c r="EL43" s="235">
        <f>(Inputs_Assumptions!$E$113/Quarters_in_Year)*EL22*Units</f>
        <v>46797.060057486065</v>
      </c>
      <c r="EM43" s="235">
        <f>(Inputs_Assumptions!$E$113/Quarters_in_Year)*EM22*Units</f>
        <v>47126.983694424052</v>
      </c>
      <c r="EN43" s="235">
        <f>(Inputs_Assumptions!$E$113/Quarters_in_Year)*EN22*Units</f>
        <v>47459.233323765773</v>
      </c>
      <c r="EO43" s="235">
        <f>(Inputs_Assumptions!$E$113/Quarters_in_Year)*EO22*Units</f>
        <v>47793.825343974546</v>
      </c>
      <c r="EP43" s="235">
        <f>(Inputs_Assumptions!$E$113/Quarters_in_Year)*EP22*Units</f>
        <v>48130.776269124406</v>
      </c>
      <c r="EQ43" s="235">
        <f>(Inputs_Assumptions!$E$113/Quarters_in_Year)*EQ22*Units</f>
        <v>48470.102729715138</v>
      </c>
      <c r="ER43" s="235">
        <f>(Inputs_Assumptions!$E$113/Quarters_in_Year)*ER22*Units</f>
        <v>48811.821473493088</v>
      </c>
      <c r="ES43" s="235">
        <f>(Inputs_Assumptions!$E$113/Quarters_in_Year)*ES22*Units</f>
        <v>49155.949366277811</v>
      </c>
      <c r="ET43" s="235">
        <f>(Inputs_Assumptions!$E$113/Quarters_in_Year)*ET22*Units</f>
        <v>49502.503392794439</v>
      </c>
      <c r="EU43" s="235">
        <f>(Inputs_Assumptions!$E$113/Quarters_in_Year)*EU22*Units</f>
        <v>49851.500657511999</v>
      </c>
      <c r="EV43" s="235">
        <f>(Inputs_Assumptions!$E$113/Quarters_in_Year)*EV22*Units</f>
        <v>50202.958385487625</v>
      </c>
      <c r="EW43" s="235">
        <f>(Inputs_Assumptions!$E$113/Quarters_in_Year)*EW22*Units</f>
        <v>50556.893923216718</v>
      </c>
      <c r="EX43" s="235">
        <f>(Inputs_Assumptions!$E$113/Quarters_in_Year)*EX22*Units</f>
        <v>50913.324739489071</v>
      </c>
      <c r="EY43" s="235">
        <f>(Inputs_Assumptions!$E$113/Quarters_in_Year)*EY22*Units</f>
        <v>51272.268426251074</v>
      </c>
      <c r="EZ43" s="235">
        <f>(Inputs_Assumptions!$E$113/Quarters_in_Year)*EZ22*Units</f>
        <v>51633.742699474016</v>
      </c>
      <c r="FA43" s="235">
        <f>(Inputs_Assumptions!$E$113/Quarters_in_Year)*FA22*Units</f>
        <v>51997.76540002838</v>
      </c>
    </row>
    <row r="44" spans="2:157" outlineLevel="1" x14ac:dyDescent="0.2">
      <c r="B44" s="1"/>
      <c r="C44" s="30" t="s">
        <v>325</v>
      </c>
      <c r="D44" s="130" t="s">
        <v>119</v>
      </c>
      <c r="E44" s="5"/>
      <c r="F44" s="21"/>
      <c r="G44" s="235">
        <f>(Inputs_Assumptions!$E$114/Quarters_in_Year)*G21*Units</f>
        <v>10313.47052483777</v>
      </c>
      <c r="H44" s="235">
        <f>(Inputs_Assumptions!$E$114/Quarters_in_Year)*H21*Units</f>
        <v>10377.334074799752</v>
      </c>
      <c r="I44" s="235">
        <f>(Inputs_Assumptions!$E$114/Quarters_in_Year)*I21*Units</f>
        <v>10441.593083594327</v>
      </c>
      <c r="J44" s="235">
        <f>(Inputs_Assumptions!$E$114/Quarters_in_Year)*J21*Units</f>
        <v>10506.250000000002</v>
      </c>
      <c r="K44" s="235">
        <f>(Inputs_Assumptions!$E$114/Quarters_in_Year)*K21*Units</f>
        <v>10571.307287958716</v>
      </c>
      <c r="L44" s="235">
        <f>(Inputs_Assumptions!$E$114/Quarters_in_Year)*L21*Units</f>
        <v>10636.767426669747</v>
      </c>
      <c r="M44" s="235">
        <f>(Inputs_Assumptions!$E$114/Quarters_in_Year)*M21*Units</f>
        <v>10702.632910684188</v>
      </c>
      <c r="N44" s="235">
        <f>(Inputs_Assumptions!$E$114/Quarters_in_Year)*N21*Units</f>
        <v>10768.906250000004</v>
      </c>
      <c r="O44" s="235">
        <f>(Inputs_Assumptions!$E$114/Quarters_in_Year)*O21*Units</f>
        <v>10835.589970157685</v>
      </c>
      <c r="P44" s="235">
        <f>(Inputs_Assumptions!$E$114/Quarters_in_Year)*P21*Units</f>
        <v>10902.686612336496</v>
      </c>
      <c r="Q44" s="235">
        <f>(Inputs_Assumptions!$E$114/Quarters_in_Year)*Q21*Units</f>
        <v>10970.198733451298</v>
      </c>
      <c r="R44" s="235">
        <f>(Inputs_Assumptions!$E$114/Quarters_in_Year)*R21*Units</f>
        <v>11038.128906250011</v>
      </c>
      <c r="S44" s="235">
        <f>(Inputs_Assumptions!$E$114/Quarters_in_Year)*S21*Units</f>
        <v>11106.479719411635</v>
      </c>
      <c r="T44" s="235">
        <f>(Inputs_Assumptions!$E$114/Quarters_in_Year)*T21*Units</f>
        <v>11175.253777644913</v>
      </c>
      <c r="U44" s="235">
        <f>(Inputs_Assumptions!$E$114/Quarters_in_Year)*U21*Units</f>
        <v>11244.453701787586</v>
      </c>
      <c r="V44" s="235">
        <f>(Inputs_Assumptions!$E$114/Quarters_in_Year)*V21*Units</f>
        <v>11314.082128906266</v>
      </c>
      <c r="W44" s="235">
        <f>(Inputs_Assumptions!$E$114/Quarters_in_Year)*W21*Units</f>
        <v>11384.14171239693</v>
      </c>
      <c r="X44" s="235">
        <f>(Inputs_Assumptions!$E$114/Quarters_in_Year)*X21*Units</f>
        <v>11454.63512208604</v>
      </c>
      <c r="Y44" s="235">
        <f>(Inputs_Assumptions!$E$114/Quarters_in_Year)*Y21*Units</f>
        <v>11525.565044332281</v>
      </c>
      <c r="Z44" s="235">
        <f>(Inputs_Assumptions!$E$114/Quarters_in_Year)*Z21*Units</f>
        <v>11596.934182128927</v>
      </c>
      <c r="AA44" s="235">
        <f>(Inputs_Assumptions!$E$114/Quarters_in_Year)*AA21*Units</f>
        <v>11668.745255206859</v>
      </c>
      <c r="AB44" s="235">
        <f>(Inputs_Assumptions!$E$114/Quarters_in_Year)*AB21*Units</f>
        <v>11741.001000138196</v>
      </c>
      <c r="AC44" s="235">
        <f>(Inputs_Assumptions!$E$114/Quarters_in_Year)*AC21*Units</f>
        <v>11813.704170440591</v>
      </c>
      <c r="AD44" s="235">
        <f>(Inputs_Assumptions!$E$114/Quarters_in_Year)*AD21*Units</f>
        <v>11886.857536682153</v>
      </c>
      <c r="AE44" s="235">
        <f>(Inputs_Assumptions!$E$114/Quarters_in_Year)*AE21*Units</f>
        <v>11960.463886587035</v>
      </c>
      <c r="AF44" s="235">
        <f>(Inputs_Assumptions!$E$114/Quarters_in_Year)*AF21*Units</f>
        <v>12034.526025141655</v>
      </c>
      <c r="AG44" s="235">
        <f>(Inputs_Assumptions!$E$114/Quarters_in_Year)*AG21*Units</f>
        <v>12109.04677470161</v>
      </c>
      <c r="AH44" s="235">
        <f>(Inputs_Assumptions!$E$114/Quarters_in_Year)*AH21*Units</f>
        <v>12184.028975099212</v>
      </c>
      <c r="AI44" s="235">
        <f>(Inputs_Assumptions!$E$114/Quarters_in_Year)*AI21*Units</f>
        <v>12259.475483751714</v>
      </c>
      <c r="AJ44" s="235">
        <f>(Inputs_Assumptions!$E$114/Quarters_in_Year)*AJ21*Units</f>
        <v>12335.389175770202</v>
      </c>
      <c r="AK44" s="235">
        <f>(Inputs_Assumptions!$E$114/Quarters_in_Year)*AK21*Units</f>
        <v>12411.772944069156</v>
      </c>
      <c r="AL44" s="235">
        <f>(Inputs_Assumptions!$E$114/Quarters_in_Year)*AL21*Units</f>
        <v>12488.629699476696</v>
      </c>
      <c r="AM44" s="235">
        <f>(Inputs_Assumptions!$E$114/Quarters_in_Year)*AM21*Units</f>
        <v>12565.962370845511</v>
      </c>
      <c r="AN44" s="235">
        <f>(Inputs_Assumptions!$E$114/Quarters_in_Year)*AN21*Units</f>
        <v>12643.773905164462</v>
      </c>
      <c r="AO44" s="235">
        <f>(Inputs_Assumptions!$E$114/Quarters_in_Year)*AO21*Units</f>
        <v>12722.067267670889</v>
      </c>
      <c r="AP44" s="235">
        <f>(Inputs_Assumptions!$E$114/Quarters_in_Year)*AP21*Units</f>
        <v>12800.845441963618</v>
      </c>
      <c r="AQ44" s="235">
        <f>(Inputs_Assumptions!$E$114/Quarters_in_Year)*AQ21*Units</f>
        <v>12880.111430116654</v>
      </c>
      <c r="AR44" s="235">
        <f>(Inputs_Assumptions!$E$114/Quarters_in_Year)*AR21*Units</f>
        <v>12959.868252793578</v>
      </c>
      <c r="AS44" s="235">
        <f>(Inputs_Assumptions!$E$114/Quarters_in_Year)*AS21*Units</f>
        <v>13040.118949362666</v>
      </c>
      <c r="AT44" s="235">
        <f>(Inputs_Assumptions!$E$114/Quarters_in_Year)*AT21*Units</f>
        <v>13120.866578012714</v>
      </c>
      <c r="AU44" s="235">
        <f>(Inputs_Assumptions!$E$114/Quarters_in_Year)*AU21*Units</f>
        <v>13202.114215869575</v>
      </c>
      <c r="AV44" s="235">
        <f>(Inputs_Assumptions!$E$114/Quarters_in_Year)*AV21*Units</f>
        <v>13283.864959113424</v>
      </c>
      <c r="AW44" s="235">
        <f>(Inputs_Assumptions!$E$114/Quarters_in_Year)*AW21*Units</f>
        <v>13366.121923096738</v>
      </c>
      <c r="AX44" s="235">
        <f>(Inputs_Assumptions!$E$114/Quarters_in_Year)*AX21*Units</f>
        <v>13448.888242463037</v>
      </c>
      <c r="AY44" s="235">
        <f>(Inputs_Assumptions!$E$114/Quarters_in_Year)*AY21*Units</f>
        <v>13532.16707126632</v>
      </c>
      <c r="AZ44" s="235">
        <f>(Inputs_Assumptions!$E$114/Quarters_in_Year)*AZ21*Units</f>
        <v>13615.961583091263</v>
      </c>
      <c r="BA44" s="235">
        <f>(Inputs_Assumptions!$E$114/Quarters_in_Year)*BA21*Units</f>
        <v>13700.274971174162</v>
      </c>
      <c r="BB44" s="235">
        <f>(Inputs_Assumptions!$E$114/Quarters_in_Year)*BB21*Units</f>
        <v>13785.110448524618</v>
      </c>
      <c r="BC44" s="235">
        <f>(Inputs_Assumptions!$E$114/Quarters_in_Year)*BC21*Units</f>
        <v>13870.471248047981</v>
      </c>
      <c r="BD44" s="235">
        <f>(Inputs_Assumptions!$E$114/Quarters_in_Year)*BD21*Units</f>
        <v>13956.360622668546</v>
      </c>
      <c r="BE44" s="235">
        <f>(Inputs_Assumptions!$E$114/Quarters_in_Year)*BE21*Units</f>
        <v>14042.781845453519</v>
      </c>
      <c r="BF44" s="235">
        <f>(Inputs_Assumptions!$E$114/Quarters_in_Year)*BF21*Units</f>
        <v>14129.738209737738</v>
      </c>
      <c r="BG44" s="235">
        <f>(Inputs_Assumptions!$E$114/Quarters_in_Year)*BG21*Units</f>
        <v>14217.233029249186</v>
      </c>
      <c r="BH44" s="235">
        <f>(Inputs_Assumptions!$E$114/Quarters_in_Year)*BH21*Units</f>
        <v>14305.269638235266</v>
      </c>
      <c r="BI44" s="235">
        <f>(Inputs_Assumptions!$E$114/Quarters_in_Year)*BI21*Units</f>
        <v>14393.851391589862</v>
      </c>
      <c r="BJ44" s="235">
        <f>(Inputs_Assumptions!$E$114/Quarters_in_Year)*BJ21*Units</f>
        <v>14482.981664981187</v>
      </c>
      <c r="BK44" s="235">
        <f>(Inputs_Assumptions!$E$114/Quarters_in_Year)*BK21*Units</f>
        <v>14572.663854980423</v>
      </c>
      <c r="BL44" s="235">
        <f>(Inputs_Assumptions!$E$114/Quarters_in_Year)*BL21*Units</f>
        <v>14662.901379191153</v>
      </c>
      <c r="BM44" s="235">
        <f>(Inputs_Assumptions!$E$114/Quarters_in_Year)*BM21*Units</f>
        <v>14753.697676379614</v>
      </c>
      <c r="BN44" s="235">
        <f>(Inputs_Assumptions!$E$114/Quarters_in_Year)*BN21*Units</f>
        <v>14845.056206605721</v>
      </c>
      <c r="BO44" s="235">
        <f>(Inputs_Assumptions!$E$114/Quarters_in_Year)*BO21*Units</f>
        <v>14936.980451354935</v>
      </c>
      <c r="BP44" s="235">
        <f>(Inputs_Assumptions!$E$114/Quarters_in_Year)*BP21*Units</f>
        <v>15029.473913670938</v>
      </c>
      <c r="BQ44" s="235">
        <f>(Inputs_Assumptions!$E$114/Quarters_in_Year)*BQ21*Units</f>
        <v>15122.540118289109</v>
      </c>
      <c r="BR44" s="235">
        <f>(Inputs_Assumptions!$E$114/Quarters_in_Year)*BR21*Units</f>
        <v>15216.182611770868</v>
      </c>
      <c r="BS44" s="235">
        <f>(Inputs_Assumptions!$E$114/Quarters_in_Year)*BS21*Units</f>
        <v>15310.404962638813</v>
      </c>
      <c r="BT44" s="235">
        <f>(Inputs_Assumptions!$E$114/Quarters_in_Year)*BT21*Units</f>
        <v>15405.210761512715</v>
      </c>
      <c r="BU44" s="235">
        <f>(Inputs_Assumptions!$E$114/Quarters_in_Year)*BU21*Units</f>
        <v>15500.60362124634</v>
      </c>
      <c r="BV44" s="235">
        <f>(Inputs_Assumptions!$E$114/Quarters_in_Year)*BV21*Units</f>
        <v>15596.587177065147</v>
      </c>
      <c r="BW44" s="235">
        <f>(Inputs_Assumptions!$E$114/Quarters_in_Year)*BW21*Units</f>
        <v>15693.16508670479</v>
      </c>
      <c r="BX44" s="235">
        <f>(Inputs_Assumptions!$E$114/Quarters_in_Year)*BX21*Units</f>
        <v>15790.341030550539</v>
      </c>
      <c r="BY44" s="235">
        <f>(Inputs_Assumptions!$E$114/Quarters_in_Year)*BY21*Units</f>
        <v>15888.118711777506</v>
      </c>
      <c r="BZ44" s="235">
        <f>(Inputs_Assumptions!$E$114/Quarters_in_Year)*BZ21*Units</f>
        <v>15986.501856491779</v>
      </c>
      <c r="CA44" s="235">
        <f>(Inputs_Assumptions!$E$114/Quarters_in_Year)*CA21*Units</f>
        <v>16085.494213872416</v>
      </c>
      <c r="CB44" s="235">
        <f>(Inputs_Assumptions!$E$114/Quarters_in_Year)*CB21*Units</f>
        <v>16185.099556314306</v>
      </c>
      <c r="CC44" s="235">
        <f>(Inputs_Assumptions!$E$114/Quarters_in_Year)*CC21*Units</f>
        <v>16285.321679571947</v>
      </c>
      <c r="CD44" s="235">
        <f>(Inputs_Assumptions!$E$114/Quarters_in_Year)*CD21*Units</f>
        <v>16386.16440290408</v>
      </c>
      <c r="CE44" s="235">
        <f>(Inputs_Assumptions!$E$114/Quarters_in_Year)*CE21*Units</f>
        <v>16487.631569219233</v>
      </c>
      <c r="CF44" s="235">
        <f>(Inputs_Assumptions!$E$114/Quarters_in_Year)*CF21*Units</f>
        <v>16589.727045222167</v>
      </c>
      <c r="CG44" s="235">
        <f>(Inputs_Assumptions!$E$114/Quarters_in_Year)*CG21*Units</f>
        <v>16692.454721561251</v>
      </c>
      <c r="CH44" s="235">
        <f>(Inputs_Assumptions!$E$114/Quarters_in_Year)*CH21*Units</f>
        <v>16795.818512976686</v>
      </c>
      <c r="CI44" s="235">
        <f>(Inputs_Assumptions!$E$114/Quarters_in_Year)*CI21*Units</f>
        <v>16899.822358449717</v>
      </c>
      <c r="CJ44" s="235">
        <f>(Inputs_Assumptions!$E$114/Quarters_in_Year)*CJ21*Units</f>
        <v>17004.470221352731</v>
      </c>
      <c r="CK44" s="235">
        <f>(Inputs_Assumptions!$E$114/Quarters_in_Year)*CK21*Units</f>
        <v>17109.766089600289</v>
      </c>
      <c r="CL44" s="235">
        <f>(Inputs_Assumptions!$E$114/Quarters_in_Year)*CL21*Units</f>
        <v>17215.713975801107</v>
      </c>
      <c r="CM44" s="235">
        <f>(Inputs_Assumptions!$E$114/Quarters_in_Year)*CM21*Units</f>
        <v>17322.317917410968</v>
      </c>
      <c r="CN44" s="235">
        <f>(Inputs_Assumptions!$E$114/Quarters_in_Year)*CN21*Units</f>
        <v>17429.581976886555</v>
      </c>
      <c r="CO44" s="235">
        <f>(Inputs_Assumptions!$E$114/Quarters_in_Year)*CO21*Units</f>
        <v>17537.5102418403</v>
      </c>
      <c r="CP44" s="235">
        <f>(Inputs_Assumptions!$E$114/Quarters_in_Year)*CP21*Units</f>
        <v>17646.106825196144</v>
      </c>
      <c r="CQ44" s="235">
        <f>(Inputs_Assumptions!$E$114/Quarters_in_Year)*CQ21*Units</f>
        <v>17755.375865346246</v>
      </c>
      <c r="CR44" s="235">
        <f>(Inputs_Assumptions!$E$114/Quarters_in_Year)*CR21*Units</f>
        <v>17865.321526308726</v>
      </c>
      <c r="CS44" s="235">
        <f>(Inputs_Assumptions!$E$114/Quarters_in_Year)*CS21*Units</f>
        <v>17975.94799788632</v>
      </c>
      <c r="CT44" s="235">
        <f>(Inputs_Assumptions!$E$114/Quarters_in_Year)*CT21*Units</f>
        <v>18087.259495826052</v>
      </c>
      <c r="CU44" s="254">
        <f>(Inputs_Assumptions!$E$114/Quarters_in_Year)*CU21*Units</f>
        <v>18199.260261979907</v>
      </c>
      <c r="CV44" s="235">
        <f>(Inputs_Assumptions!$E$114/Quarters_in_Year)*CV21*Units</f>
        <v>18311.95456446645</v>
      </c>
      <c r="CW44" s="235">
        <f>(Inputs_Assumptions!$E$114/Quarters_in_Year)*CW21*Units</f>
        <v>18425.346697833484</v>
      </c>
      <c r="CX44" s="235">
        <f>(Inputs_Assumptions!$E$114/Quarters_in_Year)*CX21*Units</f>
        <v>18539.440983221713</v>
      </c>
      <c r="CY44" s="235">
        <f>(Inputs_Assumptions!$E$114/Quarters_in_Year)*CY21*Units</f>
        <v>18654.241768529413</v>
      </c>
      <c r="CZ44" s="235">
        <f>(Inputs_Assumptions!$E$114/Quarters_in_Year)*CZ21*Units</f>
        <v>18769.753428578118</v>
      </c>
      <c r="DA44" s="235">
        <f>(Inputs_Assumptions!$E$114/Quarters_in_Year)*DA21*Units</f>
        <v>18885.980365279323</v>
      </c>
      <c r="DB44" s="235">
        <f>(Inputs_Assumptions!$E$114/Quarters_in_Year)*DB21*Units</f>
        <v>19002.92700780226</v>
      </c>
      <c r="DC44" s="235">
        <f>(Inputs_Assumptions!$E$114/Quarters_in_Year)*DC21*Units</f>
        <v>19120.597812742657</v>
      </c>
      <c r="DD44" s="235">
        <f>(Inputs_Assumptions!$E$114/Quarters_in_Year)*DD21*Units</f>
        <v>19238.997264292579</v>
      </c>
      <c r="DE44" s="235">
        <f>(Inputs_Assumptions!$E$114/Quarters_in_Year)*DE21*Units</f>
        <v>19358.129874411319</v>
      </c>
      <c r="DF44" s="235">
        <f>(Inputs_Assumptions!$E$114/Quarters_in_Year)*DF21*Units</f>
        <v>19478.000182997326</v>
      </c>
      <c r="DG44" s="235">
        <f>(Inputs_Assumptions!$E$114/Quarters_in_Year)*DG21*Units</f>
        <v>19598.612758061234</v>
      </c>
      <c r="DH44" s="235">
        <f>(Inputs_Assumptions!$E$114/Quarters_in_Year)*DH21*Units</f>
        <v>19719.972195899903</v>
      </c>
      <c r="DI44" s="235">
        <f>(Inputs_Assumptions!$E$114/Quarters_in_Year)*DI21*Units</f>
        <v>19842.083121271611</v>
      </c>
      <c r="DJ44" s="235">
        <f>(Inputs_Assumptions!$E$114/Quarters_in_Year)*DJ21*Units</f>
        <v>19964.950187572271</v>
      </c>
      <c r="DK44" s="235">
        <f>(Inputs_Assumptions!$E$114/Quarters_in_Year)*DK21*Units</f>
        <v>20088.578077012775</v>
      </c>
      <c r="DL44" s="235">
        <f>(Inputs_Assumptions!$E$114/Quarters_in_Year)*DL21*Units</f>
        <v>20212.971500797408</v>
      </c>
      <c r="DM44" s="235">
        <f>(Inputs_Assumptions!$E$114/Quarters_in_Year)*DM21*Units</f>
        <v>20338.135199303408</v>
      </c>
      <c r="DN44" s="235">
        <f>(Inputs_Assumptions!$E$114/Quarters_in_Year)*DN21*Units</f>
        <v>20464.073942261584</v>
      </c>
      <c r="DO44" s="235">
        <f>(Inputs_Assumptions!$E$114/Quarters_in_Year)*DO21*Units</f>
        <v>20590.792528938102</v>
      </c>
      <c r="DP44" s="235">
        <f>(Inputs_Assumptions!$E$114/Quarters_in_Year)*DP21*Units</f>
        <v>20718.295788317351</v>
      </c>
      <c r="DQ44" s="235">
        <f>(Inputs_Assumptions!$E$114/Quarters_in_Year)*DQ21*Units</f>
        <v>20846.588579286003</v>
      </c>
      <c r="DR44" s="235">
        <f>(Inputs_Assumptions!$E$114/Quarters_in_Year)*DR21*Units</f>
        <v>20975.675790818135</v>
      </c>
      <c r="DS44" s="235">
        <f>(Inputs_Assumptions!$E$114/Quarters_in_Year)*DS21*Units</f>
        <v>21105.562342161564</v>
      </c>
      <c r="DT44" s="235">
        <f>(Inputs_Assumptions!$E$114/Quarters_in_Year)*DT21*Units</f>
        <v>21236.253183025296</v>
      </c>
      <c r="DU44" s="235">
        <f>(Inputs_Assumptions!$E$114/Quarters_in_Year)*DU21*Units</f>
        <v>21367.753293768161</v>
      </c>
      <c r="DV44" s="235">
        <f>(Inputs_Assumptions!$E$114/Quarters_in_Year)*DV21*Units</f>
        <v>21500.067685588598</v>
      </c>
      <c r="DW44" s="235">
        <f>(Inputs_Assumptions!$E$114/Quarters_in_Year)*DW21*Units</f>
        <v>21633.20140071561</v>
      </c>
      <c r="DX44" s="235">
        <f>(Inputs_Assumptions!$E$114/Quarters_in_Year)*DX21*Units</f>
        <v>21767.159512600934</v>
      </c>
      <c r="DY44" s="235">
        <f>(Inputs_Assumptions!$E$114/Quarters_in_Year)*DY21*Units</f>
        <v>21901.947126112376</v>
      </c>
      <c r="DZ44" s="235">
        <f>(Inputs_Assumptions!$E$114/Quarters_in_Year)*DZ21*Units</f>
        <v>22037.569377728316</v>
      </c>
      <c r="EA44" s="235">
        <f>(Inputs_Assumptions!$E$114/Quarters_in_Year)*EA21*Units</f>
        <v>22174.031435733508</v>
      </c>
      <c r="EB44" s="235">
        <f>(Inputs_Assumptions!$E$114/Quarters_in_Year)*EB21*Units</f>
        <v>22311.338500415968</v>
      </c>
      <c r="EC44" s="235">
        <f>(Inputs_Assumptions!$E$114/Quarters_in_Year)*EC21*Units</f>
        <v>22449.495804265189</v>
      </c>
      <c r="ED44" s="235">
        <f>(Inputs_Assumptions!$E$114/Quarters_in_Year)*ED21*Units</f>
        <v>22588.508612171532</v>
      </c>
      <c r="EE44" s="235">
        <f>(Inputs_Assumptions!$E$114/Quarters_in_Year)*EE21*Units</f>
        <v>22728.382221626853</v>
      </c>
      <c r="EF44" s="235">
        <f>(Inputs_Assumptions!$E$114/Quarters_in_Year)*EF21*Units</f>
        <v>22869.121962926372</v>
      </c>
      <c r="EG44" s="235">
        <f>(Inputs_Assumptions!$E$114/Quarters_in_Year)*EG21*Units</f>
        <v>23010.733199371829</v>
      </c>
      <c r="EH44" s="235">
        <f>(Inputs_Assumptions!$E$114/Quarters_in_Year)*EH21*Units</f>
        <v>23153.221327475829</v>
      </c>
      <c r="EI44" s="235">
        <f>(Inputs_Assumptions!$E$114/Quarters_in_Year)*EI21*Units</f>
        <v>23296.59177716753</v>
      </c>
      <c r="EJ44" s="235">
        <f>(Inputs_Assumptions!$E$114/Quarters_in_Year)*EJ21*Units</f>
        <v>23440.850011999541</v>
      </c>
      <c r="EK44" s="235">
        <f>(Inputs_Assumptions!$E$114/Quarters_in_Year)*EK21*Units</f>
        <v>23586.00152935613</v>
      </c>
      <c r="EL44" s="235">
        <f>(Inputs_Assumptions!$E$114/Quarters_in_Year)*EL21*Units</f>
        <v>23732.051860662734</v>
      </c>
      <c r="EM44" s="235">
        <f>(Inputs_Assumptions!$E$114/Quarters_in_Year)*EM21*Units</f>
        <v>23879.006571596725</v>
      </c>
      <c r="EN44" s="235">
        <f>(Inputs_Assumptions!$E$114/Quarters_in_Year)*EN21*Units</f>
        <v>24026.871262299534</v>
      </c>
      <c r="EO44" s="235">
        <f>(Inputs_Assumptions!$E$114/Quarters_in_Year)*EO21*Units</f>
        <v>24175.651567590037</v>
      </c>
      <c r="EP44" s="235">
        <f>(Inputs_Assumptions!$E$114/Quarters_in_Year)*EP21*Units</f>
        <v>24325.353157179306</v>
      </c>
      <c r="EQ44" s="235">
        <f>(Inputs_Assumptions!$E$114/Quarters_in_Year)*EQ21*Units</f>
        <v>24475.981735886653</v>
      </c>
      <c r="ER44" s="235">
        <f>(Inputs_Assumptions!$E$114/Quarters_in_Year)*ER21*Units</f>
        <v>24627.543043857033</v>
      </c>
      <c r="ES44" s="235">
        <f>(Inputs_Assumptions!$E$114/Quarters_in_Year)*ES21*Units</f>
        <v>24780.042856779797</v>
      </c>
      <c r="ET44" s="235">
        <f>(Inputs_Assumptions!$E$114/Quarters_in_Year)*ET21*Units</f>
        <v>24933.486986108797</v>
      </c>
      <c r="EU44" s="235">
        <f>(Inputs_Assumptions!$E$114/Quarters_in_Year)*EU21*Units</f>
        <v>25087.881279283825</v>
      </c>
      <c r="EV44" s="235">
        <f>(Inputs_Assumptions!$E$114/Quarters_in_Year)*EV21*Units</f>
        <v>25243.231619953462</v>
      </c>
      <c r="EW44" s="235">
        <f>(Inputs_Assumptions!$E$114/Quarters_in_Year)*EW21*Units</f>
        <v>25399.543928199295</v>
      </c>
      <c r="EX44" s="235">
        <f>(Inputs_Assumptions!$E$114/Quarters_in_Year)*EX21*Units</f>
        <v>25556.824160761524</v>
      </c>
      <c r="EY44" s="235">
        <f>(Inputs_Assumptions!$E$114/Quarters_in_Year)*EY21*Units</f>
        <v>25715.078311265926</v>
      </c>
      <c r="EZ44" s="235">
        <f>(Inputs_Assumptions!$E$114/Quarters_in_Year)*EZ21*Units</f>
        <v>25874.312410452305</v>
      </c>
      <c r="FA44" s="235">
        <f>(Inputs_Assumptions!$E$114/Quarters_in_Year)*FA21*Units</f>
        <v>26034.532526404288</v>
      </c>
    </row>
    <row r="45" spans="2:157" outlineLevel="1" x14ac:dyDescent="0.2">
      <c r="B45" s="1"/>
      <c r="C45" s="30" t="s">
        <v>326</v>
      </c>
      <c r="D45" s="130" t="s">
        <v>119</v>
      </c>
      <c r="E45" s="5"/>
      <c r="F45" s="21"/>
      <c r="G45" s="235">
        <f>(Inputs_Assumptions!$E$115/Quarters_in_Year)*G22*Units</f>
        <v>1007.0500932437361</v>
      </c>
      <c r="H45" s="235">
        <f>(Inputs_Assumptions!$E$115/Quarters_in_Year)*H22*Units</f>
        <v>1014.1498903022175</v>
      </c>
      <c r="I45" s="235">
        <f>(Inputs_Assumptions!$E$115/Quarters_in_Year)*I22*Units</f>
        <v>1021.2997415919729</v>
      </c>
      <c r="J45" s="235">
        <f>(Inputs_Assumptions!$E$115/Quarters_in_Year)*J22*Units</f>
        <v>1028.4999999999998</v>
      </c>
      <c r="K45" s="235">
        <f>(Inputs_Assumptions!$E$115/Quarters_in_Year)*K22*Units</f>
        <v>1035.7510209011823</v>
      </c>
      <c r="L45" s="235">
        <f>(Inputs_Assumptions!$E$115/Quarters_in_Year)*L22*Units</f>
        <v>1043.0531621758303</v>
      </c>
      <c r="M45" s="235">
        <f>(Inputs_Assumptions!$E$115/Quarters_in_Year)*M22*Units</f>
        <v>1050.4067842273437</v>
      </c>
      <c r="N45" s="235">
        <f>(Inputs_Assumptions!$E$115/Quarters_in_Year)*N22*Units</f>
        <v>1057.8122499999993</v>
      </c>
      <c r="O45" s="235">
        <f>(Inputs_Assumptions!$E$115/Quarters_in_Year)*O22*Units</f>
        <v>1065.2699249968655</v>
      </c>
      <c r="P45" s="235">
        <f>(Inputs_Assumptions!$E$115/Quarters_in_Year)*P22*Units</f>
        <v>1072.7801772978412</v>
      </c>
      <c r="Q45" s="235">
        <f>(Inputs_Assumptions!$E$115/Quarters_in_Year)*Q22*Units</f>
        <v>1080.3433775778226</v>
      </c>
      <c r="R45" s="235">
        <f>(Inputs_Assumptions!$E$115/Quarters_in_Year)*R22*Units</f>
        <v>1087.9598991249991</v>
      </c>
      <c r="S45" s="235">
        <f>(Inputs_Assumptions!$E$115/Quarters_in_Year)*S22*Units</f>
        <v>1095.630117859276</v>
      </c>
      <c r="T45" s="235">
        <f>(Inputs_Assumptions!$E$115/Quarters_in_Year)*T22*Units</f>
        <v>1103.3544123508295</v>
      </c>
      <c r="U45" s="235">
        <f>(Inputs_Assumptions!$E$115/Quarters_in_Year)*U22*Units</f>
        <v>1111.1331638387906</v>
      </c>
      <c r="V45" s="235">
        <f>(Inputs_Assumptions!$E$115/Quarters_in_Year)*V22*Units</f>
        <v>1118.9667562500613</v>
      </c>
      <c r="W45" s="235">
        <f>(Inputs_Assumptions!$E$115/Quarters_in_Year)*W22*Units</f>
        <v>1126.8555762182652</v>
      </c>
      <c r="X45" s="235">
        <f>(Inputs_Assumptions!$E$115/Quarters_in_Year)*X22*Units</f>
        <v>1134.800013102828</v>
      </c>
      <c r="Y45" s="235">
        <f>(Inputs_Assumptions!$E$115/Quarters_in_Year)*Y22*Units</f>
        <v>1142.8004590081957</v>
      </c>
      <c r="Z45" s="235">
        <f>(Inputs_Assumptions!$E$115/Quarters_in_Year)*Z22*Units</f>
        <v>1150.8573088031878</v>
      </c>
      <c r="AA45" s="235">
        <f>(Inputs_Assumptions!$E$115/Quarters_in_Year)*AA22*Units</f>
        <v>1158.9709601404857</v>
      </c>
      <c r="AB45" s="235">
        <f>(Inputs_Assumptions!$E$115/Quarters_in_Year)*AB22*Units</f>
        <v>1167.1418134762584</v>
      </c>
      <c r="AC45" s="235">
        <f>(Inputs_Assumptions!$E$115/Quarters_in_Year)*AC22*Units</f>
        <v>1175.3702720899291</v>
      </c>
      <c r="AD45" s="235">
        <f>(Inputs_Assumptions!$E$115/Quarters_in_Year)*AD22*Units</f>
        <v>1183.6567421040784</v>
      </c>
      <c r="AE45" s="235">
        <f>(Inputs_Assumptions!$E$115/Quarters_in_Year)*AE22*Units</f>
        <v>1192.0016325044892</v>
      </c>
      <c r="AF45" s="235">
        <f>(Inputs_Assumptions!$E$115/Quarters_in_Year)*AF22*Units</f>
        <v>1200.4053551603313</v>
      </c>
      <c r="AG45" s="235">
        <f>(Inputs_Assumptions!$E$115/Quarters_in_Year)*AG22*Units</f>
        <v>1208.8683248444918</v>
      </c>
      <c r="AH45" s="235">
        <f>(Inputs_Assumptions!$E$115/Quarters_in_Year)*AH22*Units</f>
        <v>1217.3909592540444</v>
      </c>
      <c r="AI45" s="235">
        <f>(Inputs_Assumptions!$E$115/Quarters_in_Year)*AI22*Units</f>
        <v>1225.9736790308666</v>
      </c>
      <c r="AJ45" s="235">
        <f>(Inputs_Assumptions!$E$115/Quarters_in_Year)*AJ22*Units</f>
        <v>1234.6169077824004</v>
      </c>
      <c r="AK45" s="235">
        <f>(Inputs_Assumptions!$E$115/Quarters_in_Year)*AK22*Units</f>
        <v>1243.3210721025594</v>
      </c>
      <c r="AL45" s="235">
        <f>(Inputs_Assumptions!$E$115/Quarters_in_Year)*AL22*Units</f>
        <v>1252.0866015927843</v>
      </c>
      <c r="AM45" s="235">
        <f>(Inputs_Assumptions!$E$115/Quarters_in_Year)*AM22*Units</f>
        <v>1260.9139288832459</v>
      </c>
      <c r="AN45" s="235">
        <f>(Inputs_Assumptions!$E$115/Quarters_in_Year)*AN22*Units</f>
        <v>1269.8034896541985</v>
      </c>
      <c r="AO45" s="235">
        <f>(Inputs_Assumptions!$E$115/Quarters_in_Year)*AO22*Units</f>
        <v>1278.7557226574822</v>
      </c>
      <c r="AP45" s="235">
        <f>(Inputs_Assumptions!$E$115/Quarters_in_Year)*AP22*Units</f>
        <v>1287.7710697381785</v>
      </c>
      <c r="AQ45" s="235">
        <f>(Inputs_Assumptions!$E$115/Quarters_in_Year)*AQ22*Units</f>
        <v>1296.8499758564185</v>
      </c>
      <c r="AR45" s="235">
        <f>(Inputs_Assumptions!$E$115/Quarters_in_Year)*AR22*Units</f>
        <v>1305.992889109343</v>
      </c>
      <c r="AS45" s="235">
        <f>(Inputs_Assumptions!$E$115/Quarters_in_Year)*AS22*Units</f>
        <v>1315.2002607532202</v>
      </c>
      <c r="AT45" s="235">
        <f>(Inputs_Assumptions!$E$115/Quarters_in_Year)*AT22*Units</f>
        <v>1324.4725452257164</v>
      </c>
      <c r="AU45" s="235">
        <f>(Inputs_Assumptions!$E$115/Quarters_in_Year)*AU22*Units</f>
        <v>1333.810200168326</v>
      </c>
      <c r="AV45" s="235">
        <f>(Inputs_Assumptions!$E$115/Quarters_in_Year)*AV22*Units</f>
        <v>1343.2136864489589</v>
      </c>
      <c r="AW45" s="235">
        <f>(Inputs_Assumptions!$E$115/Quarters_in_Year)*AW22*Units</f>
        <v>1352.6834681846867</v>
      </c>
      <c r="AX45" s="235">
        <f>(Inputs_Assumptions!$E$115/Quarters_in_Year)*AX22*Units</f>
        <v>1362.2200127646488</v>
      </c>
      <c r="AY45" s="235">
        <f>(Inputs_Assumptions!$E$115/Quarters_in_Year)*AY22*Units</f>
        <v>1371.823790873123</v>
      </c>
      <c r="AZ45" s="235">
        <f>(Inputs_Assumptions!$E$115/Quarters_in_Year)*AZ22*Units</f>
        <v>1381.4952765127539</v>
      </c>
      <c r="BA45" s="235">
        <f>(Inputs_Assumptions!$E$115/Quarters_in_Year)*BA22*Units</f>
        <v>1391.2349470279496</v>
      </c>
      <c r="BB45" s="235">
        <f>(Inputs_Assumptions!$E$115/Quarters_in_Year)*BB22*Units</f>
        <v>1401.0432831284409</v>
      </c>
      <c r="BC45" s="235">
        <f>(Inputs_Assumptions!$E$115/Quarters_in_Year)*BC22*Units</f>
        <v>1410.9207689130064</v>
      </c>
      <c r="BD45" s="235">
        <f>(Inputs_Assumptions!$E$115/Quarters_in_Year)*BD22*Units</f>
        <v>1420.867891893367</v>
      </c>
      <c r="BE45" s="235">
        <f>(Inputs_Assumptions!$E$115/Quarters_in_Year)*BE22*Units</f>
        <v>1430.8851430182458</v>
      </c>
      <c r="BF45" s="235">
        <f>(Inputs_Assumptions!$E$115/Quarters_in_Year)*BF22*Units</f>
        <v>1440.9730166976012</v>
      </c>
      <c r="BG45" s="235">
        <f>(Inputs_Assumptions!$E$115/Quarters_in_Year)*BG22*Units</f>
        <v>1451.132010827027</v>
      </c>
      <c r="BH45" s="235">
        <f>(Inputs_Assumptions!$E$115/Quarters_in_Year)*BH22*Units</f>
        <v>1461.3626268123276</v>
      </c>
      <c r="BI45" s="235">
        <f>(Inputs_Assumptions!$E$115/Quarters_in_Year)*BI22*Units</f>
        <v>1471.6653695942657</v>
      </c>
      <c r="BJ45" s="235">
        <f>(Inputs_Assumptions!$E$115/Quarters_in_Year)*BJ22*Units</f>
        <v>1482.0407476734824</v>
      </c>
      <c r="BK45" s="235">
        <f>(Inputs_Assumptions!$E$115/Quarters_in_Year)*BK22*Units</f>
        <v>1492.4892731355967</v>
      </c>
      <c r="BL45" s="235">
        <f>(Inputs_Assumptions!$E$115/Quarters_in_Year)*BL22*Units</f>
        <v>1503.0114616764786</v>
      </c>
      <c r="BM45" s="235">
        <f>(Inputs_Assumptions!$E$115/Quarters_in_Year)*BM22*Units</f>
        <v>1513.6078326277016</v>
      </c>
      <c r="BN45" s="235">
        <f>(Inputs_Assumptions!$E$115/Quarters_in_Year)*BN22*Units</f>
        <v>1524.2789089821763</v>
      </c>
      <c r="BO45" s="235">
        <f>(Inputs_Assumptions!$E$115/Quarters_in_Year)*BO22*Units</f>
        <v>1535.0252174199609</v>
      </c>
      <c r="BP45" s="235">
        <f>(Inputs_Assumptions!$E$115/Quarters_in_Year)*BP22*Units</f>
        <v>1545.8472883342579</v>
      </c>
      <c r="BQ45" s="235">
        <f>(Inputs_Assumptions!$E$115/Quarters_in_Year)*BQ22*Units</f>
        <v>1556.7456558575909</v>
      </c>
      <c r="BR45" s="235">
        <f>(Inputs_Assumptions!$E$115/Quarters_in_Year)*BR22*Units</f>
        <v>1567.720857888168</v>
      </c>
      <c r="BS45" s="235">
        <f>(Inputs_Assumptions!$E$115/Quarters_in_Year)*BS22*Units</f>
        <v>1578.7734361164296</v>
      </c>
      <c r="BT45" s="235">
        <f>(Inputs_Assumptions!$E$115/Quarters_in_Year)*BT22*Units</f>
        <v>1589.9039360517838</v>
      </c>
      <c r="BU45" s="235">
        <f>(Inputs_Assumptions!$E$115/Quarters_in_Year)*BU22*Units</f>
        <v>1601.1129070495319</v>
      </c>
      <c r="BV45" s="235">
        <f>(Inputs_Assumptions!$E$115/Quarters_in_Year)*BV22*Units</f>
        <v>1612.4009023379806</v>
      </c>
      <c r="BW45" s="235">
        <f>(Inputs_Assumptions!$E$115/Quarters_in_Year)*BW22*Units</f>
        <v>1623.7684790457477</v>
      </c>
      <c r="BX45" s="235">
        <f>(Inputs_Assumptions!$E$115/Quarters_in_Year)*BX22*Units</f>
        <v>1635.2161982292596</v>
      </c>
      <c r="BY45" s="235">
        <f>(Inputs_Assumptions!$E$115/Quarters_in_Year)*BY22*Units</f>
        <v>1646.7446249004436</v>
      </c>
      <c r="BZ45" s="235">
        <f>(Inputs_Assumptions!$E$115/Quarters_in_Year)*BZ22*Units</f>
        <v>1658.354328054613</v>
      </c>
      <c r="CA45" s="235">
        <f>(Inputs_Assumptions!$E$115/Quarters_in_Year)*CA22*Units</f>
        <v>1670.0458806985512</v>
      </c>
      <c r="CB45" s="235">
        <f>(Inputs_Assumptions!$E$115/Quarters_in_Year)*CB22*Units</f>
        <v>1681.8198598787933</v>
      </c>
      <c r="CC45" s="235">
        <f>(Inputs_Assumptions!$E$115/Quarters_in_Year)*CC22*Units</f>
        <v>1693.6768467101058</v>
      </c>
      <c r="CD45" s="235">
        <f>(Inputs_Assumptions!$E$115/Quarters_in_Year)*CD22*Units</f>
        <v>1705.6174264041688</v>
      </c>
      <c r="CE45" s="235">
        <f>(Inputs_Assumptions!$E$115/Quarters_in_Year)*CE22*Units</f>
        <v>1717.6421882984594</v>
      </c>
      <c r="CF45" s="235">
        <f>(Inputs_Assumptions!$E$115/Quarters_in_Year)*CF22*Units</f>
        <v>1729.7517258853384</v>
      </c>
      <c r="CG45" s="235">
        <f>(Inputs_Assumptions!$E$115/Quarters_in_Year)*CG22*Units</f>
        <v>1741.9466368413434</v>
      </c>
      <c r="CH45" s="235">
        <f>(Inputs_Assumptions!$E$115/Quarters_in_Year)*CH22*Units</f>
        <v>1754.2275230566872</v>
      </c>
      <c r="CI45" s="235">
        <f>(Inputs_Assumptions!$E$115/Quarters_in_Year)*CI22*Units</f>
        <v>1766.5949906649653</v>
      </c>
      <c r="CJ45" s="235">
        <f>(Inputs_Assumptions!$E$115/Quarters_in_Year)*CJ22*Units</f>
        <v>1779.0496500730701</v>
      </c>
      <c r="CK45" s="235">
        <f>(Inputs_Assumptions!$E$115/Quarters_in_Year)*CK22*Units</f>
        <v>1791.5921159913212</v>
      </c>
      <c r="CL45" s="235">
        <f>(Inputs_Assumptions!$E$115/Quarters_in_Year)*CL22*Units</f>
        <v>1804.2230074638026</v>
      </c>
      <c r="CM45" s="235">
        <f>(Inputs_Assumptions!$E$115/Quarters_in_Year)*CM22*Units</f>
        <v>1816.9429478989164</v>
      </c>
      <c r="CN45" s="235">
        <f>(Inputs_Assumptions!$E$115/Quarters_in_Year)*CN22*Units</f>
        <v>1829.7525651001522</v>
      </c>
      <c r="CO45" s="235">
        <f>(Inputs_Assumptions!$E$115/Quarters_in_Year)*CO22*Units</f>
        <v>1842.6524912970735</v>
      </c>
      <c r="CP45" s="235">
        <f>(Inputs_Assumptions!$E$115/Quarters_in_Year)*CP22*Units</f>
        <v>1855.6433631765206</v>
      </c>
      <c r="CQ45" s="235">
        <f>(Inputs_Assumptions!$E$115/Quarters_in_Year)*CQ22*Units</f>
        <v>1868.7258219140351</v>
      </c>
      <c r="CR45" s="235">
        <f>(Inputs_Assumptions!$E$115/Quarters_in_Year)*CR22*Units</f>
        <v>1881.9005132055063</v>
      </c>
      <c r="CS45" s="235">
        <f>(Inputs_Assumptions!$E$115/Quarters_in_Year)*CS22*Units</f>
        <v>1895.1680872990398</v>
      </c>
      <c r="CT45" s="235">
        <f>(Inputs_Assumptions!$E$115/Quarters_in_Year)*CT22*Units</f>
        <v>1908.5291990270509</v>
      </c>
      <c r="CU45" s="254">
        <f>(Inputs_Assumptions!$E$115/Quarters_in_Year)*CU22*Units</f>
        <v>1921.9845078385847</v>
      </c>
      <c r="CV45" s="235">
        <f>(Inputs_Assumptions!$E$115/Quarters_in_Year)*CV22*Units</f>
        <v>1935.5346778318628</v>
      </c>
      <c r="CW45" s="235">
        <f>(Inputs_Assumptions!$E$115/Quarters_in_Year)*CW22*Units</f>
        <v>1949.1803777870623</v>
      </c>
      <c r="CX45" s="235">
        <f>(Inputs_Assumptions!$E$115/Quarters_in_Year)*CX22*Units</f>
        <v>1962.9222811993216</v>
      </c>
      <c r="CY45" s="235">
        <f>(Inputs_Assumptions!$E$115/Quarters_in_Year)*CY22*Units</f>
        <v>1976.761066311984</v>
      </c>
      <c r="CZ45" s="235">
        <f>(Inputs_Assumptions!$E$115/Quarters_in_Year)*CZ22*Units</f>
        <v>1990.6974161500705</v>
      </c>
      <c r="DA45" s="235">
        <f>(Inputs_Assumptions!$E$115/Quarters_in_Year)*DA22*Units</f>
        <v>2004.7320185539932</v>
      </c>
      <c r="DB45" s="235">
        <f>(Inputs_Assumptions!$E$115/Quarters_in_Year)*DB22*Units</f>
        <v>2018.8655662135022</v>
      </c>
      <c r="DC45" s="235">
        <f>(Inputs_Assumptions!$E$115/Quarters_in_Year)*DC22*Units</f>
        <v>2033.0987567018751</v>
      </c>
      <c r="DD45" s="235">
        <f>(Inputs_Assumptions!$E$115/Quarters_in_Year)*DD22*Units</f>
        <v>2047.4322925103472</v>
      </c>
      <c r="DE45" s="235">
        <f>(Inputs_Assumptions!$E$115/Quarters_in_Year)*DE22*Units</f>
        <v>2061.8668810827817</v>
      </c>
      <c r="DF45" s="235">
        <f>(Inputs_Assumptions!$E$115/Quarters_in_Year)*DF22*Units</f>
        <v>2076.4032348505866</v>
      </c>
      <c r="DG45" s="235">
        <f>(Inputs_Assumptions!$E$115/Quarters_in_Year)*DG22*Units</f>
        <v>2091.0420712678788</v>
      </c>
      <c r="DH45" s="235">
        <f>(Inputs_Assumptions!$E$115/Quarters_in_Year)*DH22*Units</f>
        <v>2105.7841128468922</v>
      </c>
      <c r="DI45" s="235">
        <f>(Inputs_Assumptions!$E$115/Quarters_in_Year)*DI22*Units</f>
        <v>2120.630087193641</v>
      </c>
      <c r="DJ45" s="235">
        <f>(Inputs_Assumptions!$E$115/Quarters_in_Year)*DJ22*Units</f>
        <v>2135.5807270438281</v>
      </c>
      <c r="DK45" s="235">
        <f>(Inputs_Assumptions!$E$115/Quarters_in_Year)*DK22*Units</f>
        <v>2150.6367702990128</v>
      </c>
      <c r="DL45" s="235">
        <f>(Inputs_Assumptions!$E$115/Quarters_in_Year)*DL22*Units</f>
        <v>2165.7989600630285</v>
      </c>
      <c r="DM45" s="235">
        <f>(Inputs_Assumptions!$E$115/Quarters_in_Year)*DM22*Units</f>
        <v>2181.0680446786591</v>
      </c>
      <c r="DN45" s="235">
        <f>(Inputs_Assumptions!$E$115/Quarters_in_Year)*DN22*Units</f>
        <v>2196.4447777645769</v>
      </c>
      <c r="DO45" s="235">
        <f>(Inputs_Assumptions!$E$115/Quarters_in_Year)*DO22*Units</f>
        <v>2211.9299182525342</v>
      </c>
      <c r="DP45" s="235">
        <f>(Inputs_Assumptions!$E$115/Quarters_in_Year)*DP22*Units</f>
        <v>2227.5242304248241</v>
      </c>
      <c r="DQ45" s="235">
        <f>(Inputs_Assumptions!$E$115/Quarters_in_Year)*DQ22*Units</f>
        <v>2243.2284839520003</v>
      </c>
      <c r="DR45" s="235">
        <f>(Inputs_Assumptions!$E$115/Quarters_in_Year)*DR22*Units</f>
        <v>2259.0434539308667</v>
      </c>
      <c r="DS45" s="235">
        <f>(Inputs_Assumptions!$E$115/Quarters_in_Year)*DS22*Units</f>
        <v>2274.969920922731</v>
      </c>
      <c r="DT45" s="235">
        <f>(Inputs_Assumptions!$E$115/Quarters_in_Year)*DT22*Units</f>
        <v>2291.008670991931</v>
      </c>
      <c r="DU45" s="235">
        <f>(Inputs_Assumptions!$E$115/Quarters_in_Year)*DU22*Units</f>
        <v>2307.160495744632</v>
      </c>
      <c r="DV45" s="235">
        <f>(Inputs_Assumptions!$E$115/Quarters_in_Year)*DV22*Units</f>
        <v>2323.4261923678964</v>
      </c>
      <c r="DW45" s="235">
        <f>(Inputs_Assumptions!$E$115/Quarters_in_Year)*DW22*Units</f>
        <v>2339.8065636690285</v>
      </c>
      <c r="DX45" s="235">
        <f>(Inputs_Assumptions!$E$115/Quarters_in_Year)*DX22*Units</f>
        <v>2356.3024181152009</v>
      </c>
      <c r="DY45" s="235">
        <f>(Inputs_Assumptions!$E$115/Quarters_in_Year)*DY22*Units</f>
        <v>2372.9145698733541</v>
      </c>
      <c r="DZ45" s="235">
        <f>(Inputs_Assumptions!$E$115/Quarters_in_Year)*DZ22*Units</f>
        <v>2389.6438388503811</v>
      </c>
      <c r="EA45" s="235">
        <f>(Inputs_Assumptions!$E$115/Quarters_in_Year)*EA22*Units</f>
        <v>2406.4910507335958</v>
      </c>
      <c r="EB45" s="235">
        <f>(Inputs_Assumptions!$E$115/Quarters_in_Year)*EB22*Units</f>
        <v>2423.4570370314841</v>
      </c>
      <c r="EC45" s="235">
        <f>(Inputs_Assumptions!$E$115/Quarters_in_Year)*EC22*Units</f>
        <v>2440.5426351147444</v>
      </c>
      <c r="ED45" s="235">
        <f>(Inputs_Assumptions!$E$115/Quarters_in_Year)*ED22*Units</f>
        <v>2457.7486882576168</v>
      </c>
      <c r="EE45" s="235">
        <f>(Inputs_Assumptions!$E$115/Quarters_in_Year)*EE22*Units</f>
        <v>2475.0760456795028</v>
      </c>
      <c r="EF45" s="235">
        <f>(Inputs_Assumptions!$E$115/Quarters_in_Year)*EF22*Units</f>
        <v>2492.5255625868808</v>
      </c>
      <c r="EG45" s="235">
        <f>(Inputs_Assumptions!$E$115/Quarters_in_Year)*EG22*Units</f>
        <v>2510.098100215514</v>
      </c>
      <c r="EH45" s="235">
        <f>(Inputs_Assumptions!$E$115/Quarters_in_Year)*EH22*Units</f>
        <v>2527.7945258729583</v>
      </c>
      <c r="EI45" s="235">
        <f>(Inputs_Assumptions!$E$115/Quarters_in_Year)*EI22*Units</f>
        <v>2545.6157129813678</v>
      </c>
      <c r="EJ45" s="235">
        <f>(Inputs_Assumptions!$E$115/Quarters_in_Year)*EJ22*Units</f>
        <v>2563.5625411206061</v>
      </c>
      <c r="EK45" s="235">
        <f>(Inputs_Assumptions!$E$115/Quarters_in_Year)*EK22*Units</f>
        <v>2581.6358960716552</v>
      </c>
      <c r="EL45" s="235">
        <f>(Inputs_Assumptions!$E$115/Quarters_in_Year)*EL22*Units</f>
        <v>2599.8366698603368</v>
      </c>
      <c r="EM45" s="235">
        <f>(Inputs_Assumptions!$E$115/Quarters_in_Year)*EM22*Units</f>
        <v>2618.1657608013365</v>
      </c>
      <c r="EN45" s="235">
        <f>(Inputs_Assumptions!$E$115/Quarters_in_Year)*EN22*Units</f>
        <v>2636.6240735425431</v>
      </c>
      <c r="EO45" s="235">
        <f>(Inputs_Assumptions!$E$115/Quarters_in_Year)*EO22*Units</f>
        <v>2655.212519109697</v>
      </c>
      <c r="EP45" s="235">
        <f>(Inputs_Assumptions!$E$115/Quarters_in_Year)*EP22*Units</f>
        <v>2673.932014951356</v>
      </c>
      <c r="EQ45" s="235">
        <f>(Inputs_Assumptions!$E$115/Quarters_in_Year)*EQ22*Units</f>
        <v>2692.7834849841743</v>
      </c>
      <c r="ER45" s="235">
        <f>(Inputs_Assumptions!$E$115/Quarters_in_Year)*ER22*Units</f>
        <v>2711.7678596385049</v>
      </c>
      <c r="ES45" s="235">
        <f>(Inputs_Assumptions!$E$115/Quarters_in_Year)*ES22*Units</f>
        <v>2730.8860759043228</v>
      </c>
      <c r="ET45" s="235">
        <f>(Inputs_Assumptions!$E$115/Quarters_in_Year)*ET22*Units</f>
        <v>2750.1390773774688</v>
      </c>
      <c r="EU45" s="235">
        <f>(Inputs_Assumptions!$E$115/Quarters_in_Year)*EU22*Units</f>
        <v>2769.5278143062219</v>
      </c>
      <c r="EV45" s="235">
        <f>(Inputs_Assumptions!$E$115/Quarters_in_Year)*EV22*Units</f>
        <v>2789.0532436382018</v>
      </c>
      <c r="EW45" s="235">
        <f>(Inputs_Assumptions!$E$115/Quarters_in_Year)*EW22*Units</f>
        <v>2808.7163290675953</v>
      </c>
      <c r="EX45" s="235">
        <f>(Inputs_Assumptions!$E$115/Quarters_in_Year)*EX22*Units</f>
        <v>2828.5180410827261</v>
      </c>
      <c r="EY45" s="235">
        <f>(Inputs_Assumptions!$E$115/Quarters_in_Year)*EY22*Units</f>
        <v>2848.4593570139486</v>
      </c>
      <c r="EZ45" s="235">
        <f>(Inputs_Assumptions!$E$115/Quarters_in_Year)*EZ22*Units</f>
        <v>2868.5412610818894</v>
      </c>
      <c r="FA45" s="235">
        <f>(Inputs_Assumptions!$E$115/Quarters_in_Year)*FA22*Units</f>
        <v>2888.7647444460208</v>
      </c>
    </row>
    <row r="46" spans="2:157" outlineLevel="1" x14ac:dyDescent="0.2">
      <c r="B46" s="1"/>
      <c r="C46" s="30" t="s">
        <v>327</v>
      </c>
      <c r="D46" s="21" t="s">
        <v>98</v>
      </c>
      <c r="E46" s="5"/>
      <c r="F46" s="21"/>
      <c r="G46" s="226">
        <f>Inputs_Assumptions!$E$116*IRR_Revenue_Model!G21</f>
        <v>2.0123844926512722</v>
      </c>
      <c r="H46" s="226">
        <f>Inputs_Assumptions!$E$116*IRR_Revenue_Model!H21</f>
        <v>2.0248456731316589</v>
      </c>
      <c r="I46" s="226">
        <f>Inputs_Assumptions!$E$116*IRR_Revenue_Model!I21</f>
        <v>2.0373840163110883</v>
      </c>
      <c r="J46" s="226">
        <f>Inputs_Assumptions!$E$116*IRR_Revenue_Model!J21</f>
        <v>2.0500000000000003</v>
      </c>
      <c r="K46" s="226">
        <f>Inputs_Assumptions!$E$116*IRR_Revenue_Model!K21</f>
        <v>2.0626941049675542</v>
      </c>
      <c r="L46" s="226">
        <f>Inputs_Assumptions!$E$116*IRR_Revenue_Model!L21</f>
        <v>2.0754668149599507</v>
      </c>
      <c r="M46" s="226">
        <f>Inputs_Assumptions!$E$116*IRR_Revenue_Model!M21</f>
        <v>2.0883186167188659</v>
      </c>
      <c r="N46" s="226">
        <f>Inputs_Assumptions!$E$116*IRR_Revenue_Model!N21</f>
        <v>2.1012500000000007</v>
      </c>
      <c r="O46" s="226">
        <f>Inputs_Assumptions!$E$116*IRR_Revenue_Model!O21</f>
        <v>2.1142614575917436</v>
      </c>
      <c r="P46" s="226">
        <f>Inputs_Assumptions!$E$116*IRR_Revenue_Model!P21</f>
        <v>2.1273534853339502</v>
      </c>
      <c r="Q46" s="226">
        <f>Inputs_Assumptions!$E$116*IRR_Revenue_Model!Q21</f>
        <v>2.1405265821368387</v>
      </c>
      <c r="R46" s="226">
        <f>Inputs_Assumptions!$E$116*IRR_Revenue_Model!R21</f>
        <v>2.153781250000002</v>
      </c>
      <c r="S46" s="226">
        <f>Inputs_Assumptions!$E$116*IRR_Revenue_Model!S21</f>
        <v>2.1671179940315386</v>
      </c>
      <c r="T46" s="226">
        <f>Inputs_Assumptions!$E$116*IRR_Revenue_Model!T21</f>
        <v>2.1805373224673001</v>
      </c>
      <c r="U46" s="226">
        <f>Inputs_Assumptions!$E$116*IRR_Revenue_Model!U21</f>
        <v>2.1940397466902608</v>
      </c>
      <c r="V46" s="226">
        <f>Inputs_Assumptions!$E$116*IRR_Revenue_Model!V21</f>
        <v>2.2076257812500031</v>
      </c>
      <c r="W46" s="226">
        <f>Inputs_Assumptions!$E$116*IRR_Revenue_Model!W21</f>
        <v>2.2212959438823279</v>
      </c>
      <c r="X46" s="226">
        <f>Inputs_Assumptions!$E$116*IRR_Revenue_Model!X21</f>
        <v>2.2350507555289836</v>
      </c>
      <c r="Y46" s="226">
        <f>Inputs_Assumptions!$E$116*IRR_Revenue_Model!Y21</f>
        <v>2.2488907403575182</v>
      </c>
      <c r="Z46" s="226">
        <f>Inputs_Assumptions!$E$116*IRR_Revenue_Model!Z21</f>
        <v>2.2628164257812542</v>
      </c>
      <c r="AA46" s="226">
        <f>Inputs_Assumptions!$E$116*IRR_Revenue_Model!AA21</f>
        <v>2.2768283424793871</v>
      </c>
      <c r="AB46" s="226">
        <f>Inputs_Assumptions!$E$116*IRR_Revenue_Model!AB21</f>
        <v>2.2909270244172091</v>
      </c>
      <c r="AC46" s="226">
        <f>Inputs_Assumptions!$E$116*IRR_Revenue_Model!AC21</f>
        <v>2.3051130088664569</v>
      </c>
      <c r="AD46" s="226">
        <f>Inputs_Assumptions!$E$116*IRR_Revenue_Model!AD21</f>
        <v>2.3193868364257861</v>
      </c>
      <c r="AE46" s="226">
        <f>Inputs_Assumptions!$E$116*IRR_Revenue_Model!AE21</f>
        <v>2.3337490510413725</v>
      </c>
      <c r="AF46" s="226">
        <f>Inputs_Assumptions!$E$116*IRR_Revenue_Model!AF21</f>
        <v>2.3482002000276401</v>
      </c>
      <c r="AG46" s="226">
        <f>Inputs_Assumptions!$E$116*IRR_Revenue_Model!AG21</f>
        <v>2.3627408340881191</v>
      </c>
      <c r="AH46" s="226">
        <f>Inputs_Assumptions!$E$116*IRR_Revenue_Model!AH21</f>
        <v>2.3773715073364317</v>
      </c>
      <c r="AI46" s="226">
        <f>Inputs_Assumptions!$E$116*IRR_Revenue_Model!AI21</f>
        <v>2.3920927773174077</v>
      </c>
      <c r="AJ46" s="226">
        <f>Inputs_Assumptions!$E$116*IRR_Revenue_Model!AJ21</f>
        <v>2.4069052050283322</v>
      </c>
      <c r="AK46" s="226">
        <f>Inputs_Assumptions!$E$116*IRR_Revenue_Model!AK21</f>
        <v>2.421809354940323</v>
      </c>
      <c r="AL46" s="226">
        <f>Inputs_Assumptions!$E$116*IRR_Revenue_Model!AL21</f>
        <v>2.4368057950198434</v>
      </c>
      <c r="AM46" s="226">
        <f>Inputs_Assumptions!$E$116*IRR_Revenue_Model!AM21</f>
        <v>2.4518950967503437</v>
      </c>
      <c r="AN46" s="226">
        <f>Inputs_Assumptions!$E$116*IRR_Revenue_Model!AN21</f>
        <v>2.4670778351540412</v>
      </c>
      <c r="AO46" s="226">
        <f>Inputs_Assumptions!$E$116*IRR_Revenue_Model!AO21</f>
        <v>2.4823545888138319</v>
      </c>
      <c r="AP46" s="226">
        <f>Inputs_Assumptions!$E$116*IRR_Revenue_Model!AP21</f>
        <v>2.4977259398953402</v>
      </c>
      <c r="AQ46" s="226">
        <f>Inputs_Assumptions!$E$116*IRR_Revenue_Model!AQ21</f>
        <v>2.5131924741691032</v>
      </c>
      <c r="AR46" s="226">
        <f>Inputs_Assumptions!$E$116*IRR_Revenue_Model!AR21</f>
        <v>2.5287547810328932</v>
      </c>
      <c r="AS46" s="226">
        <f>Inputs_Assumptions!$E$116*IRR_Revenue_Model!AS21</f>
        <v>2.5444134535341787</v>
      </c>
      <c r="AT46" s="226">
        <f>Inputs_Assumptions!$E$116*IRR_Revenue_Model!AT21</f>
        <v>2.5601690883927248</v>
      </c>
      <c r="AU46" s="226">
        <f>Inputs_Assumptions!$E$116*IRR_Revenue_Model!AU21</f>
        <v>2.5760222860233317</v>
      </c>
      <c r="AV46" s="226">
        <f>Inputs_Assumptions!$E$116*IRR_Revenue_Model!AV21</f>
        <v>2.5919736505587165</v>
      </c>
      <c r="AW46" s="226">
        <f>Inputs_Assumptions!$E$116*IRR_Revenue_Model!AW21</f>
        <v>2.6080237898725342</v>
      </c>
      <c r="AX46" s="226">
        <f>Inputs_Assumptions!$E$116*IRR_Revenue_Model!AX21</f>
        <v>2.624173315602544</v>
      </c>
      <c r="AY46" s="226">
        <f>Inputs_Assumptions!$E$116*IRR_Revenue_Model!AY21</f>
        <v>2.6404228431739161</v>
      </c>
      <c r="AZ46" s="226">
        <f>Inputs_Assumptions!$E$116*IRR_Revenue_Model!AZ21</f>
        <v>2.6567729918226854</v>
      </c>
      <c r="BA46" s="226">
        <f>Inputs_Assumptions!$E$116*IRR_Revenue_Model!BA21</f>
        <v>2.6732243846193486</v>
      </c>
      <c r="BB46" s="226">
        <f>Inputs_Assumptions!$E$116*IRR_Revenue_Model!BB21</f>
        <v>2.6897776484926084</v>
      </c>
      <c r="BC46" s="226">
        <f>Inputs_Assumptions!$E$116*IRR_Revenue_Model!BC21</f>
        <v>2.7064334142532647</v>
      </c>
      <c r="BD46" s="226">
        <f>Inputs_Assumptions!$E$116*IRR_Revenue_Model!BD21</f>
        <v>2.723192316618253</v>
      </c>
      <c r="BE46" s="226">
        <f>Inputs_Assumptions!$E$116*IRR_Revenue_Model!BE21</f>
        <v>2.7400549942348329</v>
      </c>
      <c r="BF46" s="226">
        <f>Inputs_Assumptions!$E$116*IRR_Revenue_Model!BF21</f>
        <v>2.7570220897049245</v>
      </c>
      <c r="BG46" s="226">
        <f>Inputs_Assumptions!$E$116*IRR_Revenue_Model!BG21</f>
        <v>2.7740942496095973</v>
      </c>
      <c r="BH46" s="226">
        <f>Inputs_Assumptions!$E$116*IRR_Revenue_Model!BH21</f>
        <v>2.7912721245337107</v>
      </c>
      <c r="BI46" s="226">
        <f>Inputs_Assumptions!$E$116*IRR_Revenue_Model!BI21</f>
        <v>2.8085563690907049</v>
      </c>
      <c r="BJ46" s="226">
        <f>Inputs_Assumptions!$E$116*IRR_Revenue_Model!BJ21</f>
        <v>2.8259476419475487</v>
      </c>
      <c r="BK46" s="226">
        <f>Inputs_Assumptions!$E$116*IRR_Revenue_Model!BK21</f>
        <v>2.8434466058498384</v>
      </c>
      <c r="BL46" s="226">
        <f>Inputs_Assumptions!$E$116*IRR_Revenue_Model!BL21</f>
        <v>2.8610539276470544</v>
      </c>
      <c r="BM46" s="226">
        <f>Inputs_Assumptions!$E$116*IRR_Revenue_Model!BM21</f>
        <v>2.8787702783179734</v>
      </c>
      <c r="BN46" s="226">
        <f>Inputs_Assumptions!$E$116*IRR_Revenue_Model!BN21</f>
        <v>2.8965963329962383</v>
      </c>
      <c r="BO46" s="226">
        <f>Inputs_Assumptions!$E$116*IRR_Revenue_Model!BO21</f>
        <v>2.9145327709960851</v>
      </c>
      <c r="BP46" s="226">
        <f>Inputs_Assumptions!$E$116*IRR_Revenue_Model!BP21</f>
        <v>2.9325802758382316</v>
      </c>
      <c r="BQ46" s="226">
        <f>Inputs_Assumptions!$E$116*IRR_Revenue_Model!BQ21</f>
        <v>2.9507395352759236</v>
      </c>
      <c r="BR46" s="226">
        <f>Inputs_Assumptions!$E$116*IRR_Revenue_Model!BR21</f>
        <v>2.9690112413211449</v>
      </c>
      <c r="BS46" s="226">
        <f>Inputs_Assumptions!$E$116*IRR_Revenue_Model!BS21</f>
        <v>2.987396090270988</v>
      </c>
      <c r="BT46" s="226">
        <f>Inputs_Assumptions!$E$116*IRR_Revenue_Model!BT21</f>
        <v>3.0058947827341882</v>
      </c>
      <c r="BU46" s="226">
        <f>Inputs_Assumptions!$E$116*IRR_Revenue_Model!BU21</f>
        <v>3.0245080236578228</v>
      </c>
      <c r="BV46" s="226">
        <f>Inputs_Assumptions!$E$116*IRR_Revenue_Model!BV21</f>
        <v>3.0432365223541749</v>
      </c>
      <c r="BW46" s="226">
        <f>Inputs_Assumptions!$E$116*IRR_Revenue_Model!BW21</f>
        <v>3.0620809925277639</v>
      </c>
      <c r="BX46" s="226">
        <f>Inputs_Assumptions!$E$116*IRR_Revenue_Model!BX21</f>
        <v>3.081042152302544</v>
      </c>
      <c r="BY46" s="226">
        <f>Inputs_Assumptions!$E$116*IRR_Revenue_Model!BY21</f>
        <v>3.1001207242492694</v>
      </c>
      <c r="BZ46" s="226">
        <f>Inputs_Assumptions!$E$116*IRR_Revenue_Model!BZ21</f>
        <v>3.1193174354130302</v>
      </c>
      <c r="CA46" s="226">
        <f>Inputs_Assumptions!$E$116*IRR_Revenue_Model!CA21</f>
        <v>3.1386330173409589</v>
      </c>
      <c r="CB46" s="226">
        <f>Inputs_Assumptions!$E$116*IRR_Revenue_Model!CB21</f>
        <v>3.1580682061101086</v>
      </c>
      <c r="CC46" s="226">
        <f>Inputs_Assumptions!$E$116*IRR_Revenue_Model!CC21</f>
        <v>3.177623742355502</v>
      </c>
      <c r="CD46" s="226">
        <f>Inputs_Assumptions!$E$116*IRR_Revenue_Model!CD21</f>
        <v>3.1973003712983568</v>
      </c>
      <c r="CE46" s="226">
        <f>Inputs_Assumptions!$E$116*IRR_Revenue_Model!CE21</f>
        <v>3.217098842774484</v>
      </c>
      <c r="CF46" s="226">
        <f>Inputs_Assumptions!$E$116*IRR_Revenue_Model!CF21</f>
        <v>3.2370199112628626</v>
      </c>
      <c r="CG46" s="226">
        <f>Inputs_Assumptions!$E$116*IRR_Revenue_Model!CG21</f>
        <v>3.2570643359143907</v>
      </c>
      <c r="CH46" s="226">
        <f>Inputs_Assumptions!$E$116*IRR_Revenue_Model!CH21</f>
        <v>3.2772328805808169</v>
      </c>
      <c r="CI46" s="226">
        <f>Inputs_Assumptions!$E$116*IRR_Revenue_Model!CI21</f>
        <v>3.2975263138438473</v>
      </c>
      <c r="CJ46" s="226">
        <f>Inputs_Assumptions!$E$116*IRR_Revenue_Model!CJ21</f>
        <v>3.3179454090444351</v>
      </c>
      <c r="CK46" s="226">
        <f>Inputs_Assumptions!$E$116*IRR_Revenue_Model!CK21</f>
        <v>3.3384909443122517</v>
      </c>
      <c r="CL46" s="226">
        <f>Inputs_Assumptions!$E$116*IRR_Revenue_Model!CL21</f>
        <v>3.3591637025953385</v>
      </c>
      <c r="CM46" s="226">
        <f>Inputs_Assumptions!$E$116*IRR_Revenue_Model!CM21</f>
        <v>3.3799644716899446</v>
      </c>
      <c r="CN46" s="226">
        <f>Inputs_Assumptions!$E$116*IRR_Revenue_Model!CN21</f>
        <v>3.4008940442705473</v>
      </c>
      <c r="CO46" s="226">
        <f>Inputs_Assumptions!$E$116*IRR_Revenue_Model!CO21</f>
        <v>3.4219532179200591</v>
      </c>
      <c r="CP46" s="226">
        <f>Inputs_Assumptions!$E$116*IRR_Revenue_Model!CP21</f>
        <v>3.4431427951602234</v>
      </c>
      <c r="CQ46" s="226">
        <f>Inputs_Assumptions!$E$116*IRR_Revenue_Model!CQ21</f>
        <v>3.4644635834821944</v>
      </c>
      <c r="CR46" s="226">
        <f>Inputs_Assumptions!$E$116*IRR_Revenue_Model!CR21</f>
        <v>3.4859163953773122</v>
      </c>
      <c r="CS46" s="226">
        <f>Inputs_Assumptions!$E$116*IRR_Revenue_Model!CS21</f>
        <v>3.5075020483680621</v>
      </c>
      <c r="CT46" s="226">
        <f>Inputs_Assumptions!$E$116*IRR_Revenue_Model!CT21</f>
        <v>3.5292213650392301</v>
      </c>
      <c r="CU46" s="252">
        <f>Inputs_Assumptions!$E$116*IRR_Revenue_Model!CU21</f>
        <v>3.5510751730692505</v>
      </c>
      <c r="CV46" s="226">
        <f>Inputs_Assumptions!$E$116*IRR_Revenue_Model!CV21</f>
        <v>3.5730643052617461</v>
      </c>
      <c r="CW46" s="226">
        <f>Inputs_Assumptions!$E$116*IRR_Revenue_Model!CW21</f>
        <v>3.5951895995772647</v>
      </c>
      <c r="CX46" s="226">
        <f>Inputs_Assumptions!$E$116*IRR_Revenue_Model!CX21</f>
        <v>3.617451899165212</v>
      </c>
      <c r="CY46" s="226">
        <f>Inputs_Assumptions!$E$116*IRR_Revenue_Model!CY21</f>
        <v>3.639852052395983</v>
      </c>
      <c r="CZ46" s="226">
        <f>Inputs_Assumptions!$E$116*IRR_Revenue_Model!CZ21</f>
        <v>3.662390912893291</v>
      </c>
      <c r="DA46" s="226">
        <f>Inputs_Assumptions!$E$116*IRR_Revenue_Model!DA21</f>
        <v>3.6850693395666974</v>
      </c>
      <c r="DB46" s="226">
        <f>Inputs_Assumptions!$E$116*IRR_Revenue_Model!DB21</f>
        <v>3.7078881966443435</v>
      </c>
      <c r="DC46" s="226">
        <f>Inputs_Assumptions!$E$116*IRR_Revenue_Model!DC21</f>
        <v>3.7308483537058841</v>
      </c>
      <c r="DD46" s="226">
        <f>Inputs_Assumptions!$E$116*IRR_Revenue_Model!DD21</f>
        <v>3.7539506857156248</v>
      </c>
      <c r="DE46" s="226">
        <f>Inputs_Assumptions!$E$116*IRR_Revenue_Model!DE21</f>
        <v>3.7771960730558667</v>
      </c>
      <c r="DF46" s="226">
        <f>Inputs_Assumptions!$E$116*IRR_Revenue_Model!DF21</f>
        <v>3.8005854015604541</v>
      </c>
      <c r="DG46" s="226">
        <f>Inputs_Assumptions!$E$116*IRR_Revenue_Model!DG21</f>
        <v>3.8241195625485331</v>
      </c>
      <c r="DH46" s="226">
        <f>Inputs_Assumptions!$E$116*IRR_Revenue_Model!DH21</f>
        <v>3.8477994528585175</v>
      </c>
      <c r="DI46" s="226">
        <f>Inputs_Assumptions!$E$116*IRR_Revenue_Model!DI21</f>
        <v>3.8716259748822655</v>
      </c>
      <c r="DJ46" s="226">
        <f>Inputs_Assumptions!$E$116*IRR_Revenue_Model!DJ21</f>
        <v>3.8956000365994674</v>
      </c>
      <c r="DK46" s="226">
        <f>Inputs_Assumptions!$E$116*IRR_Revenue_Model!DK21</f>
        <v>3.9197225516122485</v>
      </c>
      <c r="DL46" s="226">
        <f>Inputs_Assumptions!$E$116*IRR_Revenue_Model!DL21</f>
        <v>3.9439944391799822</v>
      </c>
      <c r="DM46" s="226">
        <f>Inputs_Assumptions!$E$116*IRR_Revenue_Model!DM21</f>
        <v>3.9684166242543237</v>
      </c>
      <c r="DN46" s="226">
        <f>Inputs_Assumptions!$E$116*IRR_Revenue_Model!DN21</f>
        <v>3.9929900375144558</v>
      </c>
      <c r="DO46" s="226">
        <f>Inputs_Assumptions!$E$116*IRR_Revenue_Model!DO21</f>
        <v>4.0177156154025564</v>
      </c>
      <c r="DP46" s="226">
        <f>Inputs_Assumptions!$E$116*IRR_Revenue_Model!DP21</f>
        <v>4.0425943001594833</v>
      </c>
      <c r="DQ46" s="226">
        <f>Inputs_Assumptions!$E$116*IRR_Revenue_Model!DQ21</f>
        <v>4.0676270398606835</v>
      </c>
      <c r="DR46" s="226">
        <f>Inputs_Assumptions!$E$116*IRR_Revenue_Model!DR21</f>
        <v>4.0928147884523192</v>
      </c>
      <c r="DS46" s="226">
        <f>Inputs_Assumptions!$E$116*IRR_Revenue_Model!DS21</f>
        <v>4.1181585057876218</v>
      </c>
      <c r="DT46" s="226">
        <f>Inputs_Assumptions!$E$116*IRR_Revenue_Model!DT21</f>
        <v>4.143659157663472</v>
      </c>
      <c r="DU46" s="226">
        <f>Inputs_Assumptions!$E$116*IRR_Revenue_Model!DU21</f>
        <v>4.1693177158572023</v>
      </c>
      <c r="DV46" s="226">
        <f>Inputs_Assumptions!$E$116*IRR_Revenue_Model!DV21</f>
        <v>4.1951351581636285</v>
      </c>
      <c r="DW46" s="226">
        <f>Inputs_Assumptions!$E$116*IRR_Revenue_Model!DW21</f>
        <v>4.221112468432314</v>
      </c>
      <c r="DX46" s="226">
        <f>Inputs_Assumptions!$E$116*IRR_Revenue_Model!DX21</f>
        <v>4.2472506366050604</v>
      </c>
      <c r="DY46" s="226">
        <f>Inputs_Assumptions!$E$116*IRR_Revenue_Model!DY21</f>
        <v>4.273550658753634</v>
      </c>
      <c r="DZ46" s="226">
        <f>Inputs_Assumptions!$E$116*IRR_Revenue_Model!DZ21</f>
        <v>4.3000135371177208</v>
      </c>
      <c r="EA46" s="226">
        <f>Inputs_Assumptions!$E$116*IRR_Revenue_Model!EA21</f>
        <v>4.3266402801431232</v>
      </c>
      <c r="EB46" s="226">
        <f>Inputs_Assumptions!$E$116*IRR_Revenue_Model!EB21</f>
        <v>4.3534319025201889</v>
      </c>
      <c r="EC46" s="226">
        <f>Inputs_Assumptions!$E$116*IRR_Revenue_Model!EC21</f>
        <v>4.380389425222476</v>
      </c>
      <c r="ED46" s="226">
        <f>Inputs_Assumptions!$E$116*IRR_Revenue_Model!ED21</f>
        <v>4.4075138755456651</v>
      </c>
      <c r="EE46" s="226">
        <f>Inputs_Assumptions!$E$116*IRR_Revenue_Model!EE21</f>
        <v>4.4348062871467029</v>
      </c>
      <c r="EF46" s="226">
        <f>Inputs_Assumptions!$E$116*IRR_Revenue_Model!EF21</f>
        <v>4.4622677000831947</v>
      </c>
      <c r="EG46" s="226">
        <f>Inputs_Assumptions!$E$116*IRR_Revenue_Model!EG21</f>
        <v>4.4898991608530396</v>
      </c>
      <c r="EH46" s="226">
        <f>Inputs_Assumptions!$E$116*IRR_Revenue_Model!EH21</f>
        <v>4.5177017224343086</v>
      </c>
      <c r="EI46" s="226">
        <f>Inputs_Assumptions!$E$116*IRR_Revenue_Model!EI21</f>
        <v>4.5456764443253723</v>
      </c>
      <c r="EJ46" s="226">
        <f>Inputs_Assumptions!$E$116*IRR_Revenue_Model!EJ21</f>
        <v>4.5738243925852764</v>
      </c>
      <c r="EK46" s="226">
        <f>Inputs_Assumptions!$E$116*IRR_Revenue_Model!EK21</f>
        <v>4.6021466398743671</v>
      </c>
      <c r="EL46" s="226">
        <f>Inputs_Assumptions!$E$116*IRR_Revenue_Model!EL21</f>
        <v>4.6306442654951674</v>
      </c>
      <c r="EM46" s="226">
        <f>Inputs_Assumptions!$E$116*IRR_Revenue_Model!EM21</f>
        <v>4.6593183554335074</v>
      </c>
      <c r="EN46" s="226">
        <f>Inputs_Assumptions!$E$116*IRR_Revenue_Model!EN21</f>
        <v>4.6881700023999091</v>
      </c>
      <c r="EO46" s="226">
        <f>Inputs_Assumptions!$E$116*IRR_Revenue_Model!EO21</f>
        <v>4.7172003058712271</v>
      </c>
      <c r="EP46" s="226">
        <f>Inputs_Assumptions!$E$116*IRR_Revenue_Model!EP21</f>
        <v>4.7464103721325479</v>
      </c>
      <c r="EQ46" s="226">
        <f>Inputs_Assumptions!$E$116*IRR_Revenue_Model!EQ21</f>
        <v>4.775801314319347</v>
      </c>
      <c r="ER46" s="226">
        <f>Inputs_Assumptions!$E$116*IRR_Revenue_Model!ER21</f>
        <v>4.8053742524599086</v>
      </c>
      <c r="ES46" s="226">
        <f>Inputs_Assumptions!$E$116*IRR_Revenue_Model!ES21</f>
        <v>4.8351303135180093</v>
      </c>
      <c r="ET46" s="226">
        <f>Inputs_Assumptions!$E$116*IRR_Revenue_Model!ET21</f>
        <v>4.8650706314358629</v>
      </c>
      <c r="EU46" s="226">
        <f>Inputs_Assumptions!$E$116*IRR_Revenue_Model!EU21</f>
        <v>4.8951963471773317</v>
      </c>
      <c r="EV46" s="226">
        <f>Inputs_Assumptions!$E$116*IRR_Revenue_Model!EV21</f>
        <v>4.9255086087714073</v>
      </c>
      <c r="EW46" s="226">
        <f>Inputs_Assumptions!$E$116*IRR_Revenue_Model!EW21</f>
        <v>4.9560085713559605</v>
      </c>
      <c r="EX46" s="226">
        <f>Inputs_Assumptions!$E$116*IRR_Revenue_Model!EX21</f>
        <v>4.9866973972217608</v>
      </c>
      <c r="EY46" s="226">
        <f>Inputs_Assumptions!$E$116*IRR_Revenue_Model!EY21</f>
        <v>5.017576255856766</v>
      </c>
      <c r="EZ46" s="226">
        <f>Inputs_Assumptions!$E$116*IRR_Revenue_Model!EZ21</f>
        <v>5.0486463239906936</v>
      </c>
      <c r="FA46" s="226">
        <f>Inputs_Assumptions!$E$116*IRR_Revenue_Model!FA21</f>
        <v>5.0799087856398613</v>
      </c>
    </row>
    <row r="47" spans="2:157" outlineLevel="1" x14ac:dyDescent="0.2">
      <c r="B47" s="1"/>
      <c r="C47" s="30"/>
      <c r="D47" s="21"/>
      <c r="E47" s="5"/>
      <c r="F47" s="21"/>
      <c r="G47" s="226"/>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253"/>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row>
    <row r="48" spans="2:157" outlineLevel="1" x14ac:dyDescent="0.2">
      <c r="B48" s="1"/>
      <c r="C48" s="30" t="s">
        <v>399</v>
      </c>
      <c r="D48" s="130" t="s">
        <v>349</v>
      </c>
      <c r="E48" s="5"/>
      <c r="F48" s="21"/>
      <c r="G48" s="226">
        <f>(Inputs_Assumptions!$E$192/Quarters_in_Year)*G21</f>
        <v>2.5154806158140901</v>
      </c>
      <c r="H48" s="226">
        <f>(Inputs_Assumptions!$E$192/Quarters_in_Year)*H21</f>
        <v>2.5310570914145734</v>
      </c>
      <c r="I48" s="226">
        <f>(Inputs_Assumptions!$E$192/Quarters_in_Year)*I21</f>
        <v>2.5467300203888605</v>
      </c>
      <c r="J48" s="226">
        <f>(Inputs_Assumptions!$E$192/Quarters_in_Year)*J21</f>
        <v>2.5625000000000004</v>
      </c>
      <c r="K48" s="226">
        <f>(Inputs_Assumptions!$E$192/Quarters_in_Year)*K21</f>
        <v>2.578367631209443</v>
      </c>
      <c r="L48" s="226">
        <f>(Inputs_Assumptions!$E$192/Quarters_in_Year)*L21</f>
        <v>2.5943335186999383</v>
      </c>
      <c r="M48" s="226">
        <f>(Inputs_Assumptions!$E$192/Quarters_in_Year)*M21</f>
        <v>2.6103982708985822</v>
      </c>
      <c r="N48" s="226">
        <f>(Inputs_Assumptions!$E$192/Quarters_in_Year)*N21</f>
        <v>2.6265625000000008</v>
      </c>
      <c r="O48" s="226">
        <f>(Inputs_Assumptions!$E$192/Quarters_in_Year)*O21</f>
        <v>2.6428268219896793</v>
      </c>
      <c r="P48" s="226">
        <f>(Inputs_Assumptions!$E$192/Quarters_in_Year)*P21</f>
        <v>2.6591918566674377</v>
      </c>
      <c r="Q48" s="226">
        <f>(Inputs_Assumptions!$E$192/Quarters_in_Year)*Q21</f>
        <v>2.6756582276710486</v>
      </c>
      <c r="R48" s="226">
        <f>(Inputs_Assumptions!$E$192/Quarters_in_Year)*R21</f>
        <v>2.6922265625000024</v>
      </c>
      <c r="S48" s="226">
        <f>(Inputs_Assumptions!$E$192/Quarters_in_Year)*S21</f>
        <v>2.7088974925394234</v>
      </c>
      <c r="T48" s="226">
        <f>(Inputs_Assumptions!$E$192/Quarters_in_Year)*T21</f>
        <v>2.7256716530841252</v>
      </c>
      <c r="U48" s="226">
        <f>(Inputs_Assumptions!$E$192/Quarters_in_Year)*U21</f>
        <v>2.7425496833628262</v>
      </c>
      <c r="V48" s="226">
        <f>(Inputs_Assumptions!$E$192/Quarters_in_Year)*V21</f>
        <v>2.759532226562504</v>
      </c>
      <c r="W48" s="226">
        <f>(Inputs_Assumptions!$E$192/Quarters_in_Year)*W21</f>
        <v>2.77661992985291</v>
      </c>
      <c r="X48" s="226">
        <f>(Inputs_Assumptions!$E$192/Quarters_in_Year)*X21</f>
        <v>2.7938134444112297</v>
      </c>
      <c r="Y48" s="226">
        <f>(Inputs_Assumptions!$E$192/Quarters_in_Year)*Y21</f>
        <v>2.8111134254468979</v>
      </c>
      <c r="Z48" s="226">
        <f>(Inputs_Assumptions!$E$192/Quarters_in_Year)*Z21</f>
        <v>2.8285205322265679</v>
      </c>
      <c r="AA48" s="226">
        <f>(Inputs_Assumptions!$E$192/Quarters_in_Year)*AA21</f>
        <v>2.8460354280992339</v>
      </c>
      <c r="AB48" s="226">
        <f>(Inputs_Assumptions!$E$192/Quarters_in_Year)*AB21</f>
        <v>2.8636587805215115</v>
      </c>
      <c r="AC48" s="226">
        <f>(Inputs_Assumptions!$E$192/Quarters_in_Year)*AC21</f>
        <v>2.881391261083071</v>
      </c>
      <c r="AD48" s="226">
        <f>(Inputs_Assumptions!$E$192/Quarters_in_Year)*AD21</f>
        <v>2.8992335455322324</v>
      </c>
      <c r="AE48" s="226">
        <f>(Inputs_Assumptions!$E$192/Quarters_in_Year)*AE21</f>
        <v>2.9171863138017158</v>
      </c>
      <c r="AF48" s="226">
        <f>(Inputs_Assumptions!$E$192/Quarters_in_Year)*AF21</f>
        <v>2.9352502500345503</v>
      </c>
      <c r="AG48" s="226">
        <f>(Inputs_Assumptions!$E$192/Quarters_in_Year)*AG21</f>
        <v>2.9534260426101486</v>
      </c>
      <c r="AH48" s="226">
        <f>(Inputs_Assumptions!$E$192/Quarters_in_Year)*AH21</f>
        <v>2.9717143841705393</v>
      </c>
      <c r="AI48" s="226">
        <f>(Inputs_Assumptions!$E$192/Quarters_in_Year)*AI21</f>
        <v>2.9901159716467598</v>
      </c>
      <c r="AJ48" s="226">
        <f>(Inputs_Assumptions!$E$192/Quarters_in_Year)*AJ21</f>
        <v>3.0086315062854152</v>
      </c>
      <c r="AK48" s="226">
        <f>(Inputs_Assumptions!$E$192/Quarters_in_Year)*AK21</f>
        <v>3.0272616936754035</v>
      </c>
      <c r="AL48" s="226">
        <f>(Inputs_Assumptions!$E$192/Quarters_in_Year)*AL21</f>
        <v>3.0460072437748043</v>
      </c>
      <c r="AM48" s="226">
        <f>(Inputs_Assumptions!$E$192/Quarters_in_Year)*AM21</f>
        <v>3.0648688709379295</v>
      </c>
      <c r="AN48" s="226">
        <f>(Inputs_Assumptions!$E$192/Quarters_in_Year)*AN21</f>
        <v>3.0838472939425516</v>
      </c>
      <c r="AO48" s="226">
        <f>(Inputs_Assumptions!$E$192/Quarters_in_Year)*AO21</f>
        <v>3.1029432360172899</v>
      </c>
      <c r="AP48" s="226">
        <f>(Inputs_Assumptions!$E$192/Quarters_in_Year)*AP21</f>
        <v>3.122157424869175</v>
      </c>
      <c r="AQ48" s="226">
        <f>(Inputs_Assumptions!$E$192/Quarters_in_Year)*AQ21</f>
        <v>3.1414905927113788</v>
      </c>
      <c r="AR48" s="226">
        <f>(Inputs_Assumptions!$E$192/Quarters_in_Year)*AR21</f>
        <v>3.1609434762911164</v>
      </c>
      <c r="AS48" s="226">
        <f>(Inputs_Assumptions!$E$192/Quarters_in_Year)*AS21</f>
        <v>3.1805168169177236</v>
      </c>
      <c r="AT48" s="226">
        <f>(Inputs_Assumptions!$E$192/Quarters_in_Year)*AT21</f>
        <v>3.2002113604909059</v>
      </c>
      <c r="AU48" s="226">
        <f>(Inputs_Assumptions!$E$192/Quarters_in_Year)*AU21</f>
        <v>3.2200278575291645</v>
      </c>
      <c r="AV48" s="226">
        <f>(Inputs_Assumptions!$E$192/Quarters_in_Year)*AV21</f>
        <v>3.2399670631983959</v>
      </c>
      <c r="AW48" s="226">
        <f>(Inputs_Assumptions!$E$192/Quarters_in_Year)*AW21</f>
        <v>3.2600297373406679</v>
      </c>
      <c r="AX48" s="226">
        <f>(Inputs_Assumptions!$E$192/Quarters_in_Year)*AX21</f>
        <v>3.28021664450318</v>
      </c>
      <c r="AY48" s="226">
        <f>(Inputs_Assumptions!$E$192/Quarters_in_Year)*AY21</f>
        <v>3.300528553967395</v>
      </c>
      <c r="AZ48" s="226">
        <f>(Inputs_Assumptions!$E$192/Quarters_in_Year)*AZ21</f>
        <v>3.3209662397783566</v>
      </c>
      <c r="BA48" s="226">
        <f>(Inputs_Assumptions!$E$192/Quarters_in_Year)*BA21</f>
        <v>3.3415304807741859</v>
      </c>
      <c r="BB48" s="226">
        <f>(Inputs_Assumptions!$E$192/Quarters_in_Year)*BB21</f>
        <v>3.3622220606157605</v>
      </c>
      <c r="BC48" s="226">
        <f>(Inputs_Assumptions!$E$192/Quarters_in_Year)*BC21</f>
        <v>3.3830417678165809</v>
      </c>
      <c r="BD48" s="226">
        <f>(Inputs_Assumptions!$E$192/Quarters_in_Year)*BD21</f>
        <v>3.4039903957728161</v>
      </c>
      <c r="BE48" s="226">
        <f>(Inputs_Assumptions!$E$192/Quarters_in_Year)*BE21</f>
        <v>3.4250687427935409</v>
      </c>
      <c r="BF48" s="226">
        <f>(Inputs_Assumptions!$E$192/Quarters_in_Year)*BF21</f>
        <v>3.4462776121311558</v>
      </c>
      <c r="BG48" s="226">
        <f>(Inputs_Assumptions!$E$192/Quarters_in_Year)*BG21</f>
        <v>3.4676178120119965</v>
      </c>
      <c r="BH48" s="226">
        <f>(Inputs_Assumptions!$E$192/Quarters_in_Year)*BH21</f>
        <v>3.4890901556671383</v>
      </c>
      <c r="BI48" s="226">
        <f>(Inputs_Assumptions!$E$192/Quarters_in_Year)*BI21</f>
        <v>3.5106954613633814</v>
      </c>
      <c r="BJ48" s="226">
        <f>(Inputs_Assumptions!$E$192/Quarters_in_Year)*BJ21</f>
        <v>3.5324345524344358</v>
      </c>
      <c r="BK48" s="226">
        <f>(Inputs_Assumptions!$E$192/Quarters_in_Year)*BK21</f>
        <v>3.5543082573122979</v>
      </c>
      <c r="BL48" s="226">
        <f>(Inputs_Assumptions!$E$192/Quarters_in_Year)*BL21</f>
        <v>3.5763174095588179</v>
      </c>
      <c r="BM48" s="226">
        <f>(Inputs_Assumptions!$E$192/Quarters_in_Year)*BM21</f>
        <v>3.5984628478974665</v>
      </c>
      <c r="BN48" s="226">
        <f>(Inputs_Assumptions!$E$192/Quarters_in_Year)*BN21</f>
        <v>3.6207454162452981</v>
      </c>
      <c r="BO48" s="226">
        <f>(Inputs_Assumptions!$E$192/Quarters_in_Year)*BO21</f>
        <v>3.6431659637451066</v>
      </c>
      <c r="BP48" s="226">
        <f>(Inputs_Assumptions!$E$192/Quarters_in_Year)*BP21</f>
        <v>3.6657253447977896</v>
      </c>
      <c r="BQ48" s="226">
        <f>(Inputs_Assumptions!$E$192/Quarters_in_Year)*BQ21</f>
        <v>3.6884244190949045</v>
      </c>
      <c r="BR48" s="226">
        <f>(Inputs_Assumptions!$E$192/Quarters_in_Year)*BR21</f>
        <v>3.711264051651431</v>
      </c>
      <c r="BS48" s="226">
        <f>(Inputs_Assumptions!$E$192/Quarters_in_Year)*BS21</f>
        <v>3.7342451128387348</v>
      </c>
      <c r="BT48" s="226">
        <f>(Inputs_Assumptions!$E$192/Quarters_in_Year)*BT21</f>
        <v>3.7573684784177352</v>
      </c>
      <c r="BU48" s="226">
        <f>(Inputs_Assumptions!$E$192/Quarters_in_Year)*BU21</f>
        <v>3.7806350295722786</v>
      </c>
      <c r="BV48" s="226">
        <f>(Inputs_Assumptions!$E$192/Quarters_in_Year)*BV21</f>
        <v>3.8040456529427185</v>
      </c>
      <c r="BW48" s="226">
        <f>(Inputs_Assumptions!$E$192/Quarters_in_Year)*BW21</f>
        <v>3.8276012406597051</v>
      </c>
      <c r="BX48" s="226">
        <f>(Inputs_Assumptions!$E$192/Quarters_in_Year)*BX21</f>
        <v>3.85130269037818</v>
      </c>
      <c r="BY48" s="226">
        <f>(Inputs_Assumptions!$E$192/Quarters_in_Year)*BY21</f>
        <v>3.8751509053115867</v>
      </c>
      <c r="BZ48" s="226">
        <f>(Inputs_Assumptions!$E$192/Quarters_in_Year)*BZ21</f>
        <v>3.8991467942662879</v>
      </c>
      <c r="CA48" s="226">
        <f>(Inputs_Assumptions!$E$192/Quarters_in_Year)*CA21</f>
        <v>3.9232912716761987</v>
      </c>
      <c r="CB48" s="226">
        <f>(Inputs_Assumptions!$E$192/Quarters_in_Year)*CB21</f>
        <v>3.9475852576376358</v>
      </c>
      <c r="CC48" s="226">
        <f>(Inputs_Assumptions!$E$192/Quarters_in_Year)*CC21</f>
        <v>3.9720296779443776</v>
      </c>
      <c r="CD48" s="226">
        <f>(Inputs_Assumptions!$E$192/Quarters_in_Year)*CD21</f>
        <v>3.9966254641229462</v>
      </c>
      <c r="CE48" s="226">
        <f>(Inputs_Assumptions!$E$192/Quarters_in_Year)*CE21</f>
        <v>4.0213735534681048</v>
      </c>
      <c r="CF48" s="226">
        <f>(Inputs_Assumptions!$E$192/Quarters_in_Year)*CF21</f>
        <v>4.0462748890785782</v>
      </c>
      <c r="CG48" s="226">
        <f>(Inputs_Assumptions!$E$192/Quarters_in_Year)*CG21</f>
        <v>4.0713304198929885</v>
      </c>
      <c r="CH48" s="226">
        <f>(Inputs_Assumptions!$E$192/Quarters_in_Year)*CH21</f>
        <v>4.0965411007260215</v>
      </c>
      <c r="CI48" s="226">
        <f>(Inputs_Assumptions!$E$192/Quarters_in_Year)*CI21</f>
        <v>4.1219078923048089</v>
      </c>
      <c r="CJ48" s="226">
        <f>(Inputs_Assumptions!$E$192/Quarters_in_Year)*CJ21</f>
        <v>4.147431761305544</v>
      </c>
      <c r="CK48" s="226">
        <f>(Inputs_Assumptions!$E$192/Quarters_in_Year)*CK21</f>
        <v>4.1731136803903146</v>
      </c>
      <c r="CL48" s="226">
        <f>(Inputs_Assumptions!$E$192/Quarters_in_Year)*CL21</f>
        <v>4.1989546282441728</v>
      </c>
      <c r="CM48" s="226">
        <f>(Inputs_Assumptions!$E$192/Quarters_in_Year)*CM21</f>
        <v>4.2249555896124305</v>
      </c>
      <c r="CN48" s="226">
        <f>(Inputs_Assumptions!$E$192/Quarters_in_Year)*CN21</f>
        <v>4.2511175553381841</v>
      </c>
      <c r="CO48" s="226">
        <f>(Inputs_Assumptions!$E$192/Quarters_in_Year)*CO21</f>
        <v>4.2774415224000739</v>
      </c>
      <c r="CP48" s="226">
        <f>(Inputs_Assumptions!$E$192/Quarters_in_Year)*CP21</f>
        <v>4.3039284939502789</v>
      </c>
      <c r="CQ48" s="226">
        <f>(Inputs_Assumptions!$E$192/Quarters_in_Year)*CQ21</f>
        <v>4.3305794793527426</v>
      </c>
      <c r="CR48" s="226">
        <f>(Inputs_Assumptions!$E$192/Quarters_in_Year)*CR21</f>
        <v>4.35739549422164</v>
      </c>
      <c r="CS48" s="226">
        <f>(Inputs_Assumptions!$E$192/Quarters_in_Year)*CS21</f>
        <v>4.3843775604600772</v>
      </c>
      <c r="CT48" s="226">
        <f>(Inputs_Assumptions!$E$192/Quarters_in_Year)*CT21</f>
        <v>4.4115267062990373</v>
      </c>
      <c r="CU48" s="252">
        <f>(Inputs_Assumptions!$E$192/Quarters_in_Year)*CU21</f>
        <v>4.4388439663365631</v>
      </c>
      <c r="CV48" s="226">
        <f>(Inputs_Assumptions!$E$192/Quarters_in_Year)*CV21</f>
        <v>4.4663303815771824</v>
      </c>
      <c r="CW48" s="226">
        <f>(Inputs_Assumptions!$E$192/Quarters_in_Year)*CW21</f>
        <v>4.4939869994715806</v>
      </c>
      <c r="CX48" s="226">
        <f>(Inputs_Assumptions!$E$192/Quarters_in_Year)*CX21</f>
        <v>4.5218148739565152</v>
      </c>
      <c r="CY48" s="226">
        <f>(Inputs_Assumptions!$E$192/Quarters_in_Year)*CY21</f>
        <v>4.5498150654949789</v>
      </c>
      <c r="CZ48" s="226">
        <f>(Inputs_Assumptions!$E$192/Quarters_in_Year)*CZ21</f>
        <v>4.5779886411166135</v>
      </c>
      <c r="DA48" s="226">
        <f>(Inputs_Assumptions!$E$192/Quarters_in_Year)*DA21</f>
        <v>4.6063366744583716</v>
      </c>
      <c r="DB48" s="226">
        <f>(Inputs_Assumptions!$E$192/Quarters_in_Year)*DB21</f>
        <v>4.6348602458054291</v>
      </c>
      <c r="DC48" s="226">
        <f>(Inputs_Assumptions!$E$192/Quarters_in_Year)*DC21</f>
        <v>4.6635604421323551</v>
      </c>
      <c r="DD48" s="226">
        <f>(Inputs_Assumptions!$E$192/Quarters_in_Year)*DD21</f>
        <v>4.6924383571445309</v>
      </c>
      <c r="DE48" s="226">
        <f>(Inputs_Assumptions!$E$192/Quarters_in_Year)*DE21</f>
        <v>4.7214950913198335</v>
      </c>
      <c r="DF48" s="226">
        <f>(Inputs_Assumptions!$E$192/Quarters_in_Year)*DF21</f>
        <v>4.7507317519505676</v>
      </c>
      <c r="DG48" s="226">
        <f>(Inputs_Assumptions!$E$192/Quarters_in_Year)*DG21</f>
        <v>4.7801494531856665</v>
      </c>
      <c r="DH48" s="226">
        <f>(Inputs_Assumptions!$E$192/Quarters_in_Year)*DH21</f>
        <v>4.8097493160731473</v>
      </c>
      <c r="DI48" s="226">
        <f>(Inputs_Assumptions!$E$192/Quarters_in_Year)*DI21</f>
        <v>4.8395324686028314</v>
      </c>
      <c r="DJ48" s="226">
        <f>(Inputs_Assumptions!$E$192/Quarters_in_Year)*DJ21</f>
        <v>4.8695000457493345</v>
      </c>
      <c r="DK48" s="226">
        <f>(Inputs_Assumptions!$E$192/Quarters_in_Year)*DK21</f>
        <v>4.8996531895153108</v>
      </c>
      <c r="DL48" s="226">
        <f>(Inputs_Assumptions!$E$192/Quarters_in_Year)*DL21</f>
        <v>4.9299930489749775</v>
      </c>
      <c r="DM48" s="226">
        <f>(Inputs_Assumptions!$E$192/Quarters_in_Year)*DM21</f>
        <v>4.9605207803179043</v>
      </c>
      <c r="DN48" s="226">
        <f>(Inputs_Assumptions!$E$192/Quarters_in_Year)*DN21</f>
        <v>4.9912375468930694</v>
      </c>
      <c r="DO48" s="226">
        <f>(Inputs_Assumptions!$E$192/Quarters_in_Year)*DO21</f>
        <v>5.0221445192531959</v>
      </c>
      <c r="DP48" s="226">
        <f>(Inputs_Assumptions!$E$192/Quarters_in_Year)*DP21</f>
        <v>5.0532428751993539</v>
      </c>
      <c r="DQ48" s="226">
        <f>(Inputs_Assumptions!$E$192/Quarters_in_Year)*DQ21</f>
        <v>5.084533799825854</v>
      </c>
      <c r="DR48" s="226">
        <f>(Inputs_Assumptions!$E$192/Quarters_in_Year)*DR21</f>
        <v>5.116018485565399</v>
      </c>
      <c r="DS48" s="226">
        <f>(Inputs_Assumptions!$E$192/Quarters_in_Year)*DS21</f>
        <v>5.1476981322345274</v>
      </c>
      <c r="DT48" s="226">
        <f>(Inputs_Assumptions!$E$192/Quarters_in_Year)*DT21</f>
        <v>5.1795739470793398</v>
      </c>
      <c r="DU48" s="226">
        <f>(Inputs_Assumptions!$E$192/Quarters_in_Year)*DU21</f>
        <v>5.2116471448215034</v>
      </c>
      <c r="DV48" s="226">
        <f>(Inputs_Assumptions!$E$192/Quarters_in_Year)*DV21</f>
        <v>5.243918947704536</v>
      </c>
      <c r="DW48" s="226">
        <f>(Inputs_Assumptions!$E$192/Quarters_in_Year)*DW21</f>
        <v>5.2763905855403923</v>
      </c>
      <c r="DX48" s="226">
        <f>(Inputs_Assumptions!$E$192/Quarters_in_Year)*DX21</f>
        <v>5.3090632957563253</v>
      </c>
      <c r="DY48" s="226">
        <f>(Inputs_Assumptions!$E$192/Quarters_in_Year)*DY21</f>
        <v>5.3419383234420428</v>
      </c>
      <c r="DZ48" s="226">
        <f>(Inputs_Assumptions!$E$192/Quarters_in_Year)*DZ21</f>
        <v>5.375016921397151</v>
      </c>
      <c r="EA48" s="226">
        <f>(Inputs_Assumptions!$E$192/Quarters_in_Year)*EA21</f>
        <v>5.4083003501789042</v>
      </c>
      <c r="EB48" s="226">
        <f>(Inputs_Assumptions!$E$192/Quarters_in_Year)*EB21</f>
        <v>5.4417898781502361</v>
      </c>
      <c r="EC48" s="226">
        <f>(Inputs_Assumptions!$E$192/Quarters_in_Year)*EC21</f>
        <v>5.4754867815280948</v>
      </c>
      <c r="ED48" s="226">
        <f>(Inputs_Assumptions!$E$192/Quarters_in_Year)*ED21</f>
        <v>5.5093923444320811</v>
      </c>
      <c r="EE48" s="226">
        <f>(Inputs_Assumptions!$E$192/Quarters_in_Year)*EE21</f>
        <v>5.5435078589333786</v>
      </c>
      <c r="EF48" s="226">
        <f>(Inputs_Assumptions!$E$192/Quarters_in_Year)*EF21</f>
        <v>5.5778346251039936</v>
      </c>
      <c r="EG48" s="226">
        <f>(Inputs_Assumptions!$E$192/Quarters_in_Year)*EG21</f>
        <v>5.6123739510662993</v>
      </c>
      <c r="EH48" s="226">
        <f>(Inputs_Assumptions!$E$192/Quarters_in_Year)*EH21</f>
        <v>5.6471271530428861</v>
      </c>
      <c r="EI48" s="226">
        <f>(Inputs_Assumptions!$E$192/Quarters_in_Year)*EI21</f>
        <v>5.6820955554067156</v>
      </c>
      <c r="EJ48" s="226">
        <f>(Inputs_Assumptions!$E$192/Quarters_in_Year)*EJ21</f>
        <v>5.7172804907315955</v>
      </c>
      <c r="EK48" s="226">
        <f>(Inputs_Assumptions!$E$192/Quarters_in_Year)*EK21</f>
        <v>5.7526832998429587</v>
      </c>
      <c r="EL48" s="226">
        <f>(Inputs_Assumptions!$E$192/Quarters_in_Year)*EL21</f>
        <v>5.7883053318689592</v>
      </c>
      <c r="EM48" s="226">
        <f>(Inputs_Assumptions!$E$192/Quarters_in_Year)*EM21</f>
        <v>5.8241479442918838</v>
      </c>
      <c r="EN48" s="226">
        <f>(Inputs_Assumptions!$E$192/Quarters_in_Year)*EN21</f>
        <v>5.8602125029998859</v>
      </c>
      <c r="EO48" s="226">
        <f>(Inputs_Assumptions!$E$192/Quarters_in_Year)*EO21</f>
        <v>5.8965003823390338</v>
      </c>
      <c r="EP48" s="226">
        <f>(Inputs_Assumptions!$E$192/Quarters_in_Year)*EP21</f>
        <v>5.9330129651656849</v>
      </c>
      <c r="EQ48" s="226">
        <f>(Inputs_Assumptions!$E$192/Quarters_in_Year)*EQ21</f>
        <v>5.9697516428991833</v>
      </c>
      <c r="ER48" s="226">
        <f>(Inputs_Assumptions!$E$192/Quarters_in_Year)*ER21</f>
        <v>6.0067178155748859</v>
      </c>
      <c r="ES48" s="226">
        <f>(Inputs_Assumptions!$E$192/Quarters_in_Year)*ES21</f>
        <v>6.0439128918975111</v>
      </c>
      <c r="ET48" s="226">
        <f>(Inputs_Assumptions!$E$192/Quarters_in_Year)*ET21</f>
        <v>6.0813382892948287</v>
      </c>
      <c r="EU48" s="226">
        <f>(Inputs_Assumptions!$E$192/Quarters_in_Year)*EU21</f>
        <v>6.1189954339716648</v>
      </c>
      <c r="EV48" s="226">
        <f>(Inputs_Assumptions!$E$192/Quarters_in_Year)*EV21</f>
        <v>6.1568857609642595</v>
      </c>
      <c r="EW48" s="226">
        <f>(Inputs_Assumptions!$E$192/Quarters_in_Year)*EW21</f>
        <v>6.1950107141949502</v>
      </c>
      <c r="EX48" s="226">
        <f>(Inputs_Assumptions!$E$192/Quarters_in_Year)*EX21</f>
        <v>6.2333717465272009</v>
      </c>
      <c r="EY48" s="226">
        <f>(Inputs_Assumptions!$E$192/Quarters_in_Year)*EY21</f>
        <v>6.2719703198209578</v>
      </c>
      <c r="EZ48" s="226">
        <f>(Inputs_Assumptions!$E$192/Quarters_in_Year)*EZ21</f>
        <v>6.3108079049883674</v>
      </c>
      <c r="FA48" s="226">
        <f>(Inputs_Assumptions!$E$192/Quarters_in_Year)*FA21</f>
        <v>6.3498859820498268</v>
      </c>
    </row>
    <row r="49" spans="2:157" outlineLevel="1" x14ac:dyDescent="0.2">
      <c r="B49" s="1"/>
      <c r="C49" s="30" t="s">
        <v>400</v>
      </c>
      <c r="D49" s="130" t="s">
        <v>349</v>
      </c>
      <c r="E49" s="5"/>
      <c r="F49" s="21"/>
      <c r="G49" s="226">
        <f>(Inputs_Assumptions!$E$193/Quarters_in_Year)*G21</f>
        <v>7.5464418474422708</v>
      </c>
      <c r="H49" s="226">
        <f>(Inputs_Assumptions!$E$193/Quarters_in_Year)*H21</f>
        <v>7.593171274243721</v>
      </c>
      <c r="I49" s="226">
        <f>(Inputs_Assumptions!$E$193/Quarters_in_Year)*I21</f>
        <v>7.6401900611665816</v>
      </c>
      <c r="J49" s="226">
        <f>(Inputs_Assumptions!$E$193/Quarters_in_Year)*J21</f>
        <v>7.6875000000000009</v>
      </c>
      <c r="K49" s="226">
        <f>(Inputs_Assumptions!$E$193/Quarters_in_Year)*K21</f>
        <v>7.7351028936283281</v>
      </c>
      <c r="L49" s="226">
        <f>(Inputs_Assumptions!$E$193/Quarters_in_Year)*L21</f>
        <v>7.7830005560998146</v>
      </c>
      <c r="M49" s="226">
        <f>(Inputs_Assumptions!$E$193/Quarters_in_Year)*M21</f>
        <v>7.8311948126957471</v>
      </c>
      <c r="N49" s="226">
        <f>(Inputs_Assumptions!$E$193/Quarters_in_Year)*N21</f>
        <v>7.8796875000000028</v>
      </c>
      <c r="O49" s="226">
        <f>(Inputs_Assumptions!$E$193/Quarters_in_Year)*O21</f>
        <v>7.928480465969038</v>
      </c>
      <c r="P49" s="226">
        <f>(Inputs_Assumptions!$E$193/Quarters_in_Year)*P21</f>
        <v>7.9775755700023137</v>
      </c>
      <c r="Q49" s="226">
        <f>(Inputs_Assumptions!$E$193/Quarters_in_Year)*Q21</f>
        <v>8.0269746830131457</v>
      </c>
      <c r="R49" s="226">
        <f>(Inputs_Assumptions!$E$193/Quarters_in_Year)*R21</f>
        <v>8.0766796875000075</v>
      </c>
      <c r="S49" s="226">
        <f>(Inputs_Assumptions!$E$193/Quarters_in_Year)*S21</f>
        <v>8.1266924776182705</v>
      </c>
      <c r="T49" s="226">
        <f>(Inputs_Assumptions!$E$193/Quarters_in_Year)*T21</f>
        <v>8.1770149592523751</v>
      </c>
      <c r="U49" s="226">
        <f>(Inputs_Assumptions!$E$193/Quarters_in_Year)*U21</f>
        <v>8.2276490500884787</v>
      </c>
      <c r="V49" s="226">
        <f>(Inputs_Assumptions!$E$193/Quarters_in_Year)*V21</f>
        <v>8.2785966796875119</v>
      </c>
      <c r="W49" s="226">
        <f>(Inputs_Assumptions!$E$193/Quarters_in_Year)*W21</f>
        <v>8.3298597895587303</v>
      </c>
      <c r="X49" s="226">
        <f>(Inputs_Assumptions!$E$193/Quarters_in_Year)*X21</f>
        <v>8.3814403332336891</v>
      </c>
      <c r="Y49" s="226">
        <f>(Inputs_Assumptions!$E$193/Quarters_in_Year)*Y21</f>
        <v>8.4333402763406937</v>
      </c>
      <c r="Z49" s="226">
        <f>(Inputs_Assumptions!$E$193/Quarters_in_Year)*Z21</f>
        <v>8.4855615966797036</v>
      </c>
      <c r="AA49" s="226">
        <f>(Inputs_Assumptions!$E$193/Quarters_in_Year)*AA21</f>
        <v>8.5381062842977009</v>
      </c>
      <c r="AB49" s="226">
        <f>(Inputs_Assumptions!$E$193/Quarters_in_Year)*AB21</f>
        <v>8.5909763415645344</v>
      </c>
      <c r="AC49" s="226">
        <f>(Inputs_Assumptions!$E$193/Quarters_in_Year)*AC21</f>
        <v>8.6441737832492134</v>
      </c>
      <c r="AD49" s="226">
        <f>(Inputs_Assumptions!$E$193/Quarters_in_Year)*AD21</f>
        <v>8.6977006365966982</v>
      </c>
      <c r="AE49" s="226">
        <f>(Inputs_Assumptions!$E$193/Quarters_in_Year)*AE21</f>
        <v>8.7515589414051469</v>
      </c>
      <c r="AF49" s="226">
        <f>(Inputs_Assumptions!$E$193/Quarters_in_Year)*AF21</f>
        <v>8.80575075010365</v>
      </c>
      <c r="AG49" s="226">
        <f>(Inputs_Assumptions!$E$193/Quarters_in_Year)*AG21</f>
        <v>8.8602781278304459</v>
      </c>
      <c r="AH49" s="226">
        <f>(Inputs_Assumptions!$E$193/Quarters_in_Year)*AH21</f>
        <v>8.915143152511618</v>
      </c>
      <c r="AI49" s="226">
        <f>(Inputs_Assumptions!$E$193/Quarters_in_Year)*AI21</f>
        <v>8.9703479149402785</v>
      </c>
      <c r="AJ49" s="226">
        <f>(Inputs_Assumptions!$E$193/Quarters_in_Year)*AJ21</f>
        <v>9.0258945188562461</v>
      </c>
      <c r="AK49" s="226">
        <f>(Inputs_Assumptions!$E$193/Quarters_in_Year)*AK21</f>
        <v>9.0817850810262115</v>
      </c>
      <c r="AL49" s="226">
        <f>(Inputs_Assumptions!$E$193/Quarters_in_Year)*AL21</f>
        <v>9.1380217313244128</v>
      </c>
      <c r="AM49" s="226">
        <f>(Inputs_Assumptions!$E$193/Quarters_in_Year)*AM21</f>
        <v>9.1946066128137893</v>
      </c>
      <c r="AN49" s="226">
        <f>(Inputs_Assumptions!$E$193/Quarters_in_Year)*AN21</f>
        <v>9.251541881827654</v>
      </c>
      <c r="AO49" s="226">
        <f>(Inputs_Assumptions!$E$193/Quarters_in_Year)*AO21</f>
        <v>9.3088297080518689</v>
      </c>
      <c r="AP49" s="226">
        <f>(Inputs_Assumptions!$E$193/Quarters_in_Year)*AP21</f>
        <v>9.366472274607526</v>
      </c>
      <c r="AQ49" s="226">
        <f>(Inputs_Assumptions!$E$193/Quarters_in_Year)*AQ21</f>
        <v>9.4244717781341372</v>
      </c>
      <c r="AR49" s="226">
        <f>(Inputs_Assumptions!$E$193/Quarters_in_Year)*AR21</f>
        <v>9.4828304288733491</v>
      </c>
      <c r="AS49" s="226">
        <f>(Inputs_Assumptions!$E$193/Quarters_in_Year)*AS21</f>
        <v>9.5415504507531708</v>
      </c>
      <c r="AT49" s="226">
        <f>(Inputs_Assumptions!$E$193/Quarters_in_Year)*AT21</f>
        <v>9.6006340814727178</v>
      </c>
      <c r="AU49" s="226">
        <f>(Inputs_Assumptions!$E$193/Quarters_in_Year)*AU21</f>
        <v>9.6600835725874941</v>
      </c>
      <c r="AV49" s="226">
        <f>(Inputs_Assumptions!$E$193/Quarters_in_Year)*AV21</f>
        <v>9.7199011895951877</v>
      </c>
      <c r="AW49" s="226">
        <f>(Inputs_Assumptions!$E$193/Quarters_in_Year)*AW21</f>
        <v>9.7800892120220038</v>
      </c>
      <c r="AX49" s="226">
        <f>(Inputs_Assumptions!$E$193/Quarters_in_Year)*AX21</f>
        <v>9.840649933509539</v>
      </c>
      <c r="AY49" s="226">
        <f>(Inputs_Assumptions!$E$193/Quarters_in_Year)*AY21</f>
        <v>9.9015856619021854</v>
      </c>
      <c r="AZ49" s="226">
        <f>(Inputs_Assumptions!$E$193/Quarters_in_Year)*AZ21</f>
        <v>9.9628987193350707</v>
      </c>
      <c r="BA49" s="226">
        <f>(Inputs_Assumptions!$E$193/Quarters_in_Year)*BA21</f>
        <v>10.024591442322558</v>
      </c>
      <c r="BB49" s="226">
        <f>(Inputs_Assumptions!$E$193/Quarters_in_Year)*BB21</f>
        <v>10.086666181847281</v>
      </c>
      <c r="BC49" s="226">
        <f>(Inputs_Assumptions!$E$193/Quarters_in_Year)*BC21</f>
        <v>10.149125303449743</v>
      </c>
      <c r="BD49" s="226">
        <f>(Inputs_Assumptions!$E$193/Quarters_in_Year)*BD21</f>
        <v>10.211971187318449</v>
      </c>
      <c r="BE49" s="226">
        <f>(Inputs_Assumptions!$E$193/Quarters_in_Year)*BE21</f>
        <v>10.275206228380624</v>
      </c>
      <c r="BF49" s="226">
        <f>(Inputs_Assumptions!$E$193/Quarters_in_Year)*BF21</f>
        <v>10.338832836393467</v>
      </c>
      <c r="BG49" s="226">
        <f>(Inputs_Assumptions!$E$193/Quarters_in_Year)*BG21</f>
        <v>10.40285343603599</v>
      </c>
      <c r="BH49" s="226">
        <f>(Inputs_Assumptions!$E$193/Quarters_in_Year)*BH21</f>
        <v>10.467270467001415</v>
      </c>
      <c r="BI49" s="226">
        <f>(Inputs_Assumptions!$E$193/Quarters_in_Year)*BI21</f>
        <v>10.532086384090144</v>
      </c>
      <c r="BJ49" s="226">
        <f>(Inputs_Assumptions!$E$193/Quarters_in_Year)*BJ21</f>
        <v>10.597303657303307</v>
      </c>
      <c r="BK49" s="226">
        <f>(Inputs_Assumptions!$E$193/Quarters_in_Year)*BK21</f>
        <v>10.662924771936893</v>
      </c>
      <c r="BL49" s="226">
        <f>(Inputs_Assumptions!$E$193/Quarters_in_Year)*BL21</f>
        <v>10.728952228676453</v>
      </c>
      <c r="BM49" s="226">
        <f>(Inputs_Assumptions!$E$193/Quarters_in_Year)*BM21</f>
        <v>10.7953885436924</v>
      </c>
      <c r="BN49" s="226">
        <f>(Inputs_Assumptions!$E$193/Quarters_in_Year)*BN21</f>
        <v>10.862236248735893</v>
      </c>
      <c r="BO49" s="226">
        <f>(Inputs_Assumptions!$E$193/Quarters_in_Year)*BO21</f>
        <v>10.92949789123532</v>
      </c>
      <c r="BP49" s="226">
        <f>(Inputs_Assumptions!$E$193/Quarters_in_Year)*BP21</f>
        <v>10.997176034393368</v>
      </c>
      <c r="BQ49" s="226">
        <f>(Inputs_Assumptions!$E$193/Quarters_in_Year)*BQ21</f>
        <v>11.065273257284714</v>
      </c>
      <c r="BR49" s="226">
        <f>(Inputs_Assumptions!$E$193/Quarters_in_Year)*BR21</f>
        <v>11.133792154954293</v>
      </c>
      <c r="BS49" s="226">
        <f>(Inputs_Assumptions!$E$193/Quarters_in_Year)*BS21</f>
        <v>11.202735338516204</v>
      </c>
      <c r="BT49" s="226">
        <f>(Inputs_Assumptions!$E$193/Quarters_in_Year)*BT21</f>
        <v>11.272105435253206</v>
      </c>
      <c r="BU49" s="226">
        <f>(Inputs_Assumptions!$E$193/Quarters_in_Year)*BU21</f>
        <v>11.341905088716835</v>
      </c>
      <c r="BV49" s="226">
        <f>(Inputs_Assumptions!$E$193/Quarters_in_Year)*BV21</f>
        <v>11.412136958828155</v>
      </c>
      <c r="BW49" s="226">
        <f>(Inputs_Assumptions!$E$193/Quarters_in_Year)*BW21</f>
        <v>11.482803721979115</v>
      </c>
      <c r="BX49" s="226">
        <f>(Inputs_Assumptions!$E$193/Quarters_in_Year)*BX21</f>
        <v>11.55390807113454</v>
      </c>
      <c r="BY49" s="226">
        <f>(Inputs_Assumptions!$E$193/Quarters_in_Year)*BY21</f>
        <v>11.62545271593476</v>
      </c>
      <c r="BZ49" s="226">
        <f>(Inputs_Assumptions!$E$193/Quarters_in_Year)*BZ21</f>
        <v>11.697440382798863</v>
      </c>
      <c r="CA49" s="226">
        <f>(Inputs_Assumptions!$E$193/Quarters_in_Year)*CA21</f>
        <v>11.769873815028596</v>
      </c>
      <c r="CB49" s="226">
        <f>(Inputs_Assumptions!$E$193/Quarters_in_Year)*CB21</f>
        <v>11.842755772912907</v>
      </c>
      <c r="CC49" s="226">
        <f>(Inputs_Assumptions!$E$193/Quarters_in_Year)*CC21</f>
        <v>11.916089033833133</v>
      </c>
      <c r="CD49" s="226">
        <f>(Inputs_Assumptions!$E$193/Quarters_in_Year)*CD21</f>
        <v>11.989876392368839</v>
      </c>
      <c r="CE49" s="226">
        <f>(Inputs_Assumptions!$E$193/Quarters_in_Year)*CE21</f>
        <v>12.064120660404315</v>
      </c>
      <c r="CF49" s="226">
        <f>(Inputs_Assumptions!$E$193/Quarters_in_Year)*CF21</f>
        <v>12.138824667235735</v>
      </c>
      <c r="CG49" s="226">
        <f>(Inputs_Assumptions!$E$193/Quarters_in_Year)*CG21</f>
        <v>12.213991259678965</v>
      </c>
      <c r="CH49" s="226">
        <f>(Inputs_Assumptions!$E$193/Quarters_in_Year)*CH21</f>
        <v>12.289623302178063</v>
      </c>
      <c r="CI49" s="226">
        <f>(Inputs_Assumptions!$E$193/Quarters_in_Year)*CI21</f>
        <v>12.365723676914428</v>
      </c>
      <c r="CJ49" s="226">
        <f>(Inputs_Assumptions!$E$193/Quarters_in_Year)*CJ21</f>
        <v>12.442295283916632</v>
      </c>
      <c r="CK49" s="226">
        <f>(Inputs_Assumptions!$E$193/Quarters_in_Year)*CK21</f>
        <v>12.519341041170943</v>
      </c>
      <c r="CL49" s="226">
        <f>(Inputs_Assumptions!$E$193/Quarters_in_Year)*CL21</f>
        <v>12.596863884732519</v>
      </c>
      <c r="CM49" s="226">
        <f>(Inputs_Assumptions!$E$193/Quarters_in_Year)*CM21</f>
        <v>12.674866768837292</v>
      </c>
      <c r="CN49" s="226">
        <f>(Inputs_Assumptions!$E$193/Quarters_in_Year)*CN21</f>
        <v>12.753352666014553</v>
      </c>
      <c r="CO49" s="226">
        <f>(Inputs_Assumptions!$E$193/Quarters_in_Year)*CO21</f>
        <v>12.832324567200221</v>
      </c>
      <c r="CP49" s="226">
        <f>(Inputs_Assumptions!$E$193/Quarters_in_Year)*CP21</f>
        <v>12.911785481850838</v>
      </c>
      <c r="CQ49" s="226">
        <f>(Inputs_Assumptions!$E$193/Quarters_in_Year)*CQ21</f>
        <v>12.991738438058229</v>
      </c>
      <c r="CR49" s="226">
        <f>(Inputs_Assumptions!$E$193/Quarters_in_Year)*CR21</f>
        <v>13.072186482664922</v>
      </c>
      <c r="CS49" s="226">
        <f>(Inputs_Assumptions!$E$193/Quarters_in_Year)*CS21</f>
        <v>13.153132681380233</v>
      </c>
      <c r="CT49" s="226">
        <f>(Inputs_Assumptions!$E$193/Quarters_in_Year)*CT21</f>
        <v>13.234580118897114</v>
      </c>
      <c r="CU49" s="252">
        <f>(Inputs_Assumptions!$E$193/Quarters_in_Year)*CU21</f>
        <v>13.316531899009689</v>
      </c>
      <c r="CV49" s="226">
        <f>(Inputs_Assumptions!$E$193/Quarters_in_Year)*CV21</f>
        <v>13.398991144731548</v>
      </c>
      <c r="CW49" s="226">
        <f>(Inputs_Assumptions!$E$193/Quarters_in_Year)*CW21</f>
        <v>13.481960998414742</v>
      </c>
      <c r="CX49" s="226">
        <f>(Inputs_Assumptions!$E$193/Quarters_in_Year)*CX21</f>
        <v>13.565444621869545</v>
      </c>
      <c r="CY49" s="226">
        <f>(Inputs_Assumptions!$E$193/Quarters_in_Year)*CY21</f>
        <v>13.649445196484937</v>
      </c>
      <c r="CZ49" s="226">
        <f>(Inputs_Assumptions!$E$193/Quarters_in_Year)*CZ21</f>
        <v>13.733965923349841</v>
      </c>
      <c r="DA49" s="226">
        <f>(Inputs_Assumptions!$E$193/Quarters_in_Year)*DA21</f>
        <v>13.819010023375116</v>
      </c>
      <c r="DB49" s="226">
        <f>(Inputs_Assumptions!$E$193/Quarters_in_Year)*DB21</f>
        <v>13.904580737416289</v>
      </c>
      <c r="DC49" s="226">
        <f>(Inputs_Assumptions!$E$193/Quarters_in_Year)*DC21</f>
        <v>13.990681326397066</v>
      </c>
      <c r="DD49" s="226">
        <f>(Inputs_Assumptions!$E$193/Quarters_in_Year)*DD21</f>
        <v>14.077315071433594</v>
      </c>
      <c r="DE49" s="226">
        <f>(Inputs_Assumptions!$E$193/Quarters_in_Year)*DE21</f>
        <v>14.1644852739595</v>
      </c>
      <c r="DF49" s="226">
        <f>(Inputs_Assumptions!$E$193/Quarters_in_Year)*DF21</f>
        <v>14.252195255851703</v>
      </c>
      <c r="DG49" s="226">
        <f>(Inputs_Assumptions!$E$193/Quarters_in_Year)*DG21</f>
        <v>14.340448359557</v>
      </c>
      <c r="DH49" s="226">
        <f>(Inputs_Assumptions!$E$193/Quarters_in_Year)*DH21</f>
        <v>14.429247948219441</v>
      </c>
      <c r="DI49" s="226">
        <f>(Inputs_Assumptions!$E$193/Quarters_in_Year)*DI21</f>
        <v>14.518597405808496</v>
      </c>
      <c r="DJ49" s="226">
        <f>(Inputs_Assumptions!$E$193/Quarters_in_Year)*DJ21</f>
        <v>14.608500137248003</v>
      </c>
      <c r="DK49" s="226">
        <f>(Inputs_Assumptions!$E$193/Quarters_in_Year)*DK21</f>
        <v>14.698959568545932</v>
      </c>
      <c r="DL49" s="226">
        <f>(Inputs_Assumptions!$E$193/Quarters_in_Year)*DL21</f>
        <v>14.789979146924933</v>
      </c>
      <c r="DM49" s="226">
        <f>(Inputs_Assumptions!$E$193/Quarters_in_Year)*DM21</f>
        <v>14.881562340953714</v>
      </c>
      <c r="DN49" s="226">
        <f>(Inputs_Assumptions!$E$193/Quarters_in_Year)*DN21</f>
        <v>14.97371264067921</v>
      </c>
      <c r="DO49" s="226">
        <f>(Inputs_Assumptions!$E$193/Quarters_in_Year)*DO21</f>
        <v>15.066433557759586</v>
      </c>
      <c r="DP49" s="226">
        <f>(Inputs_Assumptions!$E$193/Quarters_in_Year)*DP21</f>
        <v>15.159728625598062</v>
      </c>
      <c r="DQ49" s="226">
        <f>(Inputs_Assumptions!$E$193/Quarters_in_Year)*DQ21</f>
        <v>15.253601399477564</v>
      </c>
      <c r="DR49" s="226">
        <f>(Inputs_Assumptions!$E$193/Quarters_in_Year)*DR21</f>
        <v>15.348055456696198</v>
      </c>
      <c r="DS49" s="226">
        <f>(Inputs_Assumptions!$E$193/Quarters_in_Year)*DS21</f>
        <v>15.443094396703582</v>
      </c>
      <c r="DT49" s="226">
        <f>(Inputs_Assumptions!$E$193/Quarters_in_Year)*DT21</f>
        <v>15.53872184123802</v>
      </c>
      <c r="DU49" s="226">
        <f>(Inputs_Assumptions!$E$193/Quarters_in_Year)*DU21</f>
        <v>15.634941434464508</v>
      </c>
      <c r="DV49" s="226">
        <f>(Inputs_Assumptions!$E$193/Quarters_in_Year)*DV21</f>
        <v>15.731756843113606</v>
      </c>
      <c r="DW49" s="226">
        <f>(Inputs_Assumptions!$E$193/Quarters_in_Year)*DW21</f>
        <v>15.829171756621177</v>
      </c>
      <c r="DX49" s="226">
        <f>(Inputs_Assumptions!$E$193/Quarters_in_Year)*DX21</f>
        <v>15.927189887268977</v>
      </c>
      <c r="DY49" s="226">
        <f>(Inputs_Assumptions!$E$193/Quarters_in_Year)*DY21</f>
        <v>16.025814970326127</v>
      </c>
      <c r="DZ49" s="226">
        <f>(Inputs_Assumptions!$E$193/Quarters_in_Year)*DZ21</f>
        <v>16.125050764191453</v>
      </c>
      <c r="EA49" s="226">
        <f>(Inputs_Assumptions!$E$193/Quarters_in_Year)*EA21</f>
        <v>16.224901050536712</v>
      </c>
      <c r="EB49" s="226">
        <f>(Inputs_Assumptions!$E$193/Quarters_in_Year)*EB21</f>
        <v>16.325369634450709</v>
      </c>
      <c r="EC49" s="226">
        <f>(Inputs_Assumptions!$E$193/Quarters_in_Year)*EC21</f>
        <v>16.426460344584285</v>
      </c>
      <c r="ED49" s="226">
        <f>(Inputs_Assumptions!$E$193/Quarters_in_Year)*ED21</f>
        <v>16.528177033296245</v>
      </c>
      <c r="EE49" s="226">
        <f>(Inputs_Assumptions!$E$193/Quarters_in_Year)*EE21</f>
        <v>16.630523576800137</v>
      </c>
      <c r="EF49" s="226">
        <f>(Inputs_Assumptions!$E$193/Quarters_in_Year)*EF21</f>
        <v>16.733503875311982</v>
      </c>
      <c r="EG49" s="226">
        <f>(Inputs_Assumptions!$E$193/Quarters_in_Year)*EG21</f>
        <v>16.837121853198898</v>
      </c>
      <c r="EH49" s="226">
        <f>(Inputs_Assumptions!$E$193/Quarters_in_Year)*EH21</f>
        <v>16.941381459128657</v>
      </c>
      <c r="EI49" s="226">
        <f>(Inputs_Assumptions!$E$193/Quarters_in_Year)*EI21</f>
        <v>17.046286666220148</v>
      </c>
      <c r="EJ49" s="226">
        <f>(Inputs_Assumptions!$E$193/Quarters_in_Year)*EJ21</f>
        <v>17.151841472194786</v>
      </c>
      <c r="EK49" s="226">
        <f>(Inputs_Assumptions!$E$193/Quarters_in_Year)*EK21</f>
        <v>17.258049899528878</v>
      </c>
      <c r="EL49" s="226">
        <f>(Inputs_Assumptions!$E$193/Quarters_in_Year)*EL21</f>
        <v>17.364915995606879</v>
      </c>
      <c r="EM49" s="226">
        <f>(Inputs_Assumptions!$E$193/Quarters_in_Year)*EM21</f>
        <v>17.472443832875651</v>
      </c>
      <c r="EN49" s="226">
        <f>(Inputs_Assumptions!$E$193/Quarters_in_Year)*EN21</f>
        <v>17.580637508999658</v>
      </c>
      <c r="EO49" s="226">
        <f>(Inputs_Assumptions!$E$193/Quarters_in_Year)*EO21</f>
        <v>17.689501147017101</v>
      </c>
      <c r="EP49" s="226">
        <f>(Inputs_Assumptions!$E$193/Quarters_in_Year)*EP21</f>
        <v>17.799038895497056</v>
      </c>
      <c r="EQ49" s="226">
        <f>(Inputs_Assumptions!$E$193/Quarters_in_Year)*EQ21</f>
        <v>17.90925492869755</v>
      </c>
      <c r="ER49" s="226">
        <f>(Inputs_Assumptions!$E$193/Quarters_in_Year)*ER21</f>
        <v>18.020153446724656</v>
      </c>
      <c r="ES49" s="226">
        <f>(Inputs_Assumptions!$E$193/Quarters_in_Year)*ES21</f>
        <v>18.131738675692535</v>
      </c>
      <c r="ET49" s="226">
        <f>(Inputs_Assumptions!$E$193/Quarters_in_Year)*ET21</f>
        <v>18.244014867884488</v>
      </c>
      <c r="EU49" s="226">
        <f>(Inputs_Assumptions!$E$193/Quarters_in_Year)*EU21</f>
        <v>18.356986301914993</v>
      </c>
      <c r="EV49" s="226">
        <f>(Inputs_Assumptions!$E$193/Quarters_in_Year)*EV21</f>
        <v>18.470657282892777</v>
      </c>
      <c r="EW49" s="226">
        <f>(Inputs_Assumptions!$E$193/Quarters_in_Year)*EW21</f>
        <v>18.585032142584851</v>
      </c>
      <c r="EX49" s="226">
        <f>(Inputs_Assumptions!$E$193/Quarters_in_Year)*EX21</f>
        <v>18.700115239581603</v>
      </c>
      <c r="EY49" s="226">
        <f>(Inputs_Assumptions!$E$193/Quarters_in_Year)*EY21</f>
        <v>18.815910959462872</v>
      </c>
      <c r="EZ49" s="226">
        <f>(Inputs_Assumptions!$E$193/Quarters_in_Year)*EZ21</f>
        <v>18.9324237149651</v>
      </c>
      <c r="FA49" s="226">
        <f>(Inputs_Assumptions!$E$193/Quarters_in_Year)*FA21</f>
        <v>19.04965794614948</v>
      </c>
    </row>
    <row r="50" spans="2:157" outlineLevel="1" x14ac:dyDescent="0.2">
      <c r="B50" s="1"/>
      <c r="C50" s="30"/>
      <c r="D50" s="130"/>
      <c r="E50" s="5"/>
      <c r="F50" s="21"/>
    </row>
    <row r="51" spans="2:157" outlineLevel="1" x14ac:dyDescent="0.2">
      <c r="B51" s="1"/>
      <c r="C51" s="30" t="s">
        <v>401</v>
      </c>
      <c r="D51" s="130" t="s">
        <v>286</v>
      </c>
      <c r="E51" s="213">
        <f ca="1">SUM(G51:FA51)</f>
        <v>2434.0316250000001</v>
      </c>
      <c r="F51" s="21"/>
      <c r="G51" s="226">
        <f ca="1">IF(G5&lt;=Constr_End_Date,Constr_Phase_Model!G17,0)</f>
        <v>0</v>
      </c>
      <c r="H51" s="226">
        <f ca="1">IF(H5&lt;=Constr_End_Date,Constr_Phase_Model!H17,0)</f>
        <v>0</v>
      </c>
      <c r="I51" s="226">
        <f ca="1">IF(I5&lt;=Constr_End_Date,Constr_Phase_Model!I17,0)</f>
        <v>25.368749999999999</v>
      </c>
      <c r="J51" s="226">
        <f ca="1">IF(J5&lt;=Constr_End_Date,Constr_Phase_Model!J17,0)</f>
        <v>67.650000000000006</v>
      </c>
      <c r="K51" s="226">
        <f ca="1">IF(K5&lt;=Constr_End_Date,Constr_Phase_Model!K17,0)</f>
        <v>33.825000000000003</v>
      </c>
      <c r="L51" s="226">
        <f ca="1">IF(L5&lt;=Constr_End_Date,Constr_Phase_Model!L17,0)</f>
        <v>146.01637499999998</v>
      </c>
      <c r="M51" s="226">
        <f ca="1">IF(M5&lt;=Constr_End_Date,Constr_Phase_Model!M17,0)</f>
        <v>407.69887499999999</v>
      </c>
      <c r="N51" s="226">
        <f ca="1">IF(N5&lt;=Constr_End_Date,Constr_Phase_Model!N17,0)</f>
        <v>260.929125</v>
      </c>
      <c r="O51" s="226">
        <f ca="1">IF(O5&lt;=Constr_End_Date,Constr_Phase_Model!O17,0)</f>
        <v>186.56025</v>
      </c>
      <c r="P51" s="226">
        <f ca="1">IF(P5&lt;=Constr_End_Date,Constr_Phase_Model!P17,0)</f>
        <v>471.64350000000002</v>
      </c>
      <c r="Q51" s="226">
        <f ca="1">IF(Q5&lt;=Constr_End_Date,Constr_Phase_Model!Q17,0)</f>
        <v>485.08125000000001</v>
      </c>
      <c r="R51" s="226">
        <f ca="1">IF(R5&lt;=Constr_End_Date,Constr_Phase_Model!R17,0)</f>
        <v>232.839</v>
      </c>
      <c r="S51" s="226">
        <f ca="1">IF(S5&lt;=Constr_End_Date,Constr_Phase_Model!S17,0)</f>
        <v>116.4195</v>
      </c>
      <c r="T51" s="226">
        <f>IF(T5&lt;=Constr_End_Date,Constr_Phase_Model!T17,0)</f>
        <v>0</v>
      </c>
      <c r="U51" s="226">
        <f>IF(U5&lt;=Constr_End_Date,Constr_Phase_Model!U17,0)</f>
        <v>0</v>
      </c>
      <c r="V51" s="226">
        <f>IF(V5&lt;=Constr_End_Date,Constr_Phase_Model!V17,0)</f>
        <v>0</v>
      </c>
      <c r="W51" s="226">
        <f>IF(W5&lt;=Constr_End_Date,Constr_Phase_Model!W17,0)</f>
        <v>0</v>
      </c>
      <c r="X51" s="226">
        <f>IF(X5&lt;=Constr_End_Date,Constr_Phase_Model!X17,0)</f>
        <v>0</v>
      </c>
      <c r="Y51" s="226">
        <f>IF(Y5&lt;=Constr_End_Date,Constr_Phase_Model!Y17,0)</f>
        <v>0</v>
      </c>
      <c r="Z51" s="226">
        <f>IF(Z5&lt;=Constr_End_Date,Constr_Phase_Model!Z17,0)</f>
        <v>0</v>
      </c>
      <c r="AA51" s="226">
        <f>IF(AA5&lt;=Constr_End_Date,Constr_Phase_Model!AA17,0)</f>
        <v>0</v>
      </c>
      <c r="AB51" s="226">
        <f>IF(AB5&lt;=Constr_End_Date,Constr_Phase_Model!AB17,0)</f>
        <v>0</v>
      </c>
      <c r="AC51" s="226">
        <f>IF(AC5&lt;=Constr_End_Date,Constr_Phase_Model!AC17,0)</f>
        <v>0</v>
      </c>
      <c r="AD51" s="226">
        <f>IF(AD5&lt;=Constr_End_Date,Constr_Phase_Model!AD17,0)</f>
        <v>0</v>
      </c>
      <c r="AE51" s="226">
        <f>IF(AE5&lt;=Constr_End_Date,Constr_Phase_Model!AE17,0)</f>
        <v>0</v>
      </c>
      <c r="AF51" s="226">
        <f>IF(AF5&lt;=Constr_End_Date,Constr_Phase_Model!AF17,0)</f>
        <v>0</v>
      </c>
      <c r="AG51" s="226">
        <f>IF(AG5&lt;=Constr_End_Date,Constr_Phase_Model!AG17,0)</f>
        <v>0</v>
      </c>
      <c r="AH51" s="226">
        <f>IF(AH5&lt;=Constr_End_Date,Constr_Phase_Model!AH17,0)</f>
        <v>0</v>
      </c>
      <c r="AI51" s="226">
        <f>IF(AI5&lt;=Constr_End_Date,Constr_Phase_Model!AI17,0)</f>
        <v>0</v>
      </c>
      <c r="AJ51" s="226">
        <f>IF(AJ5&lt;=Constr_End_Date,Constr_Phase_Model!AJ17,0)</f>
        <v>0</v>
      </c>
      <c r="AK51" s="226">
        <f>IF(AK5&lt;=Constr_End_Date,Constr_Phase_Model!AK17,0)</f>
        <v>0</v>
      </c>
      <c r="AL51" s="226">
        <f>IF(AL5&lt;=Constr_End_Date,Constr_Phase_Model!AL17,0)</f>
        <v>0</v>
      </c>
      <c r="AM51" s="226">
        <f>IF(AM5&lt;=Constr_End_Date,Constr_Phase_Model!AM17,0)</f>
        <v>0</v>
      </c>
      <c r="AN51" s="226">
        <f>IF(AN5&lt;=Constr_End_Date,Constr_Phase_Model!AN17,0)</f>
        <v>0</v>
      </c>
      <c r="AO51" s="226">
        <f>IF(AO5&lt;=Constr_End_Date,Constr_Phase_Model!AO17,0)</f>
        <v>0</v>
      </c>
      <c r="AP51" s="226">
        <f>IF(AP5&lt;=Constr_End_Date,Constr_Phase_Model!AP17,0)</f>
        <v>0</v>
      </c>
      <c r="AQ51" s="226">
        <f>IF(AQ5&lt;=Constr_End_Date,Constr_Phase_Model!AQ17,0)</f>
        <v>0</v>
      </c>
      <c r="AR51" s="226">
        <f>IF(AR5&lt;=Constr_End_Date,Constr_Phase_Model!AR17,0)</f>
        <v>0</v>
      </c>
      <c r="AS51" s="226">
        <f>IF(AS5&lt;=Constr_End_Date,Constr_Phase_Model!AS17,0)</f>
        <v>0</v>
      </c>
      <c r="AT51" s="226">
        <f>IF(AT5&lt;=Constr_End_Date,Constr_Phase_Model!AT17,0)</f>
        <v>0</v>
      </c>
      <c r="AU51" s="226">
        <f>IF(AU5&lt;=Constr_End_Date,Constr_Phase_Model!AU17,0)</f>
        <v>0</v>
      </c>
      <c r="AV51" s="226">
        <f>IF(AV5&lt;=Constr_End_Date,Constr_Phase_Model!AV17,0)</f>
        <v>0</v>
      </c>
      <c r="AW51" s="226">
        <f>IF(AW5&lt;=Constr_End_Date,Constr_Phase_Model!AW17,0)</f>
        <v>0</v>
      </c>
      <c r="AX51" s="226">
        <f>IF(AX5&lt;=Constr_End_Date,Constr_Phase_Model!AX17,0)</f>
        <v>0</v>
      </c>
      <c r="AY51" s="226">
        <f>IF(AY5&lt;=Constr_End_Date,Constr_Phase_Model!AY17,0)</f>
        <v>0</v>
      </c>
      <c r="AZ51" s="226">
        <f>IF(AZ5&lt;=Constr_End_Date,Constr_Phase_Model!AZ17,0)</f>
        <v>0</v>
      </c>
      <c r="BA51" s="226">
        <f>IF(BA5&lt;=Constr_End_Date,Constr_Phase_Model!BA17,0)</f>
        <v>0</v>
      </c>
      <c r="BB51" s="226">
        <f>IF(BB5&lt;=Constr_End_Date,Constr_Phase_Model!BB17,0)</f>
        <v>0</v>
      </c>
      <c r="BC51" s="226">
        <f>IF(BC5&lt;=Constr_End_Date,Constr_Phase_Model!BC17,0)</f>
        <v>0</v>
      </c>
      <c r="BD51" s="226">
        <f>IF(BD5&lt;=Constr_End_Date,Constr_Phase_Model!BD17,0)</f>
        <v>0</v>
      </c>
      <c r="BE51" s="226">
        <f>IF(BE5&lt;=Constr_End_Date,Constr_Phase_Model!BE17,0)</f>
        <v>0</v>
      </c>
      <c r="BF51" s="226">
        <f>IF(BF5&lt;=Constr_End_Date,Constr_Phase_Model!BF17,0)</f>
        <v>0</v>
      </c>
      <c r="BG51" s="226">
        <f>IF(BG5&lt;=Constr_End_Date,Constr_Phase_Model!BG17,0)</f>
        <v>0</v>
      </c>
      <c r="BH51" s="226">
        <f>IF(BH5&lt;=Constr_End_Date,Constr_Phase_Model!BH17,0)</f>
        <v>0</v>
      </c>
      <c r="BI51" s="226">
        <f>IF(BI5&lt;=Constr_End_Date,Constr_Phase_Model!BI17,0)</f>
        <v>0</v>
      </c>
      <c r="BJ51" s="226">
        <f>IF(BJ5&lt;=Constr_End_Date,Constr_Phase_Model!BJ17,0)</f>
        <v>0</v>
      </c>
      <c r="BK51" s="226">
        <f>IF(BK5&lt;=Constr_End_Date,Constr_Phase_Model!BK17,0)</f>
        <v>0</v>
      </c>
      <c r="BL51" s="226">
        <f>IF(BL5&lt;=Constr_End_Date,Constr_Phase_Model!BL17,0)</f>
        <v>0</v>
      </c>
      <c r="BM51" s="226">
        <f>IF(BM5&lt;=Constr_End_Date,Constr_Phase_Model!BM17,0)</f>
        <v>0</v>
      </c>
      <c r="BN51" s="226">
        <f>IF(BN5&lt;=Constr_End_Date,Constr_Phase_Model!BN17,0)</f>
        <v>0</v>
      </c>
      <c r="BO51" s="226">
        <f>IF(BO5&lt;=Constr_End_Date,Constr_Phase_Model!BO17,0)</f>
        <v>0</v>
      </c>
      <c r="BP51" s="226">
        <f>IF(BP5&lt;=Constr_End_Date,Constr_Phase_Model!BP17,0)</f>
        <v>0</v>
      </c>
      <c r="BQ51" s="226">
        <f>IF(BQ5&lt;=Constr_End_Date,Constr_Phase_Model!BQ17,0)</f>
        <v>0</v>
      </c>
      <c r="BR51" s="226">
        <f>IF(BR5&lt;=Constr_End_Date,Constr_Phase_Model!BR17,0)</f>
        <v>0</v>
      </c>
      <c r="BS51" s="226">
        <f>IF(BS5&lt;=Constr_End_Date,Constr_Phase_Model!BS17,0)</f>
        <v>0</v>
      </c>
      <c r="BT51" s="226">
        <f>IF(BT5&lt;=Constr_End_Date,Constr_Phase_Model!BT17,0)</f>
        <v>0</v>
      </c>
      <c r="BU51" s="226">
        <f>IF(BU5&lt;=Constr_End_Date,Constr_Phase_Model!BU17,0)</f>
        <v>0</v>
      </c>
      <c r="BV51" s="226">
        <f>IF(BV5&lt;=Constr_End_Date,Constr_Phase_Model!BV17,0)</f>
        <v>0</v>
      </c>
      <c r="BW51" s="226">
        <f>IF(BW5&lt;=Constr_End_Date,Constr_Phase_Model!BW17,0)</f>
        <v>0</v>
      </c>
      <c r="BX51" s="226">
        <f>IF(BX5&lt;=Constr_End_Date,Constr_Phase_Model!BX17,0)</f>
        <v>0</v>
      </c>
      <c r="BY51" s="226">
        <f>IF(BY5&lt;=Constr_End_Date,Constr_Phase_Model!BY17,0)</f>
        <v>0</v>
      </c>
      <c r="BZ51" s="226">
        <f>IF(BZ5&lt;=Constr_End_Date,Constr_Phase_Model!BZ17,0)</f>
        <v>0</v>
      </c>
      <c r="CA51" s="226">
        <f>IF(CA5&lt;=Constr_End_Date,Constr_Phase_Model!CA17,0)</f>
        <v>0</v>
      </c>
      <c r="CB51" s="226">
        <f>IF(CB5&lt;=Constr_End_Date,Constr_Phase_Model!CB17,0)</f>
        <v>0</v>
      </c>
      <c r="CC51" s="226">
        <f>IF(CC5&lt;=Constr_End_Date,Constr_Phase_Model!CC17,0)</f>
        <v>0</v>
      </c>
      <c r="CD51" s="226">
        <f>IF(CD5&lt;=Constr_End_Date,Constr_Phase_Model!CD17,0)</f>
        <v>0</v>
      </c>
      <c r="CE51" s="226">
        <f>IF(CE5&lt;=Constr_End_Date,Constr_Phase_Model!CE17,0)</f>
        <v>0</v>
      </c>
      <c r="CF51" s="226">
        <f>IF(CF5&lt;=Constr_End_Date,Constr_Phase_Model!CF17,0)</f>
        <v>0</v>
      </c>
      <c r="CG51" s="226">
        <f>IF(CG5&lt;=Constr_End_Date,Constr_Phase_Model!CG17,0)</f>
        <v>0</v>
      </c>
      <c r="CH51" s="226">
        <f>IF(CH5&lt;=Constr_End_Date,Constr_Phase_Model!CH17,0)</f>
        <v>0</v>
      </c>
      <c r="CI51" s="226">
        <f>IF(CI5&lt;=Constr_End_Date,Constr_Phase_Model!CI17,0)</f>
        <v>0</v>
      </c>
      <c r="CJ51" s="226">
        <f>IF(CJ5&lt;=Constr_End_Date,Constr_Phase_Model!CJ17,0)</f>
        <v>0</v>
      </c>
      <c r="CK51" s="226">
        <f>IF(CK5&lt;=Constr_End_Date,Constr_Phase_Model!CK17,0)</f>
        <v>0</v>
      </c>
      <c r="CL51" s="226">
        <f>IF(CL5&lt;=Constr_End_Date,Constr_Phase_Model!CL17,0)</f>
        <v>0</v>
      </c>
      <c r="CM51" s="226">
        <f>IF(CM5&lt;=Constr_End_Date,Constr_Phase_Model!CM17,0)</f>
        <v>0</v>
      </c>
      <c r="CN51" s="226">
        <f>IF(CN5&lt;=Constr_End_Date,Constr_Phase_Model!CN17,0)</f>
        <v>0</v>
      </c>
      <c r="CO51" s="226">
        <f>IF(CO5&lt;=Constr_End_Date,Constr_Phase_Model!CO17,0)</f>
        <v>0</v>
      </c>
      <c r="CP51" s="226">
        <f>IF(CP5&lt;=Constr_End_Date,Constr_Phase_Model!CP17,0)</f>
        <v>0</v>
      </c>
      <c r="CQ51" s="226">
        <f>IF(CQ5&lt;=Constr_End_Date,Constr_Phase_Model!CQ17,0)</f>
        <v>0</v>
      </c>
      <c r="CR51" s="226">
        <f>IF(CR5&lt;=Constr_End_Date,Constr_Phase_Model!CR17,0)</f>
        <v>0</v>
      </c>
      <c r="CS51" s="226">
        <f>IF(CS5&lt;=Constr_End_Date,Constr_Phase_Model!CS17,0)</f>
        <v>0</v>
      </c>
      <c r="CT51" s="226">
        <f>IF(CT5&lt;=Constr_End_Date,Constr_Phase_Model!CT17,0)</f>
        <v>0</v>
      </c>
      <c r="CU51" s="252">
        <f>IF(CU5&lt;=Constr_End_Date,Constr_Phase_Model!CU17,0)</f>
        <v>0</v>
      </c>
      <c r="CV51" s="226">
        <f>IF(CV5&lt;=Constr_End_Date,Constr_Phase_Model!CV17,0)</f>
        <v>0</v>
      </c>
      <c r="CW51" s="226">
        <f>IF(CW5&lt;=Constr_End_Date,Constr_Phase_Model!CW17,0)</f>
        <v>0</v>
      </c>
      <c r="CX51" s="226">
        <f>IF(CX5&lt;=Constr_End_Date,Constr_Phase_Model!CX17,0)</f>
        <v>0</v>
      </c>
      <c r="CY51" s="226">
        <f>IF(CY5&lt;=Constr_End_Date,Constr_Phase_Model!CY17,0)</f>
        <v>0</v>
      </c>
      <c r="CZ51" s="226">
        <f>IF(CZ5&lt;=Constr_End_Date,Constr_Phase_Model!CZ17,0)</f>
        <v>0</v>
      </c>
      <c r="DA51" s="226">
        <f>IF(DA5&lt;=Constr_End_Date,Constr_Phase_Model!DA17,0)</f>
        <v>0</v>
      </c>
      <c r="DB51" s="226">
        <f>IF(DB5&lt;=Constr_End_Date,Constr_Phase_Model!DB17,0)</f>
        <v>0</v>
      </c>
      <c r="DC51" s="226">
        <f>IF(DC5&lt;=Constr_End_Date,Constr_Phase_Model!DC17,0)</f>
        <v>0</v>
      </c>
      <c r="DD51" s="226">
        <f>IF(DD5&lt;=Constr_End_Date,Constr_Phase_Model!DD17,0)</f>
        <v>0</v>
      </c>
      <c r="DE51" s="226">
        <f>IF(DE5&lt;=Constr_End_Date,Constr_Phase_Model!DE17,0)</f>
        <v>0</v>
      </c>
      <c r="DF51" s="226">
        <f>IF(DF5&lt;=Constr_End_Date,Constr_Phase_Model!DF17,0)</f>
        <v>0</v>
      </c>
      <c r="DG51" s="226">
        <f>IF(DG5&lt;=Constr_End_Date,Constr_Phase_Model!DG17,0)</f>
        <v>0</v>
      </c>
      <c r="DH51" s="226">
        <f>IF(DH5&lt;=Constr_End_Date,Constr_Phase_Model!DH17,0)</f>
        <v>0</v>
      </c>
      <c r="DI51" s="226">
        <f>IF(DI5&lt;=Constr_End_Date,Constr_Phase_Model!DI17,0)</f>
        <v>0</v>
      </c>
      <c r="DJ51" s="226">
        <f>IF(DJ5&lt;=Constr_End_Date,Constr_Phase_Model!DJ17,0)</f>
        <v>0</v>
      </c>
      <c r="DK51" s="226">
        <f>IF(DK5&lt;=Constr_End_Date,Constr_Phase_Model!DK17,0)</f>
        <v>0</v>
      </c>
      <c r="DL51" s="226">
        <f>IF(DL5&lt;=Constr_End_Date,Constr_Phase_Model!DL17,0)</f>
        <v>0</v>
      </c>
      <c r="DM51" s="226">
        <f>IF(DM5&lt;=Constr_End_Date,Constr_Phase_Model!DM17,0)</f>
        <v>0</v>
      </c>
      <c r="DN51" s="226">
        <f>IF(DN5&lt;=Constr_End_Date,Constr_Phase_Model!DN17,0)</f>
        <v>0</v>
      </c>
      <c r="DO51" s="226">
        <f>IF(DO5&lt;=Constr_End_Date,Constr_Phase_Model!DO17,0)</f>
        <v>0</v>
      </c>
      <c r="DP51" s="226">
        <f>IF(DP5&lt;=Constr_End_Date,Constr_Phase_Model!DP17,0)</f>
        <v>0</v>
      </c>
      <c r="DQ51" s="226">
        <f>IF(DQ5&lt;=Constr_End_Date,Constr_Phase_Model!DQ17,0)</f>
        <v>0</v>
      </c>
      <c r="DR51" s="226">
        <f>IF(DR5&lt;=Constr_End_Date,Constr_Phase_Model!DR17,0)</f>
        <v>0</v>
      </c>
      <c r="DS51" s="226">
        <f>IF(DS5&lt;=Constr_End_Date,Constr_Phase_Model!DS17,0)</f>
        <v>0</v>
      </c>
      <c r="DT51" s="226">
        <f>IF(DT5&lt;=Constr_End_Date,Constr_Phase_Model!DT17,0)</f>
        <v>0</v>
      </c>
      <c r="DU51" s="226">
        <f>IF(DU5&lt;=Constr_End_Date,Constr_Phase_Model!DU17,0)</f>
        <v>0</v>
      </c>
      <c r="DV51" s="226">
        <f>IF(DV5&lt;=Constr_End_Date,Constr_Phase_Model!DV17,0)</f>
        <v>0</v>
      </c>
      <c r="DW51" s="226">
        <f>IF(DW5&lt;=Constr_End_Date,Constr_Phase_Model!DW17,0)</f>
        <v>0</v>
      </c>
      <c r="DX51" s="226">
        <f>IF(DX5&lt;=Constr_End_Date,Constr_Phase_Model!DX17,0)</f>
        <v>0</v>
      </c>
      <c r="DY51" s="226">
        <f>IF(DY5&lt;=Constr_End_Date,Constr_Phase_Model!DY17,0)</f>
        <v>0</v>
      </c>
      <c r="DZ51" s="226">
        <f>IF(DZ5&lt;=Constr_End_Date,Constr_Phase_Model!DZ17,0)</f>
        <v>0</v>
      </c>
      <c r="EA51" s="226">
        <f>IF(EA5&lt;=Constr_End_Date,Constr_Phase_Model!EA17,0)</f>
        <v>0</v>
      </c>
      <c r="EB51" s="226">
        <f>IF(EB5&lt;=Constr_End_Date,Constr_Phase_Model!EB17,0)</f>
        <v>0</v>
      </c>
      <c r="EC51" s="226">
        <f>IF(EC5&lt;=Constr_End_Date,Constr_Phase_Model!EC17,0)</f>
        <v>0</v>
      </c>
      <c r="ED51" s="226">
        <f>IF(ED5&lt;=Constr_End_Date,Constr_Phase_Model!ED17,0)</f>
        <v>0</v>
      </c>
      <c r="EE51" s="226">
        <f>IF(EE5&lt;=Constr_End_Date,Constr_Phase_Model!EE17,0)</f>
        <v>0</v>
      </c>
      <c r="EF51" s="226">
        <f>IF(EF5&lt;=Constr_End_Date,Constr_Phase_Model!EF17,0)</f>
        <v>0</v>
      </c>
      <c r="EG51" s="226">
        <f>IF(EG5&lt;=Constr_End_Date,Constr_Phase_Model!EG17,0)</f>
        <v>0</v>
      </c>
      <c r="EH51" s="226">
        <f>IF(EH5&lt;=Constr_End_Date,Constr_Phase_Model!EH17,0)</f>
        <v>0</v>
      </c>
      <c r="EI51" s="226">
        <f>IF(EI5&lt;=Constr_End_Date,Constr_Phase_Model!EI17,0)</f>
        <v>0</v>
      </c>
      <c r="EJ51" s="226">
        <f>IF(EJ5&lt;=Constr_End_Date,Constr_Phase_Model!EJ17,0)</f>
        <v>0</v>
      </c>
      <c r="EK51" s="226">
        <f>IF(EK5&lt;=Constr_End_Date,Constr_Phase_Model!EK17,0)</f>
        <v>0</v>
      </c>
      <c r="EL51" s="226">
        <f>IF(EL5&lt;=Constr_End_Date,Constr_Phase_Model!EL17,0)</f>
        <v>0</v>
      </c>
      <c r="EM51" s="226">
        <f>IF(EM5&lt;=Constr_End_Date,Constr_Phase_Model!EM17,0)</f>
        <v>0</v>
      </c>
      <c r="EN51" s="226">
        <f>IF(EN5&lt;=Constr_End_Date,Constr_Phase_Model!EN17,0)</f>
        <v>0</v>
      </c>
      <c r="EO51" s="226">
        <f>IF(EO5&lt;=Constr_End_Date,Constr_Phase_Model!EO17,0)</f>
        <v>0</v>
      </c>
      <c r="EP51" s="226">
        <f>IF(EP5&lt;=Constr_End_Date,Constr_Phase_Model!EP17,0)</f>
        <v>0</v>
      </c>
      <c r="EQ51" s="226">
        <f>IF(EQ5&lt;=Constr_End_Date,Constr_Phase_Model!EQ17,0)</f>
        <v>0</v>
      </c>
      <c r="ER51" s="226">
        <f>IF(ER5&lt;=Constr_End_Date,Constr_Phase_Model!ER17,0)</f>
        <v>0</v>
      </c>
      <c r="ES51" s="226">
        <f>IF(ES5&lt;=Constr_End_Date,Constr_Phase_Model!ES17,0)</f>
        <v>0</v>
      </c>
      <c r="ET51" s="226">
        <f>IF(ET5&lt;=Constr_End_Date,Constr_Phase_Model!ET17,0)</f>
        <v>0</v>
      </c>
      <c r="EU51" s="226">
        <f>IF(EU5&lt;=Constr_End_Date,Constr_Phase_Model!EU17,0)</f>
        <v>0</v>
      </c>
      <c r="EV51" s="226">
        <f>IF(EV5&lt;=Constr_End_Date,Constr_Phase_Model!EV17,0)</f>
        <v>0</v>
      </c>
      <c r="EW51" s="226">
        <f>IF(EW5&lt;=Constr_End_Date,Constr_Phase_Model!EW17,0)</f>
        <v>0</v>
      </c>
      <c r="EX51" s="226">
        <f>IF(EX5&lt;=Constr_End_Date,Constr_Phase_Model!EX17,0)</f>
        <v>0</v>
      </c>
      <c r="EY51" s="226">
        <f>IF(EY5&lt;=Constr_End_Date,Constr_Phase_Model!EY17,0)</f>
        <v>0</v>
      </c>
      <c r="EZ51" s="226">
        <f>IF(EZ5&lt;=Constr_End_Date,Constr_Phase_Model!EZ17,0)</f>
        <v>0</v>
      </c>
      <c r="FA51" s="226">
        <f>IF(FA5&lt;=Constr_End_Date,Constr_Phase_Model!FA17,0)</f>
        <v>0</v>
      </c>
    </row>
    <row r="52" spans="2:157" outlineLevel="1" x14ac:dyDescent="0.2">
      <c r="B52" s="1"/>
      <c r="C52" s="30" t="s">
        <v>402</v>
      </c>
      <c r="D52" s="130" t="s">
        <v>286</v>
      </c>
      <c r="E52" s="213">
        <f ca="1">SUM(G52:FA52)</f>
        <v>149.30938452501755</v>
      </c>
      <c r="F52" s="21"/>
      <c r="G52" s="226">
        <f>IF(G5&lt;=Debt_Refinance_Date,Constr_Phase_Model!G19,0)</f>
        <v>0</v>
      </c>
      <c r="H52" s="226">
        <f>IF(H5&lt;=Debt_Refinance_Date,Constr_Phase_Model!H19,0)</f>
        <v>0</v>
      </c>
      <c r="I52" s="226">
        <f ca="1">IF(I5&lt;=Debt_Refinance_Date,Constr_Phase_Model!I19,0)</f>
        <v>0</v>
      </c>
      <c r="J52" s="226">
        <f ca="1">IF(J5&lt;=Debt_Refinance_Date,Constr_Phase_Model!J19,0)</f>
        <v>0.46221677921844867</v>
      </c>
      <c r="K52" s="226">
        <f ca="1">IF(K5&lt;=Debt_Refinance_Date,Constr_Phase_Model!K19,0)</f>
        <v>1.1328000790522856</v>
      </c>
      <c r="L52" s="226">
        <f ca="1">IF(L5&lt;=Debt_Refinance_Date,Constr_Phase_Model!L19,0)</f>
        <v>1.4938108500501728</v>
      </c>
      <c r="M52" s="226">
        <f ca="1">IF(M5&lt;=Debt_Refinance_Date,Constr_Phase_Model!M19,0)</f>
        <v>2.9014863504927217</v>
      </c>
      <c r="N52" s="226">
        <f ca="1">IF(N5&lt;=Debt_Refinance_Date,Constr_Phase_Model!N19,0)</f>
        <v>6.7045939180401719</v>
      </c>
      <c r="O52" s="226">
        <f ca="1">IF(O5&lt;=Debt_Refinance_Date,Constr_Phase_Model!O19,0)</f>
        <v>9.0031664434400902</v>
      </c>
      <c r="P52" s="226">
        <f ca="1">IF(P5&lt;=Debt_Refinance_Date,Constr_Phase_Model!P19,0)</f>
        <v>10.54337047194398</v>
      </c>
      <c r="Q52" s="226">
        <f ca="1">IF(Q5&lt;=Debt_Refinance_Date,Constr_Phase_Model!Q19,0)</f>
        <v>14.800967806072316</v>
      </c>
      <c r="R52" s="226">
        <f ca="1">IF(R5&lt;=Debt_Refinance_Date,Constr_Phase_Model!R19,0)</f>
        <v>19.146981394563834</v>
      </c>
      <c r="S52" s="226">
        <f ca="1">IF(S5&lt;=Debt_Refinance_Date,Constr_Phase_Model!S19,0)</f>
        <v>20.746700393689576</v>
      </c>
      <c r="T52" s="226">
        <f ca="1">IF(T5&lt;=Debt_Refinance_Date,Constr_Phase_Model!T19,0)</f>
        <v>21.120721993907928</v>
      </c>
      <c r="U52" s="226">
        <f ca="1">IF(U5&lt;=Debt_Refinance_Date,Constr_Phase_Model!U19,0)</f>
        <v>20.755914070981639</v>
      </c>
      <c r="V52" s="226">
        <f ca="1">IF(V5&lt;=Debt_Refinance_Date,Constr_Phase_Model!V19,0)</f>
        <v>20.496653973564381</v>
      </c>
      <c r="W52" s="226">
        <f>IF(W5&lt;=Debt_Refinance_Date,Constr_Phase_Model!W19,0)</f>
        <v>0</v>
      </c>
      <c r="X52" s="226">
        <f>IF(X5&lt;=Debt_Refinance_Date,Constr_Phase_Model!X19,0)</f>
        <v>0</v>
      </c>
      <c r="Y52" s="226">
        <f>IF(Y5&lt;=Debt_Refinance_Date,Constr_Phase_Model!Y19,0)</f>
        <v>0</v>
      </c>
      <c r="Z52" s="226">
        <f>IF(Z5&lt;=Debt_Refinance_Date,Constr_Phase_Model!Z19,0)</f>
        <v>0</v>
      </c>
      <c r="AA52" s="226">
        <f>IF(AA5&lt;=Debt_Refinance_Date,Constr_Phase_Model!AA19,0)</f>
        <v>0</v>
      </c>
      <c r="AB52" s="226">
        <f>IF(AB5&lt;=Debt_Refinance_Date,Constr_Phase_Model!AB19,0)</f>
        <v>0</v>
      </c>
      <c r="AC52" s="226">
        <f>IF(AC5&lt;=Debt_Refinance_Date,Constr_Phase_Model!AC19,0)</f>
        <v>0</v>
      </c>
      <c r="AD52" s="226">
        <f>IF(AD5&lt;=Debt_Refinance_Date,Constr_Phase_Model!AD19,0)</f>
        <v>0</v>
      </c>
      <c r="AE52" s="226">
        <f>IF(AE5&lt;=Debt_Refinance_Date,Constr_Phase_Model!AE19,0)</f>
        <v>0</v>
      </c>
      <c r="AF52" s="226">
        <f>IF(AF5&lt;=Debt_Refinance_Date,Constr_Phase_Model!AF19,0)</f>
        <v>0</v>
      </c>
      <c r="AG52" s="226">
        <f>IF(AG5&lt;=Debt_Refinance_Date,Constr_Phase_Model!AG19,0)</f>
        <v>0</v>
      </c>
      <c r="AH52" s="226">
        <f>IF(AH5&lt;=Debt_Refinance_Date,Constr_Phase_Model!AH19,0)</f>
        <v>0</v>
      </c>
      <c r="AI52" s="226">
        <f>IF(AI5&lt;=Debt_Refinance_Date,Constr_Phase_Model!AI19,0)</f>
        <v>0</v>
      </c>
      <c r="AJ52" s="226">
        <f>IF(AJ5&lt;=Debt_Refinance_Date,Constr_Phase_Model!AJ19,0)</f>
        <v>0</v>
      </c>
      <c r="AK52" s="226">
        <f>IF(AK5&lt;=Debt_Refinance_Date,Constr_Phase_Model!AK19,0)</f>
        <v>0</v>
      </c>
      <c r="AL52" s="226">
        <f>IF(AL5&lt;=Debt_Refinance_Date,Constr_Phase_Model!AL19,0)</f>
        <v>0</v>
      </c>
      <c r="AM52" s="226">
        <f>IF(AM5&lt;=Debt_Refinance_Date,Constr_Phase_Model!AM19,0)</f>
        <v>0</v>
      </c>
      <c r="AN52" s="226">
        <f>IF(AN5&lt;=Debt_Refinance_Date,Constr_Phase_Model!AN19,0)</f>
        <v>0</v>
      </c>
      <c r="AO52" s="226">
        <f>IF(AO5&lt;=Debt_Refinance_Date,Constr_Phase_Model!AO19,0)</f>
        <v>0</v>
      </c>
      <c r="AP52" s="226">
        <f>IF(AP5&lt;=Debt_Refinance_Date,Constr_Phase_Model!AP19,0)</f>
        <v>0</v>
      </c>
      <c r="AQ52" s="226">
        <f>IF(AQ5&lt;=Debt_Refinance_Date,Constr_Phase_Model!AQ19,0)</f>
        <v>0</v>
      </c>
      <c r="AR52" s="226">
        <f>IF(AR5&lt;=Debt_Refinance_Date,Constr_Phase_Model!AR19,0)</f>
        <v>0</v>
      </c>
      <c r="AS52" s="226">
        <f>IF(AS5&lt;=Debt_Refinance_Date,Constr_Phase_Model!AS19,0)</f>
        <v>0</v>
      </c>
      <c r="AT52" s="226">
        <f>IF(AT5&lt;=Debt_Refinance_Date,Constr_Phase_Model!AT19,0)</f>
        <v>0</v>
      </c>
      <c r="AU52" s="226">
        <f>IF(AU5&lt;=Debt_Refinance_Date,Constr_Phase_Model!AU19,0)</f>
        <v>0</v>
      </c>
      <c r="AV52" s="226">
        <f>IF(AV5&lt;=Debt_Refinance_Date,Constr_Phase_Model!AV19,0)</f>
        <v>0</v>
      </c>
      <c r="AW52" s="226">
        <f>IF(AW5&lt;=Debt_Refinance_Date,Constr_Phase_Model!AW19,0)</f>
        <v>0</v>
      </c>
      <c r="AX52" s="226">
        <f>IF(AX5&lt;=Debt_Refinance_Date,Constr_Phase_Model!AX19,0)</f>
        <v>0</v>
      </c>
      <c r="AY52" s="226">
        <f>IF(AY5&lt;=Debt_Refinance_Date,Constr_Phase_Model!AY19,0)</f>
        <v>0</v>
      </c>
      <c r="AZ52" s="226">
        <f>IF(AZ5&lt;=Debt_Refinance_Date,Constr_Phase_Model!AZ19,0)</f>
        <v>0</v>
      </c>
      <c r="BA52" s="226">
        <f>IF(BA5&lt;=Debt_Refinance_Date,Constr_Phase_Model!BA19,0)</f>
        <v>0</v>
      </c>
      <c r="BB52" s="226">
        <f>IF(BB5&lt;=Debt_Refinance_Date,Constr_Phase_Model!BB19,0)</f>
        <v>0</v>
      </c>
      <c r="BC52" s="226">
        <f>IF(BC5&lt;=Debt_Refinance_Date,Constr_Phase_Model!BC19,0)</f>
        <v>0</v>
      </c>
      <c r="BD52" s="226">
        <f>IF(BD5&lt;=Debt_Refinance_Date,Constr_Phase_Model!BD19,0)</f>
        <v>0</v>
      </c>
      <c r="BE52" s="226">
        <f>IF(BE5&lt;=Debt_Refinance_Date,Constr_Phase_Model!BE19,0)</f>
        <v>0</v>
      </c>
      <c r="BF52" s="226">
        <f>IF(BF5&lt;=Debt_Refinance_Date,Constr_Phase_Model!BF19,0)</f>
        <v>0</v>
      </c>
      <c r="BG52" s="226">
        <f>IF(BG5&lt;=Debt_Refinance_Date,Constr_Phase_Model!BG19,0)</f>
        <v>0</v>
      </c>
      <c r="BH52" s="226">
        <f>IF(BH5&lt;=Debt_Refinance_Date,Constr_Phase_Model!BH19,0)</f>
        <v>0</v>
      </c>
      <c r="BI52" s="226">
        <f>IF(BI5&lt;=Debt_Refinance_Date,Constr_Phase_Model!BI19,0)</f>
        <v>0</v>
      </c>
      <c r="BJ52" s="226">
        <f>IF(BJ5&lt;=Debt_Refinance_Date,Constr_Phase_Model!BJ19,0)</f>
        <v>0</v>
      </c>
      <c r="BK52" s="226">
        <f>IF(BK5&lt;=Debt_Refinance_Date,Constr_Phase_Model!BK19,0)</f>
        <v>0</v>
      </c>
      <c r="BL52" s="226">
        <f>IF(BL5&lt;=Debt_Refinance_Date,Constr_Phase_Model!BL19,0)</f>
        <v>0</v>
      </c>
      <c r="BM52" s="226">
        <f>IF(BM5&lt;=Debt_Refinance_Date,Constr_Phase_Model!BM19,0)</f>
        <v>0</v>
      </c>
      <c r="BN52" s="226">
        <f>IF(BN5&lt;=Debt_Refinance_Date,Constr_Phase_Model!BN19,0)</f>
        <v>0</v>
      </c>
      <c r="BO52" s="226">
        <f>IF(BO5&lt;=Debt_Refinance_Date,Constr_Phase_Model!BO19,0)</f>
        <v>0</v>
      </c>
      <c r="BP52" s="226">
        <f>IF(BP5&lt;=Debt_Refinance_Date,Constr_Phase_Model!BP19,0)</f>
        <v>0</v>
      </c>
      <c r="BQ52" s="226">
        <f>IF(BQ5&lt;=Debt_Refinance_Date,Constr_Phase_Model!BQ19,0)</f>
        <v>0</v>
      </c>
      <c r="BR52" s="226">
        <f>IF(BR5&lt;=Debt_Refinance_Date,Constr_Phase_Model!BR19,0)</f>
        <v>0</v>
      </c>
      <c r="BS52" s="226">
        <f>IF(BS5&lt;=Debt_Refinance_Date,Constr_Phase_Model!BS19,0)</f>
        <v>0</v>
      </c>
      <c r="BT52" s="226">
        <f>IF(BT5&lt;=Debt_Refinance_Date,Constr_Phase_Model!BT19,0)</f>
        <v>0</v>
      </c>
      <c r="BU52" s="226">
        <f>IF(BU5&lt;=Debt_Refinance_Date,Constr_Phase_Model!BU19,0)</f>
        <v>0</v>
      </c>
      <c r="BV52" s="226">
        <f>IF(BV5&lt;=Debt_Refinance_Date,Constr_Phase_Model!BV19,0)</f>
        <v>0</v>
      </c>
      <c r="BW52" s="226">
        <f>IF(BW5&lt;=Debt_Refinance_Date,Constr_Phase_Model!BW19,0)</f>
        <v>0</v>
      </c>
      <c r="BX52" s="226">
        <f>IF(BX5&lt;=Debt_Refinance_Date,Constr_Phase_Model!BX19,0)</f>
        <v>0</v>
      </c>
      <c r="BY52" s="226">
        <f>IF(BY5&lt;=Debt_Refinance_Date,Constr_Phase_Model!BY19,0)</f>
        <v>0</v>
      </c>
      <c r="BZ52" s="226">
        <f>IF(BZ5&lt;=Debt_Refinance_Date,Constr_Phase_Model!BZ19,0)</f>
        <v>0</v>
      </c>
      <c r="CA52" s="226">
        <f>IF(CA5&lt;=Debt_Refinance_Date,Constr_Phase_Model!CA19,0)</f>
        <v>0</v>
      </c>
      <c r="CB52" s="226">
        <f>IF(CB5&lt;=Debt_Refinance_Date,Constr_Phase_Model!CB19,0)</f>
        <v>0</v>
      </c>
      <c r="CC52" s="226">
        <f>IF(CC5&lt;=Debt_Refinance_Date,Constr_Phase_Model!CC19,0)</f>
        <v>0</v>
      </c>
      <c r="CD52" s="226">
        <f>IF(CD5&lt;=Debt_Refinance_Date,Constr_Phase_Model!CD19,0)</f>
        <v>0</v>
      </c>
      <c r="CE52" s="226">
        <f>IF(CE5&lt;=Debt_Refinance_Date,Constr_Phase_Model!CE19,0)</f>
        <v>0</v>
      </c>
      <c r="CF52" s="226">
        <f>IF(CF5&lt;=Debt_Refinance_Date,Constr_Phase_Model!CF19,0)</f>
        <v>0</v>
      </c>
      <c r="CG52" s="226">
        <f>IF(CG5&lt;=Debt_Refinance_Date,Constr_Phase_Model!CG19,0)</f>
        <v>0</v>
      </c>
      <c r="CH52" s="226">
        <f>IF(CH5&lt;=Debt_Refinance_Date,Constr_Phase_Model!CH19,0)</f>
        <v>0</v>
      </c>
      <c r="CI52" s="226">
        <f>IF(CI5&lt;=Debt_Refinance_Date,Constr_Phase_Model!CI19,0)</f>
        <v>0</v>
      </c>
      <c r="CJ52" s="226">
        <f>IF(CJ5&lt;=Debt_Refinance_Date,Constr_Phase_Model!CJ19,0)</f>
        <v>0</v>
      </c>
      <c r="CK52" s="226">
        <f>IF(CK5&lt;=Debt_Refinance_Date,Constr_Phase_Model!CK19,0)</f>
        <v>0</v>
      </c>
      <c r="CL52" s="226">
        <f>IF(CL5&lt;=Debt_Refinance_Date,Constr_Phase_Model!CL19,0)</f>
        <v>0</v>
      </c>
      <c r="CM52" s="226">
        <f>IF(CM5&lt;=Debt_Refinance_Date,Constr_Phase_Model!CM19,0)</f>
        <v>0</v>
      </c>
      <c r="CN52" s="226">
        <f>IF(CN5&lt;=Debt_Refinance_Date,Constr_Phase_Model!CN19,0)</f>
        <v>0</v>
      </c>
      <c r="CO52" s="226">
        <f>IF(CO5&lt;=Debt_Refinance_Date,Constr_Phase_Model!CO19,0)</f>
        <v>0</v>
      </c>
      <c r="CP52" s="226">
        <f>IF(CP5&lt;=Debt_Refinance_Date,Constr_Phase_Model!CP19,0)</f>
        <v>0</v>
      </c>
      <c r="CQ52" s="226">
        <f>IF(CQ5&lt;=Debt_Refinance_Date,Constr_Phase_Model!CQ19,0)</f>
        <v>0</v>
      </c>
      <c r="CR52" s="226">
        <f>IF(CR5&lt;=Debt_Refinance_Date,Constr_Phase_Model!CR19,0)</f>
        <v>0</v>
      </c>
      <c r="CS52" s="226">
        <f>IF(CS5&lt;=Debt_Refinance_Date,Constr_Phase_Model!CS19,0)</f>
        <v>0</v>
      </c>
      <c r="CT52" s="226">
        <f>IF(CT5&lt;=Debt_Refinance_Date,Constr_Phase_Model!CT19,0)</f>
        <v>0</v>
      </c>
      <c r="CU52" s="252">
        <f>IF(CU5&lt;=Debt_Refinance_Date,Constr_Phase_Model!CU19,0)</f>
        <v>0</v>
      </c>
      <c r="CV52" s="226">
        <f>IF(CV5&lt;=Debt_Refinance_Date,Constr_Phase_Model!CV19,0)</f>
        <v>0</v>
      </c>
      <c r="CW52" s="226">
        <f>IF(CW5&lt;=Debt_Refinance_Date,Constr_Phase_Model!CW19,0)</f>
        <v>0</v>
      </c>
      <c r="CX52" s="226">
        <f>IF(CX5&lt;=Debt_Refinance_Date,Constr_Phase_Model!CX19,0)</f>
        <v>0</v>
      </c>
      <c r="CY52" s="226">
        <f>IF(CY5&lt;=Debt_Refinance_Date,Constr_Phase_Model!CY19,0)</f>
        <v>0</v>
      </c>
      <c r="CZ52" s="226">
        <f>IF(CZ5&lt;=Debt_Refinance_Date,Constr_Phase_Model!CZ19,0)</f>
        <v>0</v>
      </c>
      <c r="DA52" s="226">
        <f>IF(DA5&lt;=Debt_Refinance_Date,Constr_Phase_Model!DA19,0)</f>
        <v>0</v>
      </c>
      <c r="DB52" s="226">
        <f>IF(DB5&lt;=Debt_Refinance_Date,Constr_Phase_Model!DB19,0)</f>
        <v>0</v>
      </c>
      <c r="DC52" s="226">
        <f>IF(DC5&lt;=Debt_Refinance_Date,Constr_Phase_Model!DC19,0)</f>
        <v>0</v>
      </c>
      <c r="DD52" s="226">
        <f>IF(DD5&lt;=Debt_Refinance_Date,Constr_Phase_Model!DD19,0)</f>
        <v>0</v>
      </c>
      <c r="DE52" s="226">
        <f>IF(DE5&lt;=Debt_Refinance_Date,Constr_Phase_Model!DE19,0)</f>
        <v>0</v>
      </c>
      <c r="DF52" s="226">
        <f>IF(DF5&lt;=Debt_Refinance_Date,Constr_Phase_Model!DF19,0)</f>
        <v>0</v>
      </c>
      <c r="DG52" s="226">
        <f>IF(DG5&lt;=Debt_Refinance_Date,Constr_Phase_Model!DG19,0)</f>
        <v>0</v>
      </c>
      <c r="DH52" s="226">
        <f>IF(DH5&lt;=Debt_Refinance_Date,Constr_Phase_Model!DH19,0)</f>
        <v>0</v>
      </c>
      <c r="DI52" s="226">
        <f>IF(DI5&lt;=Debt_Refinance_Date,Constr_Phase_Model!DI19,0)</f>
        <v>0</v>
      </c>
      <c r="DJ52" s="226">
        <f>IF(DJ5&lt;=Debt_Refinance_Date,Constr_Phase_Model!DJ19,0)</f>
        <v>0</v>
      </c>
      <c r="DK52" s="226">
        <f>IF(DK5&lt;=Debt_Refinance_Date,Constr_Phase_Model!DK19,0)</f>
        <v>0</v>
      </c>
      <c r="DL52" s="226">
        <f>IF(DL5&lt;=Debt_Refinance_Date,Constr_Phase_Model!DL19,0)</f>
        <v>0</v>
      </c>
      <c r="DM52" s="226">
        <f>IF(DM5&lt;=Debt_Refinance_Date,Constr_Phase_Model!DM19,0)</f>
        <v>0</v>
      </c>
      <c r="DN52" s="226">
        <f>IF(DN5&lt;=Debt_Refinance_Date,Constr_Phase_Model!DN19,0)</f>
        <v>0</v>
      </c>
      <c r="DO52" s="226">
        <f>IF(DO5&lt;=Debt_Refinance_Date,Constr_Phase_Model!DO19,0)</f>
        <v>0</v>
      </c>
      <c r="DP52" s="226">
        <f>IF(DP5&lt;=Debt_Refinance_Date,Constr_Phase_Model!DP19,0)</f>
        <v>0</v>
      </c>
      <c r="DQ52" s="226">
        <f>IF(DQ5&lt;=Debt_Refinance_Date,Constr_Phase_Model!DQ19,0)</f>
        <v>0</v>
      </c>
      <c r="DR52" s="226">
        <f>IF(DR5&lt;=Debt_Refinance_Date,Constr_Phase_Model!DR19,0)</f>
        <v>0</v>
      </c>
      <c r="DS52" s="226">
        <f>IF(DS5&lt;=Debt_Refinance_Date,Constr_Phase_Model!DS19,0)</f>
        <v>0</v>
      </c>
      <c r="DT52" s="226">
        <f>IF(DT5&lt;=Debt_Refinance_Date,Constr_Phase_Model!DT19,0)</f>
        <v>0</v>
      </c>
      <c r="DU52" s="226">
        <f>IF(DU5&lt;=Debt_Refinance_Date,Constr_Phase_Model!DU19,0)</f>
        <v>0</v>
      </c>
      <c r="DV52" s="226">
        <f>IF(DV5&lt;=Debt_Refinance_Date,Constr_Phase_Model!DV19,0)</f>
        <v>0</v>
      </c>
      <c r="DW52" s="226">
        <f>IF(DW5&lt;=Debt_Refinance_Date,Constr_Phase_Model!DW19,0)</f>
        <v>0</v>
      </c>
      <c r="DX52" s="226">
        <f>IF(DX5&lt;=Debt_Refinance_Date,Constr_Phase_Model!DX19,0)</f>
        <v>0</v>
      </c>
      <c r="DY52" s="226">
        <f>IF(DY5&lt;=Debt_Refinance_Date,Constr_Phase_Model!DY19,0)</f>
        <v>0</v>
      </c>
      <c r="DZ52" s="226">
        <f>IF(DZ5&lt;=Debt_Refinance_Date,Constr_Phase_Model!DZ19,0)</f>
        <v>0</v>
      </c>
      <c r="EA52" s="226">
        <f>IF(EA5&lt;=Debt_Refinance_Date,Constr_Phase_Model!EA19,0)</f>
        <v>0</v>
      </c>
      <c r="EB52" s="226">
        <f>IF(EB5&lt;=Debt_Refinance_Date,Constr_Phase_Model!EB19,0)</f>
        <v>0</v>
      </c>
      <c r="EC52" s="226">
        <f>IF(EC5&lt;=Debt_Refinance_Date,Constr_Phase_Model!EC19,0)</f>
        <v>0</v>
      </c>
      <c r="ED52" s="226">
        <f>IF(ED5&lt;=Debt_Refinance_Date,Constr_Phase_Model!ED19,0)</f>
        <v>0</v>
      </c>
      <c r="EE52" s="226">
        <f>IF(EE5&lt;=Debt_Refinance_Date,Constr_Phase_Model!EE19,0)</f>
        <v>0</v>
      </c>
      <c r="EF52" s="226">
        <f>IF(EF5&lt;=Debt_Refinance_Date,Constr_Phase_Model!EF19,0)</f>
        <v>0</v>
      </c>
      <c r="EG52" s="226">
        <f>IF(EG5&lt;=Debt_Refinance_Date,Constr_Phase_Model!EG19,0)</f>
        <v>0</v>
      </c>
      <c r="EH52" s="226">
        <f>IF(EH5&lt;=Debt_Refinance_Date,Constr_Phase_Model!EH19,0)</f>
        <v>0</v>
      </c>
      <c r="EI52" s="226">
        <f>IF(EI5&lt;=Debt_Refinance_Date,Constr_Phase_Model!EI19,0)</f>
        <v>0</v>
      </c>
      <c r="EJ52" s="226">
        <f>IF(EJ5&lt;=Debt_Refinance_Date,Constr_Phase_Model!EJ19,0)</f>
        <v>0</v>
      </c>
      <c r="EK52" s="226">
        <f>IF(EK5&lt;=Debt_Refinance_Date,Constr_Phase_Model!EK19,0)</f>
        <v>0</v>
      </c>
      <c r="EL52" s="226">
        <f>IF(EL5&lt;=Debt_Refinance_Date,Constr_Phase_Model!EL19,0)</f>
        <v>0</v>
      </c>
      <c r="EM52" s="226">
        <f>IF(EM5&lt;=Debt_Refinance_Date,Constr_Phase_Model!EM19,0)</f>
        <v>0</v>
      </c>
      <c r="EN52" s="226">
        <f>IF(EN5&lt;=Debt_Refinance_Date,Constr_Phase_Model!EN19,0)</f>
        <v>0</v>
      </c>
      <c r="EO52" s="226">
        <f>IF(EO5&lt;=Debt_Refinance_Date,Constr_Phase_Model!EO19,0)</f>
        <v>0</v>
      </c>
      <c r="EP52" s="226">
        <f>IF(EP5&lt;=Debt_Refinance_Date,Constr_Phase_Model!EP19,0)</f>
        <v>0</v>
      </c>
      <c r="EQ52" s="226">
        <f>IF(EQ5&lt;=Debt_Refinance_Date,Constr_Phase_Model!EQ19,0)</f>
        <v>0</v>
      </c>
      <c r="ER52" s="226">
        <f>IF(ER5&lt;=Debt_Refinance_Date,Constr_Phase_Model!ER19,0)</f>
        <v>0</v>
      </c>
      <c r="ES52" s="226">
        <f>IF(ES5&lt;=Debt_Refinance_Date,Constr_Phase_Model!ES19,0)</f>
        <v>0</v>
      </c>
      <c r="ET52" s="226">
        <f>IF(ET5&lt;=Debt_Refinance_Date,Constr_Phase_Model!ET19,0)</f>
        <v>0</v>
      </c>
      <c r="EU52" s="226">
        <f>IF(EU5&lt;=Debt_Refinance_Date,Constr_Phase_Model!EU19,0)</f>
        <v>0</v>
      </c>
      <c r="EV52" s="226">
        <f>IF(EV5&lt;=Debt_Refinance_Date,Constr_Phase_Model!EV19,0)</f>
        <v>0</v>
      </c>
      <c r="EW52" s="226">
        <f>IF(EW5&lt;=Debt_Refinance_Date,Constr_Phase_Model!EW19,0)</f>
        <v>0</v>
      </c>
      <c r="EX52" s="226">
        <f>IF(EX5&lt;=Debt_Refinance_Date,Constr_Phase_Model!EX19,0)</f>
        <v>0</v>
      </c>
      <c r="EY52" s="226">
        <f>IF(EY5&lt;=Debt_Refinance_Date,Constr_Phase_Model!EY19,0)</f>
        <v>0</v>
      </c>
      <c r="EZ52" s="226">
        <f>IF(EZ5&lt;=Debt_Refinance_Date,Constr_Phase_Model!EZ19,0)</f>
        <v>0</v>
      </c>
      <c r="FA52" s="226">
        <f>IF(FA5&lt;=Debt_Refinance_Date,Constr_Phase_Model!FA19,0)</f>
        <v>0</v>
      </c>
    </row>
    <row r="53" spans="2:157" outlineLevel="1" x14ac:dyDescent="0.2">
      <c r="B53" s="1"/>
      <c r="C53" s="30" t="s">
        <v>403</v>
      </c>
      <c r="D53" s="130" t="s">
        <v>286</v>
      </c>
      <c r="E53" s="213">
        <f ca="1">SUM(G53:FA53)</f>
        <v>1493.0797885808711</v>
      </c>
      <c r="F53" s="21"/>
      <c r="G53" s="226">
        <f>IF(AND(G5&gt;=Debt_Refinance_Date,G5&lt;CfD_Expiry_Date),($E$175+$E$176)*Inputs_Assumptions!$E$170,0)</f>
        <v>0</v>
      </c>
      <c r="H53" s="226">
        <f>IF(AND(H5&gt;=Debt_Refinance_Date,H5&lt;CfD_Expiry_Date),($E$175+$E$176)*Inputs_Assumptions!$E$170,0)</f>
        <v>0</v>
      </c>
      <c r="I53" s="226">
        <f>IF(AND(I5&gt;=Debt_Refinance_Date,I5&lt;CfD_Expiry_Date),($E$175+$E$176)*Inputs_Assumptions!$E$170,0)</f>
        <v>0</v>
      </c>
      <c r="J53" s="226">
        <f>IF(AND(J5&gt;=Debt_Refinance_Date,J5&lt;CfD_Expiry_Date),($E$175+$E$176)*Inputs_Assumptions!$E$170,0)</f>
        <v>0</v>
      </c>
      <c r="K53" s="226">
        <f>IF(AND(K5&gt;=Debt_Refinance_Date,K5&lt;CfD_Expiry_Date),($E$175+$E$176)*Inputs_Assumptions!$E$170,0)</f>
        <v>0</v>
      </c>
      <c r="L53" s="226">
        <f>IF(AND(L5&gt;=Debt_Refinance_Date,L5&lt;CfD_Expiry_Date),($E$175+$E$176)*Inputs_Assumptions!$E$170,0)</f>
        <v>0</v>
      </c>
      <c r="M53" s="226">
        <f>IF(AND(M5&gt;=Debt_Refinance_Date,M5&lt;CfD_Expiry_Date),($E$175+$E$176)*Inputs_Assumptions!$E$170,0)</f>
        <v>0</v>
      </c>
      <c r="N53" s="226">
        <f>IF(AND(N5&gt;=Debt_Refinance_Date,N5&lt;CfD_Expiry_Date),($E$175+$E$176)*Inputs_Assumptions!$E$170,0)</f>
        <v>0</v>
      </c>
      <c r="O53" s="226">
        <f>IF(AND(O5&gt;=Debt_Refinance_Date,O5&lt;CfD_Expiry_Date),($E$175+$E$176)*Inputs_Assumptions!$E$170,0)</f>
        <v>0</v>
      </c>
      <c r="P53" s="226">
        <f>IF(AND(P5&gt;=Debt_Refinance_Date,P5&lt;CfD_Expiry_Date),($E$175+$E$176)*Inputs_Assumptions!$E$170,0)</f>
        <v>0</v>
      </c>
      <c r="Q53" s="226">
        <f>IF(AND(Q5&gt;=Debt_Refinance_Date,Q5&lt;CfD_Expiry_Date),($E$175+$E$176)*Inputs_Assumptions!$E$170,0)</f>
        <v>0</v>
      </c>
      <c r="R53" s="226">
        <f>IF(AND(R5&gt;=Debt_Refinance_Date,R5&lt;CfD_Expiry_Date),($E$175+$E$176)*Inputs_Assumptions!$E$170,0)</f>
        <v>0</v>
      </c>
      <c r="S53" s="226">
        <f>IF(AND(S5&gt;=Debt_Refinance_Date,S5&lt;CfD_Expiry_Date),($E$175+$E$176)*Inputs_Assumptions!$E$170,0)</f>
        <v>0</v>
      </c>
      <c r="T53" s="226">
        <f>IF(AND(T5&gt;=Debt_Refinance_Date,T5&lt;CfD_Expiry_Date),($E$175+$E$176)*Inputs_Assumptions!$E$170,0)</f>
        <v>0</v>
      </c>
      <c r="U53" s="226">
        <f>IF(AND(U5&gt;=Debt_Refinance_Date,U5&lt;CfD_Expiry_Date),($E$175+$E$176)*Inputs_Assumptions!$E$170,0)</f>
        <v>0</v>
      </c>
      <c r="V53" s="226">
        <f>IF(AND(V5&gt;=Debt_Refinance_Date,V5&lt;CfD_Expiry_Date),($E$175+$E$176)*Inputs_Assumptions!$E$170,0)</f>
        <v>0</v>
      </c>
      <c r="W53" s="226">
        <f ca="1">IF(AND(W5&gt;=Debt_Refinance_Date,W5&lt;CfD_Expiry_Date),($E$175+$E$176)*Inputs_Assumptions!$E$170,0)</f>
        <v>19.645786691853552</v>
      </c>
      <c r="X53" s="226">
        <f ca="1">IF(AND(X5&gt;=Debt_Refinance_Date,X5&lt;CfD_Expiry_Date),($E$175+$E$176)*Inputs_Assumptions!$E$170,0)</f>
        <v>19.645786691853552</v>
      </c>
      <c r="Y53" s="226">
        <f ca="1">IF(AND(Y5&gt;=Debt_Refinance_Date,Y5&lt;CfD_Expiry_Date),($E$175+$E$176)*Inputs_Assumptions!$E$170,0)</f>
        <v>19.645786691853552</v>
      </c>
      <c r="Z53" s="226">
        <f ca="1">IF(AND(Z5&gt;=Debt_Refinance_Date,Z5&lt;CfD_Expiry_Date),($E$175+$E$176)*Inputs_Assumptions!$E$170,0)</f>
        <v>19.645786691853552</v>
      </c>
      <c r="AA53" s="226">
        <f ca="1">IF(AND(AA5&gt;=Debt_Refinance_Date,AA5&lt;CfD_Expiry_Date),($E$175+$E$176)*Inputs_Assumptions!$E$170,0)</f>
        <v>19.645786691853552</v>
      </c>
      <c r="AB53" s="226">
        <f ca="1">IF(AND(AB5&gt;=Debt_Refinance_Date,AB5&lt;CfD_Expiry_Date),($E$175+$E$176)*Inputs_Assumptions!$E$170,0)</f>
        <v>19.645786691853552</v>
      </c>
      <c r="AC53" s="226">
        <f ca="1">IF(AND(AC5&gt;=Debt_Refinance_Date,AC5&lt;CfD_Expiry_Date),($E$175+$E$176)*Inputs_Assumptions!$E$170,0)</f>
        <v>19.645786691853552</v>
      </c>
      <c r="AD53" s="226">
        <f ca="1">IF(AND(AD5&gt;=Debt_Refinance_Date,AD5&lt;CfD_Expiry_Date),($E$175+$E$176)*Inputs_Assumptions!$E$170,0)</f>
        <v>19.645786691853552</v>
      </c>
      <c r="AE53" s="226">
        <f ca="1">IF(AND(AE5&gt;=Debt_Refinance_Date,AE5&lt;CfD_Expiry_Date),($E$175+$E$176)*Inputs_Assumptions!$E$170,0)</f>
        <v>19.645786691853552</v>
      </c>
      <c r="AF53" s="226">
        <f ca="1">IF(AND(AF5&gt;=Debt_Refinance_Date,AF5&lt;CfD_Expiry_Date),($E$175+$E$176)*Inputs_Assumptions!$E$170,0)</f>
        <v>19.645786691853552</v>
      </c>
      <c r="AG53" s="226">
        <f ca="1">IF(AND(AG5&gt;=Debt_Refinance_Date,AG5&lt;CfD_Expiry_Date),($E$175+$E$176)*Inputs_Assumptions!$E$170,0)</f>
        <v>19.645786691853552</v>
      </c>
      <c r="AH53" s="226">
        <f ca="1">IF(AND(AH5&gt;=Debt_Refinance_Date,AH5&lt;CfD_Expiry_Date),($E$175+$E$176)*Inputs_Assumptions!$E$170,0)</f>
        <v>19.645786691853552</v>
      </c>
      <c r="AI53" s="226">
        <f ca="1">IF(AND(AI5&gt;=Debt_Refinance_Date,AI5&lt;CfD_Expiry_Date),($E$175+$E$176)*Inputs_Assumptions!$E$170,0)</f>
        <v>19.645786691853552</v>
      </c>
      <c r="AJ53" s="226">
        <f ca="1">IF(AND(AJ5&gt;=Debt_Refinance_Date,AJ5&lt;CfD_Expiry_Date),($E$175+$E$176)*Inputs_Assumptions!$E$170,0)</f>
        <v>19.645786691853552</v>
      </c>
      <c r="AK53" s="226">
        <f ca="1">IF(AND(AK5&gt;=Debt_Refinance_Date,AK5&lt;CfD_Expiry_Date),($E$175+$E$176)*Inputs_Assumptions!$E$170,0)</f>
        <v>19.645786691853552</v>
      </c>
      <c r="AL53" s="226">
        <f ca="1">IF(AND(AL5&gt;=Debt_Refinance_Date,AL5&lt;CfD_Expiry_Date),($E$175+$E$176)*Inputs_Assumptions!$E$170,0)</f>
        <v>19.645786691853552</v>
      </c>
      <c r="AM53" s="226">
        <f ca="1">IF(AND(AM5&gt;=Debt_Refinance_Date,AM5&lt;CfD_Expiry_Date),($E$175+$E$176)*Inputs_Assumptions!$E$170,0)</f>
        <v>19.645786691853552</v>
      </c>
      <c r="AN53" s="226">
        <f ca="1">IF(AND(AN5&gt;=Debt_Refinance_Date,AN5&lt;CfD_Expiry_Date),($E$175+$E$176)*Inputs_Assumptions!$E$170,0)</f>
        <v>19.645786691853552</v>
      </c>
      <c r="AO53" s="226">
        <f ca="1">IF(AND(AO5&gt;=Debt_Refinance_Date,AO5&lt;CfD_Expiry_Date),($E$175+$E$176)*Inputs_Assumptions!$E$170,0)</f>
        <v>19.645786691853552</v>
      </c>
      <c r="AP53" s="226">
        <f ca="1">IF(AND(AP5&gt;=Debt_Refinance_Date,AP5&lt;CfD_Expiry_Date),($E$175+$E$176)*Inputs_Assumptions!$E$170,0)</f>
        <v>19.645786691853552</v>
      </c>
      <c r="AQ53" s="226">
        <f ca="1">IF(AND(AQ5&gt;=Debt_Refinance_Date,AQ5&lt;CfD_Expiry_Date),($E$175+$E$176)*Inputs_Assumptions!$E$170,0)</f>
        <v>19.645786691853552</v>
      </c>
      <c r="AR53" s="226">
        <f ca="1">IF(AND(AR5&gt;=Debt_Refinance_Date,AR5&lt;CfD_Expiry_Date),($E$175+$E$176)*Inputs_Assumptions!$E$170,0)</f>
        <v>19.645786691853552</v>
      </c>
      <c r="AS53" s="226">
        <f ca="1">IF(AND(AS5&gt;=Debt_Refinance_Date,AS5&lt;CfD_Expiry_Date),($E$175+$E$176)*Inputs_Assumptions!$E$170,0)</f>
        <v>19.645786691853552</v>
      </c>
      <c r="AT53" s="226">
        <f ca="1">IF(AND(AT5&gt;=Debt_Refinance_Date,AT5&lt;CfD_Expiry_Date),($E$175+$E$176)*Inputs_Assumptions!$E$170,0)</f>
        <v>19.645786691853552</v>
      </c>
      <c r="AU53" s="226">
        <f ca="1">IF(AND(AU5&gt;=Debt_Refinance_Date,AU5&lt;CfD_Expiry_Date),($E$175+$E$176)*Inputs_Assumptions!$E$170,0)</f>
        <v>19.645786691853552</v>
      </c>
      <c r="AV53" s="226">
        <f ca="1">IF(AND(AV5&gt;=Debt_Refinance_Date,AV5&lt;CfD_Expiry_Date),($E$175+$E$176)*Inputs_Assumptions!$E$170,0)</f>
        <v>19.645786691853552</v>
      </c>
      <c r="AW53" s="226">
        <f ca="1">IF(AND(AW5&gt;=Debt_Refinance_Date,AW5&lt;CfD_Expiry_Date),($E$175+$E$176)*Inputs_Assumptions!$E$170,0)</f>
        <v>19.645786691853552</v>
      </c>
      <c r="AX53" s="226">
        <f ca="1">IF(AND(AX5&gt;=Debt_Refinance_Date,AX5&lt;CfD_Expiry_Date),($E$175+$E$176)*Inputs_Assumptions!$E$170,0)</f>
        <v>19.645786691853552</v>
      </c>
      <c r="AY53" s="226">
        <f ca="1">IF(AND(AY5&gt;=Debt_Refinance_Date,AY5&lt;CfD_Expiry_Date),($E$175+$E$176)*Inputs_Assumptions!$E$170,0)</f>
        <v>19.645786691853552</v>
      </c>
      <c r="AZ53" s="226">
        <f ca="1">IF(AND(AZ5&gt;=Debt_Refinance_Date,AZ5&lt;CfD_Expiry_Date),($E$175+$E$176)*Inputs_Assumptions!$E$170,0)</f>
        <v>19.645786691853552</v>
      </c>
      <c r="BA53" s="226">
        <f ca="1">IF(AND(BA5&gt;=Debt_Refinance_Date,BA5&lt;CfD_Expiry_Date),($E$175+$E$176)*Inputs_Assumptions!$E$170,0)</f>
        <v>19.645786691853552</v>
      </c>
      <c r="BB53" s="226">
        <f ca="1">IF(AND(BB5&gt;=Debt_Refinance_Date,BB5&lt;CfD_Expiry_Date),($E$175+$E$176)*Inputs_Assumptions!$E$170,0)</f>
        <v>19.645786691853552</v>
      </c>
      <c r="BC53" s="226">
        <f ca="1">IF(AND(BC5&gt;=Debt_Refinance_Date,BC5&lt;CfD_Expiry_Date),($E$175+$E$176)*Inputs_Assumptions!$E$170,0)</f>
        <v>19.645786691853552</v>
      </c>
      <c r="BD53" s="226">
        <f ca="1">IF(AND(BD5&gt;=Debt_Refinance_Date,BD5&lt;CfD_Expiry_Date),($E$175+$E$176)*Inputs_Assumptions!$E$170,0)</f>
        <v>19.645786691853552</v>
      </c>
      <c r="BE53" s="226">
        <f ca="1">IF(AND(BE5&gt;=Debt_Refinance_Date,BE5&lt;CfD_Expiry_Date),($E$175+$E$176)*Inputs_Assumptions!$E$170,0)</f>
        <v>19.645786691853552</v>
      </c>
      <c r="BF53" s="226">
        <f ca="1">IF(AND(BF5&gt;=Debt_Refinance_Date,BF5&lt;CfD_Expiry_Date),($E$175+$E$176)*Inputs_Assumptions!$E$170,0)</f>
        <v>19.645786691853552</v>
      </c>
      <c r="BG53" s="226">
        <f ca="1">IF(AND(BG5&gt;=Debt_Refinance_Date,BG5&lt;CfD_Expiry_Date),($E$175+$E$176)*Inputs_Assumptions!$E$170,0)</f>
        <v>19.645786691853552</v>
      </c>
      <c r="BH53" s="226">
        <f ca="1">IF(AND(BH5&gt;=Debt_Refinance_Date,BH5&lt;CfD_Expiry_Date),($E$175+$E$176)*Inputs_Assumptions!$E$170,0)</f>
        <v>19.645786691853552</v>
      </c>
      <c r="BI53" s="226">
        <f ca="1">IF(AND(BI5&gt;=Debt_Refinance_Date,BI5&lt;CfD_Expiry_Date),($E$175+$E$176)*Inputs_Assumptions!$E$170,0)</f>
        <v>19.645786691853552</v>
      </c>
      <c r="BJ53" s="226">
        <f ca="1">IF(AND(BJ5&gt;=Debt_Refinance_Date,BJ5&lt;CfD_Expiry_Date),($E$175+$E$176)*Inputs_Assumptions!$E$170,0)</f>
        <v>19.645786691853552</v>
      </c>
      <c r="BK53" s="226">
        <f ca="1">IF(AND(BK5&gt;=Debt_Refinance_Date,BK5&lt;CfD_Expiry_Date),($E$175+$E$176)*Inputs_Assumptions!$E$170,0)</f>
        <v>19.645786691853552</v>
      </c>
      <c r="BL53" s="226">
        <f ca="1">IF(AND(BL5&gt;=Debt_Refinance_Date,BL5&lt;CfD_Expiry_Date),($E$175+$E$176)*Inputs_Assumptions!$E$170,0)</f>
        <v>19.645786691853552</v>
      </c>
      <c r="BM53" s="226">
        <f ca="1">IF(AND(BM5&gt;=Debt_Refinance_Date,BM5&lt;CfD_Expiry_Date),($E$175+$E$176)*Inputs_Assumptions!$E$170,0)</f>
        <v>19.645786691853552</v>
      </c>
      <c r="BN53" s="226">
        <f ca="1">IF(AND(BN5&gt;=Debt_Refinance_Date,BN5&lt;CfD_Expiry_Date),($E$175+$E$176)*Inputs_Assumptions!$E$170,0)</f>
        <v>19.645786691853552</v>
      </c>
      <c r="BO53" s="226">
        <f ca="1">IF(AND(BO5&gt;=Debt_Refinance_Date,BO5&lt;CfD_Expiry_Date),($E$175+$E$176)*Inputs_Assumptions!$E$170,0)</f>
        <v>19.645786691853552</v>
      </c>
      <c r="BP53" s="226">
        <f ca="1">IF(AND(BP5&gt;=Debt_Refinance_Date,BP5&lt;CfD_Expiry_Date),($E$175+$E$176)*Inputs_Assumptions!$E$170,0)</f>
        <v>19.645786691853552</v>
      </c>
      <c r="BQ53" s="226">
        <f ca="1">IF(AND(BQ5&gt;=Debt_Refinance_Date,BQ5&lt;CfD_Expiry_Date),($E$175+$E$176)*Inputs_Assumptions!$E$170,0)</f>
        <v>19.645786691853552</v>
      </c>
      <c r="BR53" s="226">
        <f ca="1">IF(AND(BR5&gt;=Debt_Refinance_Date,BR5&lt;CfD_Expiry_Date),($E$175+$E$176)*Inputs_Assumptions!$E$170,0)</f>
        <v>19.645786691853552</v>
      </c>
      <c r="BS53" s="226">
        <f ca="1">IF(AND(BS5&gt;=Debt_Refinance_Date,BS5&lt;CfD_Expiry_Date),($E$175+$E$176)*Inputs_Assumptions!$E$170,0)</f>
        <v>19.645786691853552</v>
      </c>
      <c r="BT53" s="226">
        <f ca="1">IF(AND(BT5&gt;=Debt_Refinance_Date,BT5&lt;CfD_Expiry_Date),($E$175+$E$176)*Inputs_Assumptions!$E$170,0)</f>
        <v>19.645786691853552</v>
      </c>
      <c r="BU53" s="226">
        <f ca="1">IF(AND(BU5&gt;=Debt_Refinance_Date,BU5&lt;CfD_Expiry_Date),($E$175+$E$176)*Inputs_Assumptions!$E$170,0)</f>
        <v>19.645786691853552</v>
      </c>
      <c r="BV53" s="226">
        <f ca="1">IF(AND(BV5&gt;=Debt_Refinance_Date,BV5&lt;CfD_Expiry_Date),($E$175+$E$176)*Inputs_Assumptions!$E$170,0)</f>
        <v>19.645786691853552</v>
      </c>
      <c r="BW53" s="226">
        <f ca="1">IF(AND(BW5&gt;=Debt_Refinance_Date,BW5&lt;CfD_Expiry_Date),($E$175+$E$176)*Inputs_Assumptions!$E$170,0)</f>
        <v>19.645786691853552</v>
      </c>
      <c r="BX53" s="226">
        <f ca="1">IF(AND(BX5&gt;=Debt_Refinance_Date,BX5&lt;CfD_Expiry_Date),($E$175+$E$176)*Inputs_Assumptions!$E$170,0)</f>
        <v>19.645786691853552</v>
      </c>
      <c r="BY53" s="226">
        <f ca="1">IF(AND(BY5&gt;=Debt_Refinance_Date,BY5&lt;CfD_Expiry_Date),($E$175+$E$176)*Inputs_Assumptions!$E$170,0)</f>
        <v>19.645786691853552</v>
      </c>
      <c r="BZ53" s="226">
        <f ca="1">IF(AND(BZ5&gt;=Debt_Refinance_Date,BZ5&lt;CfD_Expiry_Date),($E$175+$E$176)*Inputs_Assumptions!$E$170,0)</f>
        <v>19.645786691853552</v>
      </c>
      <c r="CA53" s="226">
        <f ca="1">IF(AND(CA5&gt;=Debt_Refinance_Date,CA5&lt;CfD_Expiry_Date),($E$175+$E$176)*Inputs_Assumptions!$E$170,0)</f>
        <v>19.645786691853552</v>
      </c>
      <c r="CB53" s="226">
        <f ca="1">IF(AND(CB5&gt;=Debt_Refinance_Date,CB5&lt;CfD_Expiry_Date),($E$175+$E$176)*Inputs_Assumptions!$E$170,0)</f>
        <v>19.645786691853552</v>
      </c>
      <c r="CC53" s="226">
        <f ca="1">IF(AND(CC5&gt;=Debt_Refinance_Date,CC5&lt;CfD_Expiry_Date),($E$175+$E$176)*Inputs_Assumptions!$E$170,0)</f>
        <v>19.645786691853552</v>
      </c>
      <c r="CD53" s="226">
        <f ca="1">IF(AND(CD5&gt;=Debt_Refinance_Date,CD5&lt;CfD_Expiry_Date),($E$175+$E$176)*Inputs_Assumptions!$E$170,0)</f>
        <v>19.645786691853552</v>
      </c>
      <c r="CE53" s="226">
        <f ca="1">IF(AND(CE5&gt;=Debt_Refinance_Date,CE5&lt;CfD_Expiry_Date),($E$175+$E$176)*Inputs_Assumptions!$E$170,0)</f>
        <v>19.645786691853552</v>
      </c>
      <c r="CF53" s="226">
        <f ca="1">IF(AND(CF5&gt;=Debt_Refinance_Date,CF5&lt;CfD_Expiry_Date),($E$175+$E$176)*Inputs_Assumptions!$E$170,0)</f>
        <v>19.645786691853552</v>
      </c>
      <c r="CG53" s="226">
        <f ca="1">IF(AND(CG5&gt;=Debt_Refinance_Date,CG5&lt;CfD_Expiry_Date),($E$175+$E$176)*Inputs_Assumptions!$E$170,0)</f>
        <v>19.645786691853552</v>
      </c>
      <c r="CH53" s="226">
        <f ca="1">IF(AND(CH5&gt;=Debt_Refinance_Date,CH5&lt;CfD_Expiry_Date),($E$175+$E$176)*Inputs_Assumptions!$E$170,0)</f>
        <v>19.645786691853552</v>
      </c>
      <c r="CI53" s="226">
        <f ca="1">IF(AND(CI5&gt;=Debt_Refinance_Date,CI5&lt;CfD_Expiry_Date),($E$175+$E$176)*Inputs_Assumptions!$E$170,0)</f>
        <v>19.645786691853552</v>
      </c>
      <c r="CJ53" s="226">
        <f ca="1">IF(AND(CJ5&gt;=Debt_Refinance_Date,CJ5&lt;CfD_Expiry_Date),($E$175+$E$176)*Inputs_Assumptions!$E$170,0)</f>
        <v>19.645786691853552</v>
      </c>
      <c r="CK53" s="226">
        <f ca="1">IF(AND(CK5&gt;=Debt_Refinance_Date,CK5&lt;CfD_Expiry_Date),($E$175+$E$176)*Inputs_Assumptions!$E$170,0)</f>
        <v>19.645786691853552</v>
      </c>
      <c r="CL53" s="226">
        <f ca="1">IF(AND(CL5&gt;=Debt_Refinance_Date,CL5&lt;CfD_Expiry_Date),($E$175+$E$176)*Inputs_Assumptions!$E$170,0)</f>
        <v>19.645786691853552</v>
      </c>
      <c r="CM53" s="226">
        <f ca="1">IF(AND(CM5&gt;=Debt_Refinance_Date,CM5&lt;CfD_Expiry_Date),($E$175+$E$176)*Inputs_Assumptions!$E$170,0)</f>
        <v>19.645786691853552</v>
      </c>
      <c r="CN53" s="226">
        <f ca="1">IF(AND(CN5&gt;=Debt_Refinance_Date,CN5&lt;CfD_Expiry_Date),($E$175+$E$176)*Inputs_Assumptions!$E$170,0)</f>
        <v>19.645786691853552</v>
      </c>
      <c r="CO53" s="226">
        <f ca="1">IF(AND(CO5&gt;=Debt_Refinance_Date,CO5&lt;CfD_Expiry_Date),($E$175+$E$176)*Inputs_Assumptions!$E$170,0)</f>
        <v>19.645786691853552</v>
      </c>
      <c r="CP53" s="226">
        <f ca="1">IF(AND(CP5&gt;=Debt_Refinance_Date,CP5&lt;CfD_Expiry_Date),($E$175+$E$176)*Inputs_Assumptions!$E$170,0)</f>
        <v>19.645786691853552</v>
      </c>
      <c r="CQ53" s="226">
        <f ca="1">IF(AND(CQ5&gt;=Debt_Refinance_Date,CQ5&lt;CfD_Expiry_Date),($E$175+$E$176)*Inputs_Assumptions!$E$170,0)</f>
        <v>19.645786691853552</v>
      </c>
      <c r="CR53" s="226">
        <f ca="1">IF(AND(CR5&gt;=Debt_Refinance_Date,CR5&lt;CfD_Expiry_Date),($E$175+$E$176)*Inputs_Assumptions!$E$170,0)</f>
        <v>19.645786691853552</v>
      </c>
      <c r="CS53" s="226">
        <f ca="1">IF(AND(CS5&gt;=Debt_Refinance_Date,CS5&lt;CfD_Expiry_Date),($E$175+$E$176)*Inputs_Assumptions!$E$170,0)</f>
        <v>19.645786691853552</v>
      </c>
      <c r="CT53" s="226">
        <f ca="1">IF(AND(CT5&gt;=Debt_Refinance_Date,CT5&lt;CfD_Expiry_Date),($E$175+$E$176)*Inputs_Assumptions!$E$170,0)</f>
        <v>19.645786691853552</v>
      </c>
      <c r="CU53" s="252">
        <f>IF(AND(CU5&gt;=Debt_Refinance_Date,CU5&lt;CfD_Expiry_Date),($E$175+$E$176)*Inputs_Assumptions!$E$170,0)</f>
        <v>0</v>
      </c>
      <c r="CV53" s="226">
        <f>IF(AND(CV5&gt;=Debt_Refinance_Date,CV5&lt;CfD_Expiry_Date),($E$175+$E$176)*Inputs_Assumptions!$E$170,0)</f>
        <v>0</v>
      </c>
      <c r="CW53" s="226">
        <f>IF(AND(CW5&gt;=Debt_Refinance_Date,CW5&lt;CfD_Expiry_Date),($E$175+$E$176)*Inputs_Assumptions!$E$170,0)</f>
        <v>0</v>
      </c>
      <c r="CX53" s="226">
        <f>IF(AND(CX5&gt;=Debt_Refinance_Date,CX5&lt;CfD_Expiry_Date),($E$175+$E$176)*Inputs_Assumptions!$E$170,0)</f>
        <v>0</v>
      </c>
      <c r="CY53" s="226">
        <f>IF(AND(CY5&gt;=Debt_Refinance_Date,CY5&lt;CfD_Expiry_Date),($E$175+$E$176)*Inputs_Assumptions!$E$170,0)</f>
        <v>0</v>
      </c>
      <c r="CZ53" s="226">
        <f>IF(AND(CZ5&gt;=Debt_Refinance_Date,CZ5&lt;CfD_Expiry_Date),($E$175+$E$176)*Inputs_Assumptions!$E$170,0)</f>
        <v>0</v>
      </c>
      <c r="DA53" s="226">
        <f>IF(AND(DA5&gt;=Debt_Refinance_Date,DA5&lt;CfD_Expiry_Date),($E$175+$E$176)*Inputs_Assumptions!$E$170,0)</f>
        <v>0</v>
      </c>
      <c r="DB53" s="226">
        <f>IF(AND(DB5&gt;=Debt_Refinance_Date,DB5&lt;CfD_Expiry_Date),($E$175+$E$176)*Inputs_Assumptions!$E$170,0)</f>
        <v>0</v>
      </c>
      <c r="DC53" s="226">
        <f>IF(AND(DC5&gt;=Debt_Refinance_Date,DC5&lt;CfD_Expiry_Date),($E$175+$E$176)*Inputs_Assumptions!$E$170,0)</f>
        <v>0</v>
      </c>
      <c r="DD53" s="226">
        <f>IF(AND(DD5&gt;=Debt_Refinance_Date,DD5&lt;CfD_Expiry_Date),($E$175+$E$176)*Inputs_Assumptions!$E$170,0)</f>
        <v>0</v>
      </c>
      <c r="DE53" s="226">
        <f>IF(AND(DE5&gt;=Debt_Refinance_Date,DE5&lt;CfD_Expiry_Date),($E$175+$E$176)*Inputs_Assumptions!$E$170,0)</f>
        <v>0</v>
      </c>
      <c r="DF53" s="226">
        <f>IF(AND(DF5&gt;=Debt_Refinance_Date,DF5&lt;CfD_Expiry_Date),($E$175+$E$176)*Inputs_Assumptions!$E$170,0)</f>
        <v>0</v>
      </c>
      <c r="DG53" s="226">
        <f>IF(AND(DG5&gt;=Debt_Refinance_Date,DG5&lt;CfD_Expiry_Date),($E$175+$E$176)*Inputs_Assumptions!$E$170,0)</f>
        <v>0</v>
      </c>
      <c r="DH53" s="226">
        <f>IF(AND(DH5&gt;=Debt_Refinance_Date,DH5&lt;CfD_Expiry_Date),($E$175+$E$176)*Inputs_Assumptions!$E$170,0)</f>
        <v>0</v>
      </c>
      <c r="DI53" s="226">
        <f>IF(AND(DI5&gt;=Debt_Refinance_Date,DI5&lt;CfD_Expiry_Date),($E$175+$E$176)*Inputs_Assumptions!$E$170,0)</f>
        <v>0</v>
      </c>
      <c r="DJ53" s="226">
        <f>IF(AND(DJ5&gt;=Debt_Refinance_Date,DJ5&lt;CfD_Expiry_Date),($E$175+$E$176)*Inputs_Assumptions!$E$170,0)</f>
        <v>0</v>
      </c>
      <c r="DK53" s="226">
        <f>IF(AND(DK5&gt;=Debt_Refinance_Date,DK5&lt;CfD_Expiry_Date),($E$175+$E$176)*Inputs_Assumptions!$E$170,0)</f>
        <v>0</v>
      </c>
      <c r="DL53" s="226">
        <f>IF(AND(DL5&gt;=Debt_Refinance_Date,DL5&lt;CfD_Expiry_Date),($E$175+$E$176)*Inputs_Assumptions!$E$170,0)</f>
        <v>0</v>
      </c>
      <c r="DM53" s="226">
        <f>IF(AND(DM5&gt;=Debt_Refinance_Date,DM5&lt;CfD_Expiry_Date),($E$175+$E$176)*Inputs_Assumptions!$E$170,0)</f>
        <v>0</v>
      </c>
      <c r="DN53" s="226">
        <f>IF(AND(DN5&gt;=Debt_Refinance_Date,DN5&lt;CfD_Expiry_Date),($E$175+$E$176)*Inputs_Assumptions!$E$170,0)</f>
        <v>0</v>
      </c>
      <c r="DO53" s="226">
        <f>IF(AND(DO5&gt;=Debt_Refinance_Date,DO5&lt;CfD_Expiry_Date),($E$175+$E$176)*Inputs_Assumptions!$E$170,0)</f>
        <v>0</v>
      </c>
      <c r="DP53" s="226">
        <f>IF(AND(DP5&gt;=Debt_Refinance_Date,DP5&lt;CfD_Expiry_Date),($E$175+$E$176)*Inputs_Assumptions!$E$170,0)</f>
        <v>0</v>
      </c>
      <c r="DQ53" s="226">
        <f>IF(AND(DQ5&gt;=Debt_Refinance_Date,DQ5&lt;CfD_Expiry_Date),($E$175+$E$176)*Inputs_Assumptions!$E$170,0)</f>
        <v>0</v>
      </c>
      <c r="DR53" s="226">
        <f>IF(AND(DR5&gt;=Debt_Refinance_Date,DR5&lt;CfD_Expiry_Date),($E$175+$E$176)*Inputs_Assumptions!$E$170,0)</f>
        <v>0</v>
      </c>
      <c r="DS53" s="226">
        <f>IF(AND(DS5&gt;=Debt_Refinance_Date,DS5&lt;CfD_Expiry_Date),($E$175+$E$176)*Inputs_Assumptions!$E$170,0)</f>
        <v>0</v>
      </c>
      <c r="DT53" s="226">
        <f>IF(AND(DT5&gt;=Debt_Refinance_Date,DT5&lt;CfD_Expiry_Date),($E$175+$E$176)*Inputs_Assumptions!$E$170,0)</f>
        <v>0</v>
      </c>
      <c r="DU53" s="226">
        <f>IF(AND(DU5&gt;=Debt_Refinance_Date,DU5&lt;CfD_Expiry_Date),($E$175+$E$176)*Inputs_Assumptions!$E$170,0)</f>
        <v>0</v>
      </c>
      <c r="DV53" s="226">
        <f>IF(AND(DV5&gt;=Debt_Refinance_Date,DV5&lt;CfD_Expiry_Date),($E$175+$E$176)*Inputs_Assumptions!$E$170,0)</f>
        <v>0</v>
      </c>
      <c r="DW53" s="226">
        <f>IF(AND(DW5&gt;=Debt_Refinance_Date,DW5&lt;CfD_Expiry_Date),($E$175+$E$176)*Inputs_Assumptions!$E$170,0)</f>
        <v>0</v>
      </c>
      <c r="DX53" s="226">
        <f>IF(AND(DX5&gt;=Debt_Refinance_Date,DX5&lt;CfD_Expiry_Date),($E$175+$E$176)*Inputs_Assumptions!$E$170,0)</f>
        <v>0</v>
      </c>
      <c r="DY53" s="226">
        <f>IF(AND(DY5&gt;=Debt_Refinance_Date,DY5&lt;CfD_Expiry_Date),($E$175+$E$176)*Inputs_Assumptions!$E$170,0)</f>
        <v>0</v>
      </c>
      <c r="DZ53" s="226">
        <f>IF(AND(DZ5&gt;=Debt_Refinance_Date,DZ5&lt;CfD_Expiry_Date),($E$175+$E$176)*Inputs_Assumptions!$E$170,0)</f>
        <v>0</v>
      </c>
      <c r="EA53" s="226">
        <f>IF(AND(EA5&gt;=Debt_Refinance_Date,EA5&lt;CfD_Expiry_Date),($E$175+$E$176)*Inputs_Assumptions!$E$170,0)</f>
        <v>0</v>
      </c>
      <c r="EB53" s="226">
        <f>IF(AND(EB5&gt;=Debt_Refinance_Date,EB5&lt;CfD_Expiry_Date),($E$175+$E$176)*Inputs_Assumptions!$E$170,0)</f>
        <v>0</v>
      </c>
      <c r="EC53" s="226">
        <f>IF(AND(EC5&gt;=Debt_Refinance_Date,EC5&lt;CfD_Expiry_Date),($E$175+$E$176)*Inputs_Assumptions!$E$170,0)</f>
        <v>0</v>
      </c>
      <c r="ED53" s="226">
        <f>IF(AND(ED5&gt;=Debt_Refinance_Date,ED5&lt;CfD_Expiry_Date),($E$175+$E$176)*Inputs_Assumptions!$E$170,0)</f>
        <v>0</v>
      </c>
      <c r="EE53" s="226">
        <f>IF(AND(EE5&gt;=Debt_Refinance_Date,EE5&lt;CfD_Expiry_Date),($E$175+$E$176)*Inputs_Assumptions!$E$170,0)</f>
        <v>0</v>
      </c>
      <c r="EF53" s="226">
        <f>IF(AND(EF5&gt;=Debt_Refinance_Date,EF5&lt;CfD_Expiry_Date),($E$175+$E$176)*Inputs_Assumptions!$E$170,0)</f>
        <v>0</v>
      </c>
      <c r="EG53" s="226">
        <f>IF(AND(EG5&gt;=Debt_Refinance_Date,EG5&lt;CfD_Expiry_Date),($E$175+$E$176)*Inputs_Assumptions!$E$170,0)</f>
        <v>0</v>
      </c>
      <c r="EH53" s="226">
        <f>IF(AND(EH5&gt;=Debt_Refinance_Date,EH5&lt;CfD_Expiry_Date),($E$175+$E$176)*Inputs_Assumptions!$E$170,0)</f>
        <v>0</v>
      </c>
      <c r="EI53" s="226">
        <f>IF(AND(EI5&gt;=Debt_Refinance_Date,EI5&lt;CfD_Expiry_Date),($E$175+$E$176)*Inputs_Assumptions!$E$170,0)</f>
        <v>0</v>
      </c>
      <c r="EJ53" s="226">
        <f>IF(AND(EJ5&gt;=Debt_Refinance_Date,EJ5&lt;CfD_Expiry_Date),($E$175+$E$176)*Inputs_Assumptions!$E$170,0)</f>
        <v>0</v>
      </c>
      <c r="EK53" s="226">
        <f>IF(AND(EK5&gt;=Debt_Refinance_Date,EK5&lt;CfD_Expiry_Date),($E$175+$E$176)*Inputs_Assumptions!$E$170,0)</f>
        <v>0</v>
      </c>
      <c r="EL53" s="226">
        <f>IF(AND(EL5&gt;=Debt_Refinance_Date,EL5&lt;CfD_Expiry_Date),($E$175+$E$176)*Inputs_Assumptions!$E$170,0)</f>
        <v>0</v>
      </c>
      <c r="EM53" s="226">
        <f>IF(AND(EM5&gt;=Debt_Refinance_Date,EM5&lt;CfD_Expiry_Date),($E$175+$E$176)*Inputs_Assumptions!$E$170,0)</f>
        <v>0</v>
      </c>
      <c r="EN53" s="226">
        <f>IF(AND(EN5&gt;=Debt_Refinance_Date,EN5&lt;CfD_Expiry_Date),($E$175+$E$176)*Inputs_Assumptions!$E$170,0)</f>
        <v>0</v>
      </c>
      <c r="EO53" s="226">
        <f>IF(AND(EO5&gt;=Debt_Refinance_Date,EO5&lt;CfD_Expiry_Date),($E$175+$E$176)*Inputs_Assumptions!$E$170,0)</f>
        <v>0</v>
      </c>
      <c r="EP53" s="226">
        <f>IF(AND(EP5&gt;=Debt_Refinance_Date,EP5&lt;CfD_Expiry_Date),($E$175+$E$176)*Inputs_Assumptions!$E$170,0)</f>
        <v>0</v>
      </c>
      <c r="EQ53" s="226">
        <f>IF(AND(EQ5&gt;=Debt_Refinance_Date,EQ5&lt;CfD_Expiry_Date),($E$175+$E$176)*Inputs_Assumptions!$E$170,0)</f>
        <v>0</v>
      </c>
      <c r="ER53" s="226">
        <f>IF(AND(ER5&gt;=Debt_Refinance_Date,ER5&lt;CfD_Expiry_Date),($E$175+$E$176)*Inputs_Assumptions!$E$170,0)</f>
        <v>0</v>
      </c>
      <c r="ES53" s="226">
        <f>IF(AND(ES5&gt;=Debt_Refinance_Date,ES5&lt;CfD_Expiry_Date),($E$175+$E$176)*Inputs_Assumptions!$E$170,0)</f>
        <v>0</v>
      </c>
      <c r="ET53" s="226">
        <f>IF(AND(ET5&gt;=Debt_Refinance_Date,ET5&lt;CfD_Expiry_Date),($E$175+$E$176)*Inputs_Assumptions!$E$170,0)</f>
        <v>0</v>
      </c>
      <c r="EU53" s="226">
        <f>IF(AND(EU5&gt;=Debt_Refinance_Date,EU5&lt;CfD_Expiry_Date),($E$175+$E$176)*Inputs_Assumptions!$E$170,0)</f>
        <v>0</v>
      </c>
      <c r="EV53" s="226">
        <f>IF(AND(EV5&gt;=Debt_Refinance_Date,EV5&lt;CfD_Expiry_Date),($E$175+$E$176)*Inputs_Assumptions!$E$170,0)</f>
        <v>0</v>
      </c>
      <c r="EW53" s="226">
        <f>IF(AND(EW5&gt;=Debt_Refinance_Date,EW5&lt;CfD_Expiry_Date),($E$175+$E$176)*Inputs_Assumptions!$E$170,0)</f>
        <v>0</v>
      </c>
      <c r="EX53" s="226">
        <f>IF(AND(EX5&gt;=Debt_Refinance_Date,EX5&lt;CfD_Expiry_Date),($E$175+$E$176)*Inputs_Assumptions!$E$170,0)</f>
        <v>0</v>
      </c>
      <c r="EY53" s="226">
        <f>IF(AND(EY5&gt;=Debt_Refinance_Date,EY5&lt;CfD_Expiry_Date),($E$175+$E$176)*Inputs_Assumptions!$E$170,0)</f>
        <v>0</v>
      </c>
      <c r="EZ53" s="226">
        <f>IF(AND(EZ5&gt;=Debt_Refinance_Date,EZ5&lt;CfD_Expiry_Date),($E$175+$E$176)*Inputs_Assumptions!$E$170,0)</f>
        <v>0</v>
      </c>
      <c r="FA53" s="226">
        <f>IF(AND(FA5&gt;=Debt_Refinance_Date,FA5&lt;CfD_Expiry_Date),($E$175+$E$176)*Inputs_Assumptions!$E$170,0)</f>
        <v>0</v>
      </c>
    </row>
    <row r="54" spans="2:157" outlineLevel="1" x14ac:dyDescent="0.2">
      <c r="B54" s="1"/>
      <c r="C54" s="30"/>
      <c r="D54" s="21"/>
      <c r="E54" s="5"/>
      <c r="F54" s="21"/>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253"/>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row>
    <row r="55" spans="2:157" x14ac:dyDescent="0.2">
      <c r="B55" s="23"/>
      <c r="C55" s="23"/>
      <c r="D55" s="24"/>
      <c r="E55" s="23"/>
      <c r="F55" s="24"/>
      <c r="G55" s="52" t="str">
        <f>$G$4</f>
        <v>Construction &amp; Operation Period (See Flags):</v>
      </c>
      <c r="H55" s="53"/>
      <c r="I55" s="53"/>
      <c r="J55" s="53"/>
      <c r="K55" s="53"/>
      <c r="L55" s="53"/>
      <c r="M55" s="53"/>
      <c r="N55" s="53"/>
      <c r="O55" s="96"/>
      <c r="P55" s="52"/>
      <c r="Q55" s="25"/>
      <c r="R55" s="25"/>
      <c r="S55" s="25"/>
      <c r="T55" s="25"/>
      <c r="U55" s="25"/>
      <c r="V55" s="25"/>
      <c r="W55" s="25"/>
      <c r="X55" s="25"/>
      <c r="Y55" s="25"/>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237"/>
      <c r="CV55" s="54"/>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4"/>
      <c r="EX55" s="54"/>
      <c r="EY55" s="54"/>
      <c r="EZ55" s="54"/>
      <c r="FA55" s="54"/>
    </row>
    <row r="56" spans="2:157" x14ac:dyDescent="0.2">
      <c r="B56" s="26" t="s">
        <v>79</v>
      </c>
      <c r="C56" s="26"/>
      <c r="D56" s="19" t="str">
        <f>D5</f>
        <v>Units:</v>
      </c>
      <c r="E56" s="65"/>
      <c r="F56" s="19"/>
      <c r="G56" s="77">
        <f>$G$5</f>
        <v>46112</v>
      </c>
      <c r="H56" s="77">
        <f>$H$5</f>
        <v>46203</v>
      </c>
      <c r="I56" s="77">
        <f>$I$5</f>
        <v>46295</v>
      </c>
      <c r="J56" s="77">
        <f>$J$5</f>
        <v>46387</v>
      </c>
      <c r="K56" s="77">
        <f>$K$5</f>
        <v>46477</v>
      </c>
      <c r="L56" s="77">
        <f>$L$5</f>
        <v>46568</v>
      </c>
      <c r="M56" s="77">
        <f>$M$5</f>
        <v>46660</v>
      </c>
      <c r="N56" s="77">
        <f>$N$5</f>
        <v>46752</v>
      </c>
      <c r="O56" s="77">
        <f>$O$5</f>
        <v>46843</v>
      </c>
      <c r="P56" s="77">
        <f>$P$5</f>
        <v>46934</v>
      </c>
      <c r="Q56" s="78">
        <f>$Q$5</f>
        <v>47026</v>
      </c>
      <c r="R56" s="76">
        <f>$R$5</f>
        <v>47118</v>
      </c>
      <c r="S56" s="76">
        <f>$S$5</f>
        <v>47208</v>
      </c>
      <c r="T56" s="76">
        <f>$T$5</f>
        <v>47299</v>
      </c>
      <c r="U56" s="76">
        <f>$U$5</f>
        <v>47391</v>
      </c>
      <c r="V56" s="76">
        <f>$V$5</f>
        <v>47483</v>
      </c>
      <c r="W56" s="76">
        <f>$W$5</f>
        <v>47573</v>
      </c>
      <c r="X56" s="76">
        <f>$X$5</f>
        <v>47664</v>
      </c>
      <c r="Y56" s="76">
        <f>$Y$5</f>
        <v>47756</v>
      </c>
      <c r="Z56" s="76">
        <f>$Z$5</f>
        <v>47848</v>
      </c>
      <c r="AA56" s="76">
        <f>$AA$5</f>
        <v>47938</v>
      </c>
      <c r="AB56" s="76">
        <f>$AB$5</f>
        <v>48029</v>
      </c>
      <c r="AC56" s="76">
        <f>$AC$5</f>
        <v>48121</v>
      </c>
      <c r="AD56" s="76">
        <f>$AD$5</f>
        <v>48213</v>
      </c>
      <c r="AE56" s="76">
        <f>$AE$5</f>
        <v>48304</v>
      </c>
      <c r="AF56" s="76">
        <f>$AF$5</f>
        <v>48395</v>
      </c>
      <c r="AG56" s="76">
        <f>$AG$5</f>
        <v>48487</v>
      </c>
      <c r="AH56" s="76">
        <f>$AH$5</f>
        <v>48579</v>
      </c>
      <c r="AI56" s="76">
        <f>$AI$5</f>
        <v>48669</v>
      </c>
      <c r="AJ56" s="76">
        <f>$AJ$5</f>
        <v>48760</v>
      </c>
      <c r="AK56" s="76">
        <f>$AK$5</f>
        <v>48852</v>
      </c>
      <c r="AL56" s="76">
        <f>$AL$5</f>
        <v>48944</v>
      </c>
      <c r="AM56" s="76">
        <f>$AM$5</f>
        <v>49034</v>
      </c>
      <c r="AN56" s="76">
        <f>$AN$5</f>
        <v>49125</v>
      </c>
      <c r="AO56" s="76">
        <f>$AO$5</f>
        <v>49217</v>
      </c>
      <c r="AP56" s="76">
        <f>$AP$5</f>
        <v>49309</v>
      </c>
      <c r="AQ56" s="76">
        <f>$AQ$5</f>
        <v>49399</v>
      </c>
      <c r="AR56" s="76">
        <f>$AR$5</f>
        <v>49490</v>
      </c>
      <c r="AS56" s="76">
        <f>$AS$5</f>
        <v>49582</v>
      </c>
      <c r="AT56" s="76">
        <f>$AT$5</f>
        <v>49674</v>
      </c>
      <c r="AU56" s="76">
        <f>$AU$5</f>
        <v>49765</v>
      </c>
      <c r="AV56" s="76">
        <f>$AV$5</f>
        <v>49856</v>
      </c>
      <c r="AW56" s="76">
        <f>$AW$5</f>
        <v>49948</v>
      </c>
      <c r="AX56" s="76">
        <f>$AX$5</f>
        <v>50040</v>
      </c>
      <c r="AY56" s="76">
        <f>$AY$5</f>
        <v>50130</v>
      </c>
      <c r="AZ56" s="76">
        <f>$AZ$5</f>
        <v>50221</v>
      </c>
      <c r="BA56" s="76">
        <f>$BA$5</f>
        <v>50313</v>
      </c>
      <c r="BB56" s="76">
        <f>$BB$5</f>
        <v>50405</v>
      </c>
      <c r="BC56" s="76">
        <f>$BC$5</f>
        <v>50495</v>
      </c>
      <c r="BD56" s="76">
        <f>$BD$5</f>
        <v>50586</v>
      </c>
      <c r="BE56" s="76">
        <f>$BE$5</f>
        <v>50678</v>
      </c>
      <c r="BF56" s="76">
        <f>$BF$5</f>
        <v>50770</v>
      </c>
      <c r="BG56" s="76">
        <f>$BG$5</f>
        <v>50860</v>
      </c>
      <c r="BH56" s="76">
        <f>$BH$5</f>
        <v>50951</v>
      </c>
      <c r="BI56" s="76">
        <f>$BI$5</f>
        <v>51043</v>
      </c>
      <c r="BJ56" s="76">
        <f>$BJ$5</f>
        <v>51135</v>
      </c>
      <c r="BK56" s="76">
        <f>$BK$5</f>
        <v>51226</v>
      </c>
      <c r="BL56" s="76">
        <f>$BL$5</f>
        <v>51317</v>
      </c>
      <c r="BM56" s="76">
        <f>$BM$5</f>
        <v>51409</v>
      </c>
      <c r="BN56" s="76">
        <f>$BN$5</f>
        <v>51501</v>
      </c>
      <c r="BO56" s="76">
        <f>$BO$5</f>
        <v>51591</v>
      </c>
      <c r="BP56" s="76">
        <f>$BP$5</f>
        <v>51682</v>
      </c>
      <c r="BQ56" s="76">
        <f>$BQ$5</f>
        <v>51774</v>
      </c>
      <c r="BR56" s="76">
        <f>$BR$5</f>
        <v>51866</v>
      </c>
      <c r="BS56" s="76">
        <f>$BS$5</f>
        <v>51956</v>
      </c>
      <c r="BT56" s="76">
        <f>$BT$5</f>
        <v>52047</v>
      </c>
      <c r="BU56" s="76">
        <f>$BU$5</f>
        <v>52139</v>
      </c>
      <c r="BV56" s="76">
        <f>$BV$5</f>
        <v>52231</v>
      </c>
      <c r="BW56" s="76">
        <f>$BW$5</f>
        <v>52321</v>
      </c>
      <c r="BX56" s="76">
        <f>$BX$5</f>
        <v>52412</v>
      </c>
      <c r="BY56" s="76">
        <f>$BY$5</f>
        <v>52504</v>
      </c>
      <c r="BZ56" s="76">
        <f>$BZ$5</f>
        <v>52596</v>
      </c>
      <c r="CA56" s="76">
        <f>$CA$5</f>
        <v>52687</v>
      </c>
      <c r="CB56" s="76">
        <f>$CB$5</f>
        <v>52778</v>
      </c>
      <c r="CC56" s="76">
        <f>$CC$5</f>
        <v>52870</v>
      </c>
      <c r="CD56" s="76">
        <f>$CD$5</f>
        <v>52962</v>
      </c>
      <c r="CE56" s="76">
        <f>$CE$5</f>
        <v>53052</v>
      </c>
      <c r="CF56" s="76">
        <f>$CF$5</f>
        <v>53143</v>
      </c>
      <c r="CG56" s="76">
        <f>$CG$5</f>
        <v>53235</v>
      </c>
      <c r="CH56" s="76">
        <f>$CH$5</f>
        <v>53327</v>
      </c>
      <c r="CI56" s="76">
        <f>$CI$5</f>
        <v>53417</v>
      </c>
      <c r="CJ56" s="76">
        <f>$CJ$5</f>
        <v>53508</v>
      </c>
      <c r="CK56" s="76">
        <f>$CK$5</f>
        <v>53600</v>
      </c>
      <c r="CL56" s="76">
        <f>$CL$5</f>
        <v>53692</v>
      </c>
      <c r="CM56" s="76">
        <f>$CM$5</f>
        <v>53782</v>
      </c>
      <c r="CN56" s="76">
        <f>$CN$5</f>
        <v>53873</v>
      </c>
      <c r="CO56" s="76">
        <f>$CO$5</f>
        <v>53965</v>
      </c>
      <c r="CP56" s="76">
        <f>$CP$5</f>
        <v>54057</v>
      </c>
      <c r="CQ56" s="76">
        <f>$CQ$5</f>
        <v>54148</v>
      </c>
      <c r="CR56" s="76">
        <f>$CR$5</f>
        <v>54239</v>
      </c>
      <c r="CS56" s="76">
        <f>$CS$5</f>
        <v>54331</v>
      </c>
      <c r="CT56" s="76">
        <f>$CT$5</f>
        <v>54423</v>
      </c>
      <c r="CU56" s="255">
        <f>$CU$5</f>
        <v>54513</v>
      </c>
      <c r="CV56" s="76">
        <f>$CV$5</f>
        <v>54604</v>
      </c>
      <c r="CW56" s="76">
        <f>$CW$5</f>
        <v>54696</v>
      </c>
      <c r="CX56" s="76">
        <f>$CX$5</f>
        <v>54788</v>
      </c>
      <c r="CY56" s="76">
        <f>$CY$5</f>
        <v>54878</v>
      </c>
      <c r="CZ56" s="76">
        <f>$CZ$5</f>
        <v>54969</v>
      </c>
      <c r="DA56" s="76">
        <f>$DA$5</f>
        <v>55061</v>
      </c>
      <c r="DB56" s="76">
        <f>$DB$5</f>
        <v>55153</v>
      </c>
      <c r="DC56" s="76">
        <f>$DC$5</f>
        <v>55243</v>
      </c>
      <c r="DD56" s="76">
        <f>$DD$5</f>
        <v>55334</v>
      </c>
      <c r="DE56" s="76">
        <f>$DE$5</f>
        <v>55426</v>
      </c>
      <c r="DF56" s="76">
        <f>$DF$5</f>
        <v>55518</v>
      </c>
      <c r="DG56" s="76">
        <f>$DG$5</f>
        <v>55609</v>
      </c>
      <c r="DH56" s="76">
        <f>$DH$5</f>
        <v>55700</v>
      </c>
      <c r="DI56" s="76">
        <f>$DI$5</f>
        <v>55792</v>
      </c>
      <c r="DJ56" s="76">
        <f>$DJ$5</f>
        <v>55884</v>
      </c>
      <c r="DK56" s="76">
        <f>$DK$5</f>
        <v>55974</v>
      </c>
      <c r="DL56" s="76">
        <f>$DL$5</f>
        <v>56065</v>
      </c>
      <c r="DM56" s="76">
        <f>$DM$5</f>
        <v>56157</v>
      </c>
      <c r="DN56" s="76">
        <f>$DN$5</f>
        <v>56249</v>
      </c>
      <c r="DO56" s="76">
        <f>$DO$5</f>
        <v>56339</v>
      </c>
      <c r="DP56" s="76">
        <f>$DP$5</f>
        <v>56430</v>
      </c>
      <c r="DQ56" s="76">
        <f>$DQ$5</f>
        <v>56522</v>
      </c>
      <c r="DR56" s="76">
        <f>$DR$5</f>
        <v>56614</v>
      </c>
      <c r="DS56" s="76">
        <f>$DS$5</f>
        <v>56704</v>
      </c>
      <c r="DT56" s="76">
        <f>$DT$5</f>
        <v>56795</v>
      </c>
      <c r="DU56" s="76">
        <f>$DU$5</f>
        <v>56887</v>
      </c>
      <c r="DV56" s="76">
        <f>$DV$5</f>
        <v>56979</v>
      </c>
      <c r="DW56" s="76">
        <f>$DW$5</f>
        <v>57070</v>
      </c>
      <c r="DX56" s="76">
        <f>$DX$5</f>
        <v>57161</v>
      </c>
      <c r="DY56" s="76">
        <f>$DY$5</f>
        <v>57253</v>
      </c>
      <c r="DZ56" s="76">
        <f>$DZ$5</f>
        <v>57345</v>
      </c>
      <c r="EA56" s="76">
        <f>$EA$5</f>
        <v>57435</v>
      </c>
      <c r="EB56" s="76">
        <f>$EB$5</f>
        <v>57526</v>
      </c>
      <c r="EC56" s="76">
        <f>$EC$5</f>
        <v>57618</v>
      </c>
      <c r="ED56" s="76">
        <f>$ED$5</f>
        <v>57710</v>
      </c>
      <c r="EE56" s="76">
        <f>$EE$5</f>
        <v>57800</v>
      </c>
      <c r="EF56" s="76">
        <f>$EF$5</f>
        <v>57891</v>
      </c>
      <c r="EG56" s="76">
        <f>$EG$5</f>
        <v>57983</v>
      </c>
      <c r="EH56" s="76">
        <f>$EH$5</f>
        <v>58075</v>
      </c>
      <c r="EI56" s="76">
        <f>$EI$5</f>
        <v>58165</v>
      </c>
      <c r="EJ56" s="76">
        <f>$EJ$5</f>
        <v>58256</v>
      </c>
      <c r="EK56" s="76">
        <f>$EK$5</f>
        <v>58348</v>
      </c>
      <c r="EL56" s="76">
        <f>$EL$5</f>
        <v>58440</v>
      </c>
      <c r="EM56" s="76">
        <f>$EM$5</f>
        <v>58531</v>
      </c>
      <c r="EN56" s="76">
        <f>$EN$5</f>
        <v>58622</v>
      </c>
      <c r="EO56" s="76">
        <f>$EO$5</f>
        <v>58714</v>
      </c>
      <c r="EP56" s="76">
        <f>$EP$5</f>
        <v>58806</v>
      </c>
      <c r="EQ56" s="76">
        <f>$EQ$5</f>
        <v>58896</v>
      </c>
      <c r="ER56" s="76">
        <f>$ER$5</f>
        <v>58987</v>
      </c>
      <c r="ES56" s="76">
        <f>$ES$5</f>
        <v>59079</v>
      </c>
      <c r="ET56" s="76">
        <f>$ET$5</f>
        <v>59171</v>
      </c>
      <c r="EU56" s="76">
        <f>$EU$5</f>
        <v>59261</v>
      </c>
      <c r="EV56" s="76">
        <f>$EV$5</f>
        <v>59352</v>
      </c>
      <c r="EW56" s="76">
        <f>$EW$5</f>
        <v>59444</v>
      </c>
      <c r="EX56" s="76">
        <f>$EX$5</f>
        <v>59536</v>
      </c>
      <c r="EY56" s="76">
        <f>$EY$5</f>
        <v>59626</v>
      </c>
      <c r="EZ56" s="76">
        <f>$EZ$5</f>
        <v>59717</v>
      </c>
      <c r="FA56" s="76">
        <f>$FA$5</f>
        <v>59809</v>
      </c>
    </row>
    <row r="57" spans="2:157" outlineLevel="1" x14ac:dyDescent="0.2">
      <c r="B57" s="1"/>
      <c r="C57" s="1"/>
      <c r="D57" s="1"/>
      <c r="E57" s="1"/>
      <c r="F57" s="21"/>
      <c r="G57" s="1"/>
      <c r="H57" s="1"/>
      <c r="I57" s="1"/>
      <c r="J57" s="1"/>
      <c r="K57" s="1"/>
      <c r="L57" s="1"/>
      <c r="P57" s="15"/>
    </row>
    <row r="58" spans="2:157" outlineLevel="1" x14ac:dyDescent="0.2">
      <c r="C58" s="42" t="s">
        <v>24</v>
      </c>
      <c r="D58" s="21" t="s">
        <v>126</v>
      </c>
      <c r="E58" s="5"/>
      <c r="G58" s="108">
        <f>IF(G56&lt;=CfD_Expiry_Date,G36*IRR_Revenue_Model!G39/Million,G36*IRR_Revenue_Model!G40/Million)*Equity_In_Project</f>
        <v>0</v>
      </c>
      <c r="H58" s="108">
        <f>IF(H56&lt;=CfD_Expiry_Date,H36*IRR_Revenue_Model!H39/Million,H36*IRR_Revenue_Model!H40/Million)*Equity_In_Project</f>
        <v>0</v>
      </c>
      <c r="I58" s="108">
        <f>IF(I56&lt;=CfD_Expiry_Date,I36*IRR_Revenue_Model!I39/Million,I36*IRR_Revenue_Model!I40/Million)*Equity_In_Project</f>
        <v>0</v>
      </c>
      <c r="J58" s="108">
        <f>IF(J56&lt;=CfD_Expiry_Date,J36*IRR_Revenue_Model!J39/Million,J36*IRR_Revenue_Model!J40/Million)*Equity_In_Project</f>
        <v>0</v>
      </c>
      <c r="K58" s="108">
        <f>IF(K56&lt;=CfD_Expiry_Date,K36*IRR_Revenue_Model!K39/Million,K36*IRR_Revenue_Model!K40/Million)*Equity_In_Project</f>
        <v>0</v>
      </c>
      <c r="L58" s="108">
        <f>IF(L56&lt;=CfD_Expiry_Date,L36*IRR_Revenue_Model!L39/Million,L36*IRR_Revenue_Model!L40/Million)*Equity_In_Project</f>
        <v>0</v>
      </c>
      <c r="M58" s="108">
        <f>IF(M56&lt;=CfD_Expiry_Date,M36*IRR_Revenue_Model!M39/Million,M36*IRR_Revenue_Model!M40/Million)*Equity_In_Project</f>
        <v>12.335713203968799</v>
      </c>
      <c r="N58" s="108">
        <f>IF(N56&lt;=CfD_Expiry_Date,N36*IRR_Revenue_Model!N39/Million,N36*IRR_Revenue_Model!N40/Million)*Equity_In_Project</f>
        <v>27.025449490200877</v>
      </c>
      <c r="O58" s="108">
        <f>IF(O56&lt;=CfD_Expiry_Date,O36*IRR_Revenue_Model!O39/Million,O36*IRR_Revenue_Model!O40/Million)*Equity_In_Project</f>
        <v>32.53922562105118</v>
      </c>
      <c r="P58" s="108">
        <f>IF(P56&lt;=CfD_Expiry_Date,P36*IRR_Revenue_Model!P39/Million,P36*IRR_Revenue_Model!P40/Million)*Equity_In_Project</f>
        <v>33.676898388188235</v>
      </c>
      <c r="Q58" s="108">
        <f>IF(Q56&lt;=CfD_Expiry_Date,Q36*IRR_Revenue_Model!Q39/Million,Q36*IRR_Revenue_Model!Q40/Million)*Equity_In_Project</f>
        <v>48.852227858899184</v>
      </c>
      <c r="R58" s="108">
        <f>IF(R56&lt;=CfD_Expiry_Date,R36*IRR_Revenue_Model!R39/Million,R36*IRR_Revenue_Model!R40/Million)*Equity_In_Project</f>
        <v>89.566843852107453</v>
      </c>
      <c r="S58" s="108">
        <f>IF(S56&lt;=CfD_Expiry_Date,S36*IRR_Revenue_Model!S39/Million,S36*IRR_Revenue_Model!S40/Million)*Equity_In_Project</f>
        <v>92.800264616667661</v>
      </c>
      <c r="T58" s="108">
        <f>IF(T56&lt;=CfD_Expiry_Date,T36*IRR_Revenue_Model!T39/Million,T36*IRR_Revenue_Model!T40/Million)*Equity_In_Project</f>
        <v>59.198022154773717</v>
      </c>
      <c r="U58" s="108">
        <f>IF(U56&lt;=CfD_Expiry_Date,U36*IRR_Revenue_Model!U39/Million,U36*IRR_Revenue_Model!U40/Million)*Equity_In_Project</f>
        <v>60.586301877237517</v>
      </c>
      <c r="V58" s="108">
        <f>IF(V56&lt;=CfD_Expiry_Date,V36*IRR_Revenue_Model!V39/Million,V36*IRR_Revenue_Model!V40/Million)*Equity_In_Project</f>
        <v>97.289768047493581</v>
      </c>
      <c r="W58" s="108">
        <f>IF(W56&lt;=CfD_Expiry_Date,W36*IRR_Revenue_Model!W39/Million,W36*IRR_Revenue_Model!W40/Million)*Equity_In_Project</f>
        <v>94.930030689620224</v>
      </c>
      <c r="X58" s="108">
        <f>IF(X56&lt;=CfD_Expiry_Date,X36*IRR_Revenue_Model!X39/Million,X36*IRR_Revenue_Model!X40/Million)*Equity_In_Project</f>
        <v>60.556616763225819</v>
      </c>
      <c r="Y58" s="108">
        <f>IF(Y56&lt;=CfD_Expiry_Date,Y36*IRR_Revenue_Model!Y39/Million,Y36*IRR_Revenue_Model!Y40/Million)*Equity_In_Project</f>
        <v>61.976757505320137</v>
      </c>
      <c r="Z58" s="108">
        <f>IF(Z56&lt;=CfD_Expiry_Date,Z36*IRR_Revenue_Model!Z39/Million,Z36*IRR_Revenue_Model!Z40/Million)*Equity_In_Project</f>
        <v>99.522568224183601</v>
      </c>
      <c r="AA58" s="108">
        <f>IF(AA56&lt;=CfD_Expiry_Date,AA36*IRR_Revenue_Model!AA39/Million,AA36*IRR_Revenue_Model!AA40/Million)*Equity_In_Project</f>
        <v>97.108674893947082</v>
      </c>
      <c r="AB58" s="108">
        <f>IF(AB56&lt;=CfD_Expiry_Date,AB36*IRR_Revenue_Model!AB39/Million,AB36*IRR_Revenue_Model!AB40/Million)*Equity_In_Project</f>
        <v>61.946391117941879</v>
      </c>
      <c r="AC58" s="108">
        <f>IF(AC56&lt;=CfD_Expiry_Date,AC36*IRR_Revenue_Model!AC39/Million,AC36*IRR_Revenue_Model!AC40/Million)*Equity_In_Project</f>
        <v>63.399124090067261</v>
      </c>
      <c r="AD58" s="108">
        <f>IF(AD56&lt;=CfD_Expiry_Date,AD36*IRR_Revenue_Model!AD39/Million,AD36*IRR_Revenue_Model!AD40/Million)*Equity_In_Project</f>
        <v>101.80661116492865</v>
      </c>
      <c r="AE58" s="108">
        <f>IF(AE56&lt;=CfD_Expiry_Date,AE36*IRR_Revenue_Model!AE39/Million,AE36*IRR_Revenue_Model!AE40/Million)*Equity_In_Project</f>
        <v>99.337318982763165</v>
      </c>
      <c r="AF58" s="108">
        <f>IF(AF56&lt;=CfD_Expiry_Date,AF36*IRR_Revenue_Model!AF39/Million,AF36*IRR_Revenue_Model!AF40/Million)*Equity_In_Project</f>
        <v>63.368060794098682</v>
      </c>
      <c r="AG58" s="108">
        <f>IF(AG56&lt;=CfD_Expiry_Date,AG36*IRR_Revenue_Model!AG39/Million,AG36*IRR_Revenue_Model!AG40/Million)*Equity_In_Project</f>
        <v>64.854133987934333</v>
      </c>
      <c r="AH58" s="108">
        <f>IF(AH56&lt;=CfD_Expiry_Date,AH36*IRR_Revenue_Model!AH39/Million,AH36*IRR_Revenue_Model!AH40/Million)*Equity_In_Project</f>
        <v>104.1430728911638</v>
      </c>
      <c r="AI58" s="108">
        <f>IF(AI56&lt;=CfD_Expiry_Date,AI36*IRR_Revenue_Model!AI39/Million,AI36*IRR_Revenue_Model!AI40/Million)*Equity_In_Project</f>
        <v>100.57488367953643</v>
      </c>
      <c r="AJ58" s="108">
        <f>IF(AJ56&lt;=CfD_Expiry_Date,AJ36*IRR_Revenue_Model!AJ39/Million,AJ36*IRR_Revenue_Model!AJ40/Million)*Equity_In_Project</f>
        <v>64.15751309404817</v>
      </c>
      <c r="AK58" s="108">
        <f>IF(AK56&lt;=CfD_Expiry_Date,AK36*IRR_Revenue_Model!AK39/Million,AK36*IRR_Revenue_Model!AK40/Million)*Equity_In_Project</f>
        <v>65.662100092568153</v>
      </c>
      <c r="AL58" s="108">
        <f>IF(AL56&lt;=CfD_Expiry_Date,AL36*IRR_Revenue_Model!AL39/Million,AL36*IRR_Revenue_Model!AL40/Million)*Equity_In_Project</f>
        <v>105.44050865592362</v>
      </c>
      <c r="AM58" s="108">
        <f>IF(AM56&lt;=CfD_Expiry_Date,AM36*IRR_Revenue_Model!AM39/Million,AM36*IRR_Revenue_Model!AM40/Million)*Equity_In_Project</f>
        <v>102.88307725998185</v>
      </c>
      <c r="AN58" s="108">
        <f>IF(AN56&lt;=CfD_Expiry_Date,AN36*IRR_Revenue_Model!AN39/Million,AN36*IRR_Revenue_Model!AN40/Million)*Equity_In_Project</f>
        <v>65.629928019556587</v>
      </c>
      <c r="AO58" s="108">
        <f>IF(AO56&lt;=CfD_Expiry_Date,AO36*IRR_Revenue_Model!AO39/Million,AO36*IRR_Revenue_Model!AO40/Million)*Equity_In_Project</f>
        <v>67.169045289692619</v>
      </c>
      <c r="AP58" s="108">
        <f>IF(AP56&lt;=CfD_Expiry_Date,AP36*IRR_Revenue_Model!AP39/Million,AP36*IRR_Revenue_Model!AP40/Million)*Equity_In_Project</f>
        <v>107.86036832957708</v>
      </c>
      <c r="AQ58" s="108">
        <f>IF(AQ56&lt;=CfD_Expiry_Date,AQ36*IRR_Revenue_Model!AQ39/Million,AQ36*IRR_Revenue_Model!AQ40/Million)*Equity_In_Project</f>
        <v>104.55775358180381</v>
      </c>
      <c r="AR58" s="108">
        <f>IF(AR56&lt;=CfD_Expiry_Date,AR36*IRR_Revenue_Model!AR39/Million,AR36*IRR_Revenue_Model!AR40/Million)*Equity_In_Project</f>
        <v>66.698217279407316</v>
      </c>
      <c r="AS58" s="108">
        <f>IF(AS56&lt;=CfD_Expiry_Date,AS36*IRR_Revenue_Model!AS39/Million,AS36*IRR_Revenue_Model!AS40/Million)*Equity_In_Project</f>
        <v>68.262387486502959</v>
      </c>
      <c r="AT58" s="108">
        <f>IF(AT56&lt;=CfD_Expiry_Date,AT36*IRR_Revenue_Model!AT39/Million,AT36*IRR_Revenue_Model!AT40/Million)*Equity_In_Project</f>
        <v>109.61606236318471</v>
      </c>
      <c r="AU58" s="108">
        <f>IF(AU56&lt;=CfD_Expiry_Date,AU36*IRR_Revenue_Model!AU39/Million,AU36*IRR_Revenue_Model!AU40/Million)*Equity_In_Project</f>
        <v>106.95735402650625</v>
      </c>
      <c r="AV58" s="108">
        <f>IF(AV56&lt;=CfD_Expiry_Date,AV36*IRR_Revenue_Model!AV39/Million,AV36*IRR_Revenue_Model!AV40/Million)*Equity_In_Project</f>
        <v>68.22894136596976</v>
      </c>
      <c r="AW58" s="108">
        <f>IF(AW56&lt;=CfD_Expiry_Date,AW36*IRR_Revenue_Model!AW39/Million,AW36*IRR_Revenue_Model!AW40/Million)*Equity_In_Project</f>
        <v>69.829009279318228</v>
      </c>
      <c r="AX58" s="108">
        <f>IF(AX56&lt;=CfD_Expiry_Date,AX36*IRR_Revenue_Model!AX39/Million,AX36*IRR_Revenue_Model!AX40/Million)*Equity_In_Project</f>
        <v>112.13175099441983</v>
      </c>
      <c r="AY58" s="108">
        <f>IF(AY56&lt;=CfD_Expiry_Date,AY36*IRR_Revenue_Model!AY39/Million,AY36*IRR_Revenue_Model!AY40/Million)*Equity_In_Project</f>
        <v>109.41202530141462</v>
      </c>
      <c r="AZ58" s="108">
        <f>IF(AZ56&lt;=CfD_Expiry_Date,AZ36*IRR_Revenue_Model!AZ39/Million,AZ36*IRR_Revenue_Model!AZ40/Million)*Equity_In_Project</f>
        <v>69.794795570318783</v>
      </c>
      <c r="BA58" s="108">
        <f>IF(BA56&lt;=CfD_Expiry_Date,BA36*IRR_Revenue_Model!BA39/Million,BA36*IRR_Revenue_Model!BA40/Million)*Equity_In_Project</f>
        <v>71.431585042278599</v>
      </c>
      <c r="BB58" s="108">
        <f>IF(BB56&lt;=CfD_Expiry_Date,BB36*IRR_Revenue_Model!BB39/Million,BB36*IRR_Revenue_Model!BB40/Million)*Equity_In_Project</f>
        <v>114.70517467974182</v>
      </c>
      <c r="BC58" s="108">
        <f>IF(BC56&lt;=CfD_Expiry_Date,BC36*IRR_Revenue_Model!BC39/Million,BC36*IRR_Revenue_Model!BC40/Million)*Equity_In_Project</f>
        <v>110.18329504453682</v>
      </c>
      <c r="BD58" s="108">
        <f>IF(BD56&lt;=CfD_Expiry_Date,BD36*IRR_Revenue_Model!BD39/Million,BD36*IRR_Revenue_Model!BD40/Million)*Equity_In_Project</f>
        <v>70.286794634429768</v>
      </c>
      <c r="BE58" s="108">
        <f>IF(BE56&lt;=CfD_Expiry_Date,BE36*IRR_Revenue_Model!BE39/Million,BE36*IRR_Revenue_Model!BE40/Million)*Equity_In_Project</f>
        <v>71.93512220005077</v>
      </c>
      <c r="BF58" s="108">
        <f>IF(BF56&lt;=CfD_Expiry_Date,BF36*IRR_Revenue_Model!BF39/Million,BF36*IRR_Revenue_Model!BF40/Million)*Equity_In_Project</f>
        <v>115.51375701213453</v>
      </c>
      <c r="BG58" s="108">
        <f>IF(BG56&lt;=CfD_Expiry_Date,BG36*IRR_Revenue_Model!BG39/Million,BG36*IRR_Revenue_Model!BG40/Million)*Equity_In_Project</f>
        <v>112.71200166580897</v>
      </c>
      <c r="BH58" s="108">
        <f>IF(BH56&lt;=CfD_Expiry_Date,BH36*IRR_Revenue_Model!BH39/Million,BH36*IRR_Revenue_Model!BH40/Million)*Equity_In_Project</f>
        <v>71.89987657128998</v>
      </c>
      <c r="BI58" s="108">
        <f>IF(BI56&lt;=CfD_Expiry_Date,BI36*IRR_Revenue_Model!BI39/Million,BI36*IRR_Revenue_Model!BI40/Million)*Equity_In_Project</f>
        <v>73.58603325454196</v>
      </c>
      <c r="BJ58" s="108">
        <f>IF(BJ56&lt;=CfD_Expiry_Date,BJ36*IRR_Revenue_Model!BJ39/Million,BJ36*IRR_Revenue_Model!BJ40/Million)*Equity_In_Project</f>
        <v>118.16479773556308</v>
      </c>
      <c r="BK58" s="108">
        <f>IF(BK56&lt;=CfD_Expiry_Date,BK36*IRR_Revenue_Model!BK39/Million,BK36*IRR_Revenue_Model!BK40/Million)*Equity_In_Project</f>
        <v>115.29874210403933</v>
      </c>
      <c r="BL58" s="108">
        <f>IF(BL56&lt;=CfD_Expiry_Date,BL36*IRR_Revenue_Model!BL39/Million,BL36*IRR_Revenue_Model!BL40/Million)*Equity_In_Project</f>
        <v>73.549978738601112</v>
      </c>
      <c r="BM58" s="108">
        <f>IF(BM56&lt;=CfD_Expiry_Date,BM36*IRR_Revenue_Model!BM39/Million,BM36*IRR_Revenue_Model!BM40/Million)*Equity_In_Project</f>
        <v>75.274832717733716</v>
      </c>
      <c r="BN58" s="108">
        <f>IF(BN56&lt;=CfD_Expiry_Date,BN36*IRR_Revenue_Model!BN39/Million,BN36*IRR_Revenue_Model!BN40/Million)*Equity_In_Project</f>
        <v>120.8766798435943</v>
      </c>
      <c r="BO58" s="108">
        <f>IF(BO56&lt;=CfD_Expiry_Date,BO36*IRR_Revenue_Model!BO39/Million,BO36*IRR_Revenue_Model!BO40/Million)*Equity_In_Project</f>
        <v>117.94484823532713</v>
      </c>
      <c r="BP58" s="108">
        <f>IF(BP56&lt;=CfD_Expiry_Date,BP36*IRR_Revenue_Model!BP39/Million,BP36*IRR_Revenue_Model!BP40/Million)*Equity_In_Project</f>
        <v>75.237950750652061</v>
      </c>
      <c r="BQ58" s="108">
        <f>IF(BQ56&lt;=CfD_Expiry_Date,BQ36*IRR_Revenue_Model!BQ39/Million,BQ36*IRR_Revenue_Model!BQ40/Million)*Equity_In_Project</f>
        <v>77.002390128605754</v>
      </c>
      <c r="BR58" s="108">
        <f>IF(BR56&lt;=CfD_Expiry_Date,BR36*IRR_Revenue_Model!BR39/Million,BR36*IRR_Revenue_Model!BR40/Million)*Equity_In_Project</f>
        <v>123.65079964600486</v>
      </c>
      <c r="BS58" s="108">
        <f>IF(BS56&lt;=CfD_Expiry_Date,BS36*IRR_Revenue_Model!BS39/Million,BS36*IRR_Revenue_Model!BS40/Million)*Equity_In_Project</f>
        <v>120.6516825023279</v>
      </c>
      <c r="BT58" s="108">
        <f>IF(BT56&lt;=CfD_Expiry_Date,BT36*IRR_Revenue_Model!BT39/Million,BT36*IRR_Revenue_Model!BT40/Million)*Equity_In_Project</f>
        <v>76.964661720379553</v>
      </c>
      <c r="BU58" s="108">
        <f>IF(BU56&lt;=CfD_Expiry_Date,BU36*IRR_Revenue_Model!BU39/Million,BU36*IRR_Revenue_Model!BU40/Million)*Equity_In_Project</f>
        <v>78.769594982057285</v>
      </c>
      <c r="BV58" s="108">
        <f>IF(BV56&lt;=CfD_Expiry_Date,BV36*IRR_Revenue_Model!BV39/Million,BV36*IRR_Revenue_Model!BV40/Million)*Equity_In_Project</f>
        <v>126.48858549788076</v>
      </c>
      <c r="BW58" s="108">
        <f>IF(BW56&lt;=CfD_Expiry_Date,BW36*IRR_Revenue_Model!BW39/Million,BW36*IRR_Revenue_Model!BW40/Million)*Equity_In_Project</f>
        <v>123.42063861575639</v>
      </c>
      <c r="BX58" s="108">
        <f>IF(BX56&lt;=CfD_Expiry_Date,BX36*IRR_Revenue_Model!BX39/Million,BX36*IRR_Revenue_Model!BX40/Million)*Equity_In_Project</f>
        <v>78.731000706862304</v>
      </c>
      <c r="BY58" s="108">
        <f>IF(BY56&lt;=CfD_Expiry_Date,BY36*IRR_Revenue_Model!BY39/Million,BY36*IRR_Revenue_Model!BY40/Million)*Equity_In_Project</f>
        <v>80.577357186895554</v>
      </c>
      <c r="BZ58" s="108">
        <f>IF(BZ56&lt;=CfD_Expiry_Date,BZ36*IRR_Revenue_Model!BZ39/Million,BZ36*IRR_Revenue_Model!BZ40/Million)*Equity_In_Project</f>
        <v>129.39149853505717</v>
      </c>
      <c r="CA58" s="108">
        <f>IF(CA56&lt;=CfD_Expiry_Date,CA36*IRR_Revenue_Model!CA39/Million,CA36*IRR_Revenue_Model!CA40/Million)*Equity_In_Project</f>
        <v>126.25314227198804</v>
      </c>
      <c r="CB58" s="108">
        <f>IF(CB56&lt;=CfD_Expiry_Date,CB36*IRR_Revenue_Model!CB39/Million,CB36*IRR_Revenue_Model!CB40/Million)*Equity_In_Project</f>
        <v>80.537877173084809</v>
      </c>
      <c r="CC58" s="108">
        <f>IF(CC56&lt;=CfD_Expiry_Date,CC36*IRR_Revenue_Model!CC39/Million,CC36*IRR_Revenue_Model!CC40/Million)*Equity_In_Project</f>
        <v>82.426607534334806</v>
      </c>
      <c r="CD58" s="108">
        <f>IF(CD56&lt;=CfD_Expiry_Date,CD36*IRR_Revenue_Model!CD39/Million,CD36*IRR_Revenue_Model!CD40/Million)*Equity_In_Project</f>
        <v>132.36103342643676</v>
      </c>
      <c r="CE58" s="108">
        <f>IF(CE56&lt;=CfD_Expiry_Date,CE36*IRR_Revenue_Model!CE39/Million,CE36*IRR_Revenue_Model!CE40/Million)*Equity_In_Project</f>
        <v>126.46945414327463</v>
      </c>
      <c r="CF58" s="108">
        <f>IF(CF56&lt;=CfD_Expiry_Date,CF36*IRR_Revenue_Model!CF39/Million,CF36*IRR_Revenue_Model!CF40/Million)*Equity_In_Project</f>
        <v>80.67586422518707</v>
      </c>
      <c r="CG58" s="108">
        <f>IF(CG56&lt;=CfD_Expiry_Date,CG36*IRR_Revenue_Model!CG39/Million,CG36*IRR_Revenue_Model!CG40/Million)*Equity_In_Project</f>
        <v>82.567830583509675</v>
      </c>
      <c r="CH58" s="108">
        <f>IF(CH56&lt;=CfD_Expiry_Date,CH36*IRR_Revenue_Model!CH39/Million,CH36*IRR_Revenue_Model!CH40/Million)*Equity_In_Project</f>
        <v>132.58781006193792</v>
      </c>
      <c r="CI58" s="108">
        <f>IF(CI56&lt;=CfD_Expiry_Date,CI36*IRR_Revenue_Model!CI39/Million,CI36*IRR_Revenue_Model!CI40/Million)*Equity_In_Project</f>
        <v>129.37192811586283</v>
      </c>
      <c r="CJ58" s="108">
        <f>IF(CJ56&lt;=CfD_Expiry_Date,CJ36*IRR_Revenue_Model!CJ39/Million,CJ36*IRR_Revenue_Model!CJ40/Million)*Equity_In_Project</f>
        <v>82.527375309155119</v>
      </c>
      <c r="CK58" s="108">
        <f>IF(CK56&lt;=CfD_Expiry_Date,CK36*IRR_Revenue_Model!CK39/Million,CK36*IRR_Revenue_Model!CK40/Million)*Equity_In_Project</f>
        <v>84.462762295401248</v>
      </c>
      <c r="CL58" s="108">
        <f>IF(CL56&lt;=CfD_Expiry_Date,CL36*IRR_Revenue_Model!CL39/Million,CL36*IRR_Revenue_Model!CL40/Million)*Equity_In_Project</f>
        <v>135.63070030285945</v>
      </c>
      <c r="CM58" s="108">
        <f>IF(CM56&lt;=CfD_Expiry_Date,CM36*IRR_Revenue_Model!CM39/Million,CM36*IRR_Revenue_Model!CM40/Million)*Equity_In_Project</f>
        <v>132.34101386612193</v>
      </c>
      <c r="CN58" s="108">
        <f>IF(CN56&lt;=CfD_Expiry_Date,CN36*IRR_Revenue_Model!CN39/Million,CN36*IRR_Revenue_Model!CN40/Million)*Equity_In_Project</f>
        <v>84.421378572500288</v>
      </c>
      <c r="CO58" s="108">
        <f>IF(CO56&lt;=CfD_Expiry_Date,CO36*IRR_Revenue_Model!CO39/Million,CO36*IRR_Revenue_Model!CO40/Million)*Equity_In_Project</f>
        <v>86.401182690080759</v>
      </c>
      <c r="CP58" s="108">
        <f>IF(CP56&lt;=CfD_Expiry_Date,CP36*IRR_Revenue_Model!CP39/Million,CP36*IRR_Revenue_Model!CP40/Million)*Equity_In_Project</f>
        <v>138.74342487481016</v>
      </c>
      <c r="CQ58" s="108">
        <f>IF(CQ56&lt;=CfD_Expiry_Date,CQ36*IRR_Revenue_Model!CQ39/Million,CQ36*IRR_Revenue_Model!CQ40/Million)*Equity_In_Project</f>
        <v>135.37824013434945</v>
      </c>
      <c r="CR58" s="108">
        <f>IF(CR56&lt;=CfD_Expiry_Date,CR36*IRR_Revenue_Model!CR39/Million,CR36*IRR_Revenue_Model!CR40/Million)*Equity_In_Project</f>
        <v>86.358849210739209</v>
      </c>
      <c r="CS58" s="108">
        <f>IF(CS56&lt;=CfD_Expiry_Date,CS36*IRR_Revenue_Model!CS39/Million,CS36*IRR_Revenue_Model!CS40/Million)*Equity_In_Project</f>
        <v>88.384089832818134</v>
      </c>
      <c r="CT58" s="108">
        <f>IF(CT56&lt;=CfD_Expiry_Date,CT36*IRR_Revenue_Model!CT39/Million,CT36*IRR_Revenue_Model!CT40/Million)*Equity_In_Project</f>
        <v>141.92758647568712</v>
      </c>
      <c r="CU58" s="256">
        <f>IF(CU56&lt;=CfD_Expiry_Date,CU36*IRR_Revenue_Model!CU39/Million,CU36*IRR_Revenue_Model!CU40/Million)*Equity_In_Project</f>
        <v>138.4851707454329</v>
      </c>
      <c r="CV58" s="108">
        <f>IF(CV56&lt;=CfD_Expiry_Date,CV36*IRR_Revenue_Model!CV39/Million,CV36*IRR_Revenue_Model!CV40/Million)*Equity_In_Project</f>
        <v>43.401480360458883</v>
      </c>
      <c r="CW58" s="108">
        <f>IF(CW56&lt;=CfD_Expiry_Date,CW36*IRR_Revenue_Model!CW39/Million,CW36*IRR_Revenue_Model!CW40/Million)*Equity_In_Project</f>
        <v>44.419308201933077</v>
      </c>
      <c r="CX58" s="108">
        <f>IF(CX56&lt;=CfD_Expiry_Date,CX36*IRR_Revenue_Model!CX39/Million,CX36*IRR_Revenue_Model!CX40/Million)*Equity_In_Project</f>
        <v>71.328733688890438</v>
      </c>
      <c r="CY58" s="108">
        <f>IF(CY56&lt;=CfD_Expiry_Date,CY36*IRR_Revenue_Model!CY39/Million,CY36*IRR_Revenue_Model!CY40/Million)*Equity_In_Project</f>
        <v>68.48211801848332</v>
      </c>
      <c r="CZ58" s="108">
        <f>IF(CZ56&lt;=CfD_Expiry_Date,CZ36*IRR_Revenue_Model!CZ39/Million,CZ36*IRR_Revenue_Model!CZ40/Million)*Equity_In_Project</f>
        <v>43.68528426519029</v>
      </c>
      <c r="DA58" s="108">
        <f>IF(DA56&lt;=CfD_Expiry_Date,DA36*IRR_Revenue_Model!DA39/Million,DA36*IRR_Revenue_Model!DA40/Million)*Equity_In_Project</f>
        <v>44.709767721020377</v>
      </c>
      <c r="DB58" s="108">
        <f>IF(DB56&lt;=CfD_Expiry_Date,DB36*IRR_Revenue_Model!DB39/Million,DB36*IRR_Revenue_Model!DB40/Million)*Equity_In_Project</f>
        <v>71.795154948541679</v>
      </c>
      <c r="DC58" s="108">
        <f>IF(DC56&lt;=CfD_Expiry_Date,DC36*IRR_Revenue_Model!DC39/Million,DC36*IRR_Revenue_Model!DC40/Million)*Equity_In_Project</f>
        <v>70.053782627007564</v>
      </c>
      <c r="DD58" s="108">
        <f>IF(DD56&lt;=CfD_Expiry_Date,DD36*IRR_Revenue_Model!DD39/Million,DD36*IRR_Revenue_Model!DD40/Million)*Equity_In_Project</f>
        <v>44.687861539076422</v>
      </c>
      <c r="DE58" s="108">
        <f>IF(DE56&lt;=CfD_Expiry_Date,DE36*IRR_Revenue_Model!DE39/Million,DE36*IRR_Revenue_Model!DE40/Million)*Equity_In_Project</f>
        <v>45.735856890217832</v>
      </c>
      <c r="DF58" s="108">
        <f>IF(DF56&lt;=CfD_Expiry_Date,DF36*IRR_Revenue_Model!DF39/Million,DF36*IRR_Revenue_Model!DF40/Million)*Equity_In_Project</f>
        <v>73.442853754610752</v>
      </c>
      <c r="DG58" s="108">
        <f>IF(DG56&lt;=CfD_Expiry_Date,DG36*IRR_Revenue_Model!DG39/Million,DG36*IRR_Revenue_Model!DG40/Million)*Equity_In_Project</f>
        <v>71.661516938297439</v>
      </c>
      <c r="DH58" s="108">
        <f>IF(DH56&lt;=CfD_Expiry_Date,DH36*IRR_Revenue_Model!DH39/Million,DH36*IRR_Revenue_Model!DH40/Million)*Equity_In_Project</f>
        <v>45.713447961398259</v>
      </c>
      <c r="DI58" s="108">
        <f>IF(DI56&lt;=CfD_Expiry_Date,DI36*IRR_Revenue_Model!DI39/Million,DI36*IRR_Revenue_Model!DI40/Million)*Equity_In_Project</f>
        <v>46.785494805848352</v>
      </c>
      <c r="DJ58" s="108">
        <f>IF(DJ56&lt;=CfD_Expiry_Date,DJ36*IRR_Revenue_Model!DJ39/Million,DJ36*IRR_Revenue_Model!DJ40/Million)*Equity_In_Project</f>
        <v>75.128367248279119</v>
      </c>
      <c r="DK58" s="108">
        <f>IF(DK56&lt;=CfD_Expiry_Date,DK36*IRR_Revenue_Model!DK39/Million,DK36*IRR_Revenue_Model!DK40/Million)*Equity_In_Project</f>
        <v>73.306148752031405</v>
      </c>
      <c r="DL58" s="108">
        <f>IF(DL56&lt;=CfD_Expiry_Date,DL36*IRR_Revenue_Model!DL39/Million,DL36*IRR_Revenue_Model!DL40/Million)*Equity_In_Project</f>
        <v>46.762571592112373</v>
      </c>
      <c r="DM58" s="108">
        <f>IF(DM56&lt;=CfD_Expiry_Date,DM36*IRR_Revenue_Model!DM39/Million,DM36*IRR_Revenue_Model!DM40/Million)*Equity_In_Project</f>
        <v>47.859221911642607</v>
      </c>
      <c r="DN58" s="108">
        <f>IF(DN56&lt;=CfD_Expiry_Date,DN36*IRR_Revenue_Model!DN39/Million,DN36*IRR_Revenue_Model!DN40/Million)*Equity_In_Project</f>
        <v>76.85256327662718</v>
      </c>
      <c r="DO58" s="108">
        <f>IF(DO56&lt;=CfD_Expiry_Date,DO36*IRR_Revenue_Model!DO39/Million,DO36*IRR_Revenue_Model!DO40/Million)*Equity_In_Project</f>
        <v>74.988524865890582</v>
      </c>
      <c r="DP58" s="108">
        <f>IF(DP56&lt;=CfD_Expiry_Date,DP36*IRR_Revenue_Model!DP39/Million,DP36*IRR_Revenue_Model!DP40/Million)*Equity_In_Project</f>
        <v>47.83577261015138</v>
      </c>
      <c r="DQ58" s="108">
        <f>IF(DQ56&lt;=CfD_Expiry_Date,DQ36*IRR_Revenue_Model!DQ39/Million,DQ36*IRR_Revenue_Model!DQ40/Million)*Equity_In_Project</f>
        <v>48.957591054514836</v>
      </c>
      <c r="DR58" s="108">
        <f>IF(DR56&lt;=CfD_Expiry_Date,DR36*IRR_Revenue_Model!DR39/Million,DR36*IRR_Revenue_Model!DR40/Million)*Equity_In_Project</f>
        <v>78.61632960382579</v>
      </c>
      <c r="DS58" s="108">
        <f>IF(DS56&lt;=CfD_Expiry_Date,DS36*IRR_Revenue_Model!DS39/Million,DS36*IRR_Revenue_Model!DS40/Million)*Equity_In_Project</f>
        <v>76.709511511562795</v>
      </c>
      <c r="DT58" s="108">
        <f>IF(DT56&lt;=CfD_Expiry_Date,DT36*IRR_Revenue_Model!DT39/Million,DT36*IRR_Revenue_Model!DT40/Million)*Equity_In_Project</f>
        <v>48.933603591554366</v>
      </c>
      <c r="DU58" s="108">
        <f>IF(DU56&lt;=CfD_Expiry_Date,DU36*IRR_Revenue_Model!DU39/Million,DU36*IRR_Revenue_Model!DU40/Million)*Equity_In_Project</f>
        <v>50.081167769215966</v>
      </c>
      <c r="DV58" s="108">
        <f>IF(DV56&lt;=CfD_Expiry_Date,DV36*IRR_Revenue_Model!DV39/Million,DV36*IRR_Revenue_Model!DV40/Million)*Equity_In_Project</f>
        <v>80.42057436823363</v>
      </c>
      <c r="DW58" s="108">
        <f>IF(DW56&lt;=CfD_Expiry_Date,DW36*IRR_Revenue_Model!DW39/Million,DW36*IRR_Revenue_Model!DW40/Million)*Equity_In_Project</f>
        <v>78.469994800753213</v>
      </c>
      <c r="DX58" s="108">
        <f>IF(DX56&lt;=CfD_Expiry_Date,DX36*IRR_Revenue_Model!DX39/Million,DX36*IRR_Revenue_Model!DX40/Million)*Equity_In_Project</f>
        <v>50.056629793980569</v>
      </c>
      <c r="DY58" s="108">
        <f>IF(DY56&lt;=CfD_Expiry_Date,DY36*IRR_Revenue_Model!DY39/Million,DY36*IRR_Revenue_Model!DY40/Million)*Equity_In_Project</f>
        <v>51.230530569519502</v>
      </c>
      <c r="DZ58" s="108">
        <f>IF(DZ56&lt;=CfD_Expiry_Date,DZ36*IRR_Revenue_Model!DZ39/Million,DZ36*IRR_Revenue_Model!DZ40/Million)*Equity_In_Project</f>
        <v>82.266226549984665</v>
      </c>
      <c r="EA58" s="108">
        <f>IF(EA56&lt;=CfD_Expiry_Date,EA36*IRR_Revenue_Model!EA39/Million,EA36*IRR_Revenue_Model!EA40/Million)*Equity_In_Project</f>
        <v>80.270881181430539</v>
      </c>
      <c r="EB58" s="108">
        <f>IF(EB56&lt;=CfD_Expiry_Date,EB36*IRR_Revenue_Model!EB39/Million,EB36*IRR_Revenue_Model!EB40/Million)*Equity_In_Project</f>
        <v>51.205429447752451</v>
      </c>
      <c r="EC58" s="108">
        <f>IF(EC56&lt;=CfD_Expiry_Date,EC36*IRR_Revenue_Model!EC39/Million,EC36*IRR_Revenue_Model!EC40/Million)*Equity_In_Project</f>
        <v>52.40627124609</v>
      </c>
      <c r="ED58" s="108">
        <f>IF(ED56&lt;=CfD_Expiry_Date,ED36*IRR_Revenue_Model!ED39/Million,ED36*IRR_Revenue_Model!ED40/Million)*Equity_In_Project</f>
        <v>84.154236449306836</v>
      </c>
      <c r="EE58" s="108">
        <f>IF(EE56&lt;=CfD_Expiry_Date,EE36*IRR_Revenue_Model!EE39/Million,EE36*IRR_Revenue_Model!EE40/Million)*Equity_In_Project</f>
        <v>82.113097904544389</v>
      </c>
      <c r="EF58" s="108">
        <f>IF(EF56&lt;=CfD_Expiry_Date,EF36*IRR_Revenue_Model!EF39/Million,EF36*IRR_Revenue_Model!EF40/Million)*Equity_In_Project</f>
        <v>52.380594053578399</v>
      </c>
      <c r="EG58" s="108">
        <f>IF(EG56&lt;=CfD_Expiry_Date,EG36*IRR_Revenue_Model!EG39/Million,EG36*IRR_Revenue_Model!EG40/Million)*Equity_In_Project</f>
        <v>53.608995171187779</v>
      </c>
      <c r="EH58" s="108">
        <f>IF(EH56&lt;=CfD_Expiry_Date,EH36*IRR_Revenue_Model!EH39/Million,EH36*IRR_Revenue_Model!EH40/Million)*Equity_In_Project</f>
        <v>86.085576175818446</v>
      </c>
      <c r="EI58" s="108">
        <f>IF(EI56&lt;=CfD_Expiry_Date,EI36*IRR_Revenue_Model!EI39/Million,EI36*IRR_Revenue_Model!EI40/Million)*Equity_In_Project</f>
        <v>83.997593501453721</v>
      </c>
      <c r="EJ58" s="108">
        <f>IF(EJ56&lt;=CfD_Expiry_Date,EJ36*IRR_Revenue_Model!EJ39/Million,EJ36*IRR_Revenue_Model!EJ40/Million)*Equity_In_Project</f>
        <v>0</v>
      </c>
      <c r="EK58" s="108">
        <f>IF(EK56&lt;=CfD_Expiry_Date,EK36*IRR_Revenue_Model!EK39/Million,EK36*IRR_Revenue_Model!EK40/Million)*Equity_In_Project</f>
        <v>0</v>
      </c>
      <c r="EL58" s="108">
        <f>IF(EL56&lt;=CfD_Expiry_Date,EL36*IRR_Revenue_Model!EL39/Million,EL36*IRR_Revenue_Model!EL40/Million)*Equity_In_Project</f>
        <v>0</v>
      </c>
      <c r="EM58" s="108">
        <f>IF(EM56&lt;=CfD_Expiry_Date,EM36*IRR_Revenue_Model!EM39/Million,EM36*IRR_Revenue_Model!EM40/Million)*Equity_In_Project</f>
        <v>0</v>
      </c>
      <c r="EN58" s="108">
        <f>IF(EN56&lt;=CfD_Expiry_Date,EN36*IRR_Revenue_Model!EN39/Million,EN36*IRR_Revenue_Model!EN40/Million)*Equity_In_Project</f>
        <v>0</v>
      </c>
      <c r="EO58" s="108">
        <f>IF(EO56&lt;=CfD_Expiry_Date,EO36*IRR_Revenue_Model!EO39/Million,EO36*IRR_Revenue_Model!EO40/Million)*Equity_In_Project</f>
        <v>0</v>
      </c>
      <c r="EP58" s="108">
        <f>IF(EP56&lt;=CfD_Expiry_Date,EP36*IRR_Revenue_Model!EP39/Million,EP36*IRR_Revenue_Model!EP40/Million)*Equity_In_Project</f>
        <v>0</v>
      </c>
      <c r="EQ58" s="108">
        <f>IF(EQ56&lt;=CfD_Expiry_Date,EQ36*IRR_Revenue_Model!EQ39/Million,EQ36*IRR_Revenue_Model!EQ40/Million)*Equity_In_Project</f>
        <v>0</v>
      </c>
      <c r="ER58" s="108">
        <f>IF(ER56&lt;=CfD_Expiry_Date,ER36*IRR_Revenue_Model!ER39/Million,ER36*IRR_Revenue_Model!ER40/Million)*Equity_In_Project</f>
        <v>0</v>
      </c>
      <c r="ES58" s="108">
        <f>IF(ES56&lt;=CfD_Expiry_Date,ES36*IRR_Revenue_Model!ES39/Million,ES36*IRR_Revenue_Model!ES40/Million)*Equity_In_Project</f>
        <v>0</v>
      </c>
      <c r="ET58" s="108">
        <f>IF(ET56&lt;=CfD_Expiry_Date,ET36*IRR_Revenue_Model!ET39/Million,ET36*IRR_Revenue_Model!ET40/Million)*Equity_In_Project</f>
        <v>0</v>
      </c>
      <c r="EU58" s="108">
        <f>IF(EU56&lt;=CfD_Expiry_Date,EU36*IRR_Revenue_Model!EU39/Million,EU36*IRR_Revenue_Model!EU40/Million)*Equity_In_Project</f>
        <v>0</v>
      </c>
      <c r="EV58" s="108">
        <f>IF(EV56&lt;=CfD_Expiry_Date,EV36*IRR_Revenue_Model!EV39/Million,EV36*IRR_Revenue_Model!EV40/Million)*Equity_In_Project</f>
        <v>0</v>
      </c>
      <c r="EW58" s="108">
        <f>IF(EW56&lt;=CfD_Expiry_Date,EW36*IRR_Revenue_Model!EW39/Million,EW36*IRR_Revenue_Model!EW40/Million)*Equity_In_Project</f>
        <v>0</v>
      </c>
      <c r="EX58" s="108">
        <f>IF(EX56&lt;=CfD_Expiry_Date,EX36*IRR_Revenue_Model!EX39/Million,EX36*IRR_Revenue_Model!EX40/Million)*Equity_In_Project</f>
        <v>0</v>
      </c>
      <c r="EY58" s="108">
        <f>IF(EY56&lt;=CfD_Expiry_Date,EY36*IRR_Revenue_Model!EY39/Million,EY36*IRR_Revenue_Model!EY40/Million)*Equity_In_Project</f>
        <v>0</v>
      </c>
      <c r="EZ58" s="108">
        <f>IF(EZ56&lt;=CfD_Expiry_Date,EZ36*IRR_Revenue_Model!EZ39/Million,EZ36*IRR_Revenue_Model!EZ40/Million)*Equity_In_Project</f>
        <v>0</v>
      </c>
      <c r="FA58" s="108">
        <f>IF(FA56&lt;=CfD_Expiry_Date,FA36*IRR_Revenue_Model!FA39/Million,FA36*IRR_Revenue_Model!FA40/Million)*Equity_In_Project</f>
        <v>0</v>
      </c>
    </row>
    <row r="59" spans="2:157" outlineLevel="1" x14ac:dyDescent="0.2">
      <c r="C59" s="58" t="s">
        <v>350</v>
      </c>
      <c r="D59" s="21" t="s">
        <v>126</v>
      </c>
      <c r="E59" s="5"/>
      <c r="F59" s="21"/>
      <c r="G59" s="109">
        <f t="shared" ref="G59:AL59" si="353">-G37*G42/Million*Equity_In_Project</f>
        <v>0</v>
      </c>
      <c r="H59" s="109">
        <f t="shared" si="353"/>
        <v>0</v>
      </c>
      <c r="I59" s="109">
        <f t="shared" si="353"/>
        <v>0</v>
      </c>
      <c r="J59" s="109">
        <f t="shared" si="353"/>
        <v>0</v>
      </c>
      <c r="K59" s="109">
        <f t="shared" si="353"/>
        <v>0</v>
      </c>
      <c r="L59" s="109">
        <f t="shared" si="353"/>
        <v>0</v>
      </c>
      <c r="M59" s="109">
        <f t="shared" si="353"/>
        <v>-0.42210140040430078</v>
      </c>
      <c r="N59" s="109">
        <f t="shared" si="353"/>
        <v>-0.57915703125000029</v>
      </c>
      <c r="O59" s="109">
        <f t="shared" si="353"/>
        <v>-0.7187167542400934</v>
      </c>
      <c r="P59" s="109">
        <f t="shared" si="353"/>
        <v>-1.1727036087903402</v>
      </c>
      <c r="Q59" s="109">
        <f t="shared" si="353"/>
        <v>-1.6716174777374875</v>
      </c>
      <c r="R59" s="109">
        <f t="shared" si="353"/>
        <v>-1.9194229277343768</v>
      </c>
      <c r="S59" s="109">
        <f t="shared" si="353"/>
        <v>-2.0507708467269703</v>
      </c>
      <c r="T59" s="109">
        <f t="shared" si="353"/>
        <v>-2.0634697249673373</v>
      </c>
      <c r="U59" s="109">
        <f t="shared" si="353"/>
        <v>-2.0762472377898273</v>
      </c>
      <c r="V59" s="109">
        <f t="shared" si="353"/>
        <v>-2.0891038721191442</v>
      </c>
      <c r="W59" s="109">
        <f t="shared" si="353"/>
        <v>-2.1020401178951453</v>
      </c>
      <c r="X59" s="109">
        <f t="shared" si="353"/>
        <v>-2.1150564680915216</v>
      </c>
      <c r="Y59" s="109">
        <f t="shared" si="353"/>
        <v>-2.1281534187345743</v>
      </c>
      <c r="Z59" s="109">
        <f t="shared" si="353"/>
        <v>-2.1413314689221234</v>
      </c>
      <c r="AA59" s="109">
        <f t="shared" si="353"/>
        <v>-2.1545911208425252</v>
      </c>
      <c r="AB59" s="109">
        <f t="shared" si="353"/>
        <v>-2.1679328797938102</v>
      </c>
      <c r="AC59" s="109">
        <f t="shared" si="353"/>
        <v>-2.1813572542029389</v>
      </c>
      <c r="AD59" s="109">
        <f t="shared" si="353"/>
        <v>-2.194864755645177</v>
      </c>
      <c r="AE59" s="109">
        <f t="shared" si="353"/>
        <v>-2.2084558988635887</v>
      </c>
      <c r="AF59" s="109">
        <f t="shared" si="353"/>
        <v>-2.2221312017886561</v>
      </c>
      <c r="AG59" s="109">
        <f t="shared" si="353"/>
        <v>-2.235891185558013</v>
      </c>
      <c r="AH59" s="109">
        <f t="shared" si="353"/>
        <v>-2.2497363745363073</v>
      </c>
      <c r="AI59" s="109">
        <f t="shared" si="353"/>
        <v>-2.2636672963351798</v>
      </c>
      <c r="AJ59" s="109">
        <f t="shared" si="353"/>
        <v>-2.2776844818333735</v>
      </c>
      <c r="AK59" s="109">
        <f t="shared" si="353"/>
        <v>-2.2917884651969649</v>
      </c>
      <c r="AL59" s="109">
        <f t="shared" si="353"/>
        <v>-2.3059797838997156</v>
      </c>
      <c r="AM59" s="109">
        <f t="shared" ref="AM59:BR59" si="354">-AM37*AM42/Million*Equity_In_Project</f>
        <v>-2.3202589787435595</v>
      </c>
      <c r="AN59" s="109">
        <f t="shared" si="354"/>
        <v>-2.334626593879209</v>
      </c>
      <c r="AO59" s="109">
        <f t="shared" si="354"/>
        <v>-2.3490831768268898</v>
      </c>
      <c r="AP59" s="109">
        <f t="shared" si="354"/>
        <v>-2.3636292784972093</v>
      </c>
      <c r="AQ59" s="109">
        <f t="shared" si="354"/>
        <v>-2.3782654532121494</v>
      </c>
      <c r="AR59" s="109">
        <f t="shared" si="354"/>
        <v>-2.3929922587261898</v>
      </c>
      <c r="AS59" s="109">
        <f t="shared" si="354"/>
        <v>-2.4078102562475627</v>
      </c>
      <c r="AT59" s="109">
        <f t="shared" si="354"/>
        <v>-2.4227200104596407</v>
      </c>
      <c r="AU59" s="109">
        <f t="shared" si="354"/>
        <v>-2.4377220895424543</v>
      </c>
      <c r="AV59" s="109">
        <f t="shared" si="354"/>
        <v>-2.4528170651943455</v>
      </c>
      <c r="AW59" s="109">
        <f t="shared" si="354"/>
        <v>-2.468005512653753</v>
      </c>
      <c r="AX59" s="109">
        <f t="shared" si="354"/>
        <v>-2.4832880107211328</v>
      </c>
      <c r="AY59" s="109">
        <f t="shared" si="354"/>
        <v>-2.4986651417810166</v>
      </c>
      <c r="AZ59" s="109">
        <f t="shared" si="354"/>
        <v>-2.5141374918242052</v>
      </c>
      <c r="BA59" s="109">
        <f t="shared" si="354"/>
        <v>-2.5297056504700977</v>
      </c>
      <c r="BB59" s="109">
        <f t="shared" si="354"/>
        <v>-2.5453702109891618</v>
      </c>
      <c r="BC59" s="109">
        <f t="shared" si="354"/>
        <v>-2.561131770325543</v>
      </c>
      <c r="BD59" s="109">
        <f t="shared" si="354"/>
        <v>-2.5769909291198108</v>
      </c>
      <c r="BE59" s="109">
        <f t="shared" si="354"/>
        <v>-2.59294829173185</v>
      </c>
      <c r="BF59" s="109">
        <f t="shared" si="354"/>
        <v>-2.6090044662638916</v>
      </c>
      <c r="BG59" s="109">
        <f t="shared" si="354"/>
        <v>-2.6251600645836826</v>
      </c>
      <c r="BH59" s="109">
        <f t="shared" si="354"/>
        <v>-2.6414157023478073</v>
      </c>
      <c r="BI59" s="109">
        <f t="shared" si="354"/>
        <v>-2.6577719990251478</v>
      </c>
      <c r="BJ59" s="109">
        <f t="shared" si="354"/>
        <v>-2.6742295779204901</v>
      </c>
      <c r="BK59" s="109">
        <f t="shared" si="354"/>
        <v>-2.6907890661982754</v>
      </c>
      <c r="BL59" s="109">
        <f t="shared" si="354"/>
        <v>-2.7074510949065034</v>
      </c>
      <c r="BM59" s="109">
        <f t="shared" si="354"/>
        <v>-2.7242162990007772</v>
      </c>
      <c r="BN59" s="109">
        <f t="shared" si="354"/>
        <v>-2.741085317368503</v>
      </c>
      <c r="BO59" s="109">
        <f t="shared" si="354"/>
        <v>-2.758058792853233</v>
      </c>
      <c r="BP59" s="109">
        <f t="shared" si="354"/>
        <v>-2.7751373722791666</v>
      </c>
      <c r="BQ59" s="109">
        <f t="shared" si="354"/>
        <v>-2.7923217064757977</v>
      </c>
      <c r="BR59" s="109">
        <f t="shared" si="354"/>
        <v>-2.8096124503027164</v>
      </c>
      <c r="BS59" s="109">
        <f t="shared" ref="BS59:CX59" si="355">-BS37*BS42/Million*Equity_In_Project</f>
        <v>-2.8270102626745643</v>
      </c>
      <c r="BT59" s="109">
        <f t="shared" si="355"/>
        <v>-2.8445158065861467</v>
      </c>
      <c r="BU59" s="109">
        <f t="shared" si="355"/>
        <v>-2.8621297491376936</v>
      </c>
      <c r="BV59" s="109">
        <f t="shared" si="355"/>
        <v>-2.8798527615602851</v>
      </c>
      <c r="BW59" s="109">
        <f t="shared" si="355"/>
        <v>-2.8976855192414295</v>
      </c>
      <c r="BX59" s="109">
        <f t="shared" si="355"/>
        <v>-2.9156287017508014</v>
      </c>
      <c r="BY59" s="109">
        <f t="shared" si="355"/>
        <v>-2.933682992866137</v>
      </c>
      <c r="BZ59" s="109">
        <f t="shared" si="355"/>
        <v>-2.9518490805992932</v>
      </c>
      <c r="CA59" s="109">
        <f t="shared" si="355"/>
        <v>-2.9701276572224664</v>
      </c>
      <c r="CB59" s="109">
        <f t="shared" si="355"/>
        <v>-2.9885194192945725</v>
      </c>
      <c r="CC59" s="109">
        <f t="shared" si="355"/>
        <v>-3.0070250676877914</v>
      </c>
      <c r="CD59" s="109">
        <f t="shared" si="355"/>
        <v>-3.0256453076142766</v>
      </c>
      <c r="CE59" s="109">
        <f t="shared" si="355"/>
        <v>-3.044380848653029</v>
      </c>
      <c r="CF59" s="109">
        <f t="shared" si="355"/>
        <v>-3.0632324047769379</v>
      </c>
      <c r="CG59" s="109">
        <f t="shared" si="355"/>
        <v>-3.0822006943799871</v>
      </c>
      <c r="CH59" s="109">
        <f t="shared" si="355"/>
        <v>-3.101286440304635</v>
      </c>
      <c r="CI59" s="109">
        <f t="shared" si="355"/>
        <v>-3.1204903698693558</v>
      </c>
      <c r="CJ59" s="109">
        <f t="shared" si="355"/>
        <v>-3.1398132148963622</v>
      </c>
      <c r="CK59" s="109">
        <f t="shared" si="355"/>
        <v>-3.1592557117394882</v>
      </c>
      <c r="CL59" s="109">
        <f t="shared" si="355"/>
        <v>-3.1788186013122508</v>
      </c>
      <c r="CM59" s="109">
        <f t="shared" si="355"/>
        <v>-3.1985026291160916</v>
      </c>
      <c r="CN59" s="109">
        <f t="shared" si="355"/>
        <v>-3.2183085452687723</v>
      </c>
      <c r="CO59" s="109">
        <f t="shared" si="355"/>
        <v>-3.2382371045329763</v>
      </c>
      <c r="CP59" s="109">
        <f t="shared" si="355"/>
        <v>-3.2582890663450588</v>
      </c>
      <c r="CQ59" s="109">
        <f t="shared" si="355"/>
        <v>-3.2784651948439945</v>
      </c>
      <c r="CR59" s="109">
        <f t="shared" si="355"/>
        <v>-3.2987662589004931</v>
      </c>
      <c r="CS59" s="109">
        <f t="shared" si="355"/>
        <v>-3.3191930321463023</v>
      </c>
      <c r="CT59" s="109">
        <f t="shared" si="355"/>
        <v>-3.3397462930036865</v>
      </c>
      <c r="CU59" s="257">
        <f t="shared" si="355"/>
        <v>-3.3604268247150952</v>
      </c>
      <c r="CV59" s="109">
        <f t="shared" si="355"/>
        <v>-3.3812354153730064</v>
      </c>
      <c r="CW59" s="109">
        <f t="shared" si="355"/>
        <v>-3.4021728579499602</v>
      </c>
      <c r="CX59" s="109">
        <f t="shared" si="355"/>
        <v>-3.4232399503287803</v>
      </c>
      <c r="CY59" s="109">
        <f t="shared" ref="CY59:ED59" si="356">-CY37*CY42/Million*Equity_In_Project</f>
        <v>-3.4444374953329744</v>
      </c>
      <c r="CZ59" s="109">
        <f t="shared" si="356"/>
        <v>-3.4657663007573327</v>
      </c>
      <c r="DA59" s="109">
        <f t="shared" si="356"/>
        <v>-3.4872271793987104</v>
      </c>
      <c r="DB59" s="109">
        <f t="shared" si="356"/>
        <v>-3.5088209490870002</v>
      </c>
      <c r="DC59" s="109">
        <f t="shared" si="356"/>
        <v>-3.5305484327162993</v>
      </c>
      <c r="DD59" s="109">
        <f t="shared" si="356"/>
        <v>-3.5524104582762677</v>
      </c>
      <c r="DE59" s="109">
        <f t="shared" si="356"/>
        <v>-3.5744078588836805</v>
      </c>
      <c r="DF59" s="109">
        <f t="shared" si="356"/>
        <v>-3.5965414728141782</v>
      </c>
      <c r="DG59" s="109">
        <f t="shared" si="356"/>
        <v>-3.6188121435342091</v>
      </c>
      <c r="DH59" s="109">
        <f t="shared" si="356"/>
        <v>-3.6412207197331763</v>
      </c>
      <c r="DI59" s="109">
        <f t="shared" si="356"/>
        <v>-3.6637680553557739</v>
      </c>
      <c r="DJ59" s="109">
        <f t="shared" si="356"/>
        <v>-3.6864550096345345</v>
      </c>
      <c r="DK59" s="109">
        <f t="shared" si="356"/>
        <v>-3.7092824471225665</v>
      </c>
      <c r="DL59" s="109">
        <f t="shared" si="356"/>
        <v>-3.7322512377265067</v>
      </c>
      <c r="DM59" s="109">
        <f t="shared" si="356"/>
        <v>-3.7553622567396698</v>
      </c>
      <c r="DN59" s="109">
        <f t="shared" si="356"/>
        <v>-3.7786163848753982</v>
      </c>
      <c r="DO59" s="109">
        <f t="shared" si="356"/>
        <v>-3.802014508300632</v>
      </c>
      <c r="DP59" s="109">
        <f t="shared" si="356"/>
        <v>-3.825557518669672</v>
      </c>
      <c r="DQ59" s="109">
        <f t="shared" si="356"/>
        <v>-3.8492463131581633</v>
      </c>
      <c r="DR59" s="109">
        <f t="shared" si="356"/>
        <v>-3.8730817944972853</v>
      </c>
      <c r="DS59" s="109">
        <f t="shared" si="356"/>
        <v>-3.897064871008149</v>
      </c>
      <c r="DT59" s="109">
        <f t="shared" si="356"/>
        <v>-3.9211964566364146</v>
      </c>
      <c r="DU59" s="109">
        <f t="shared" si="356"/>
        <v>-3.945477470987119</v>
      </c>
      <c r="DV59" s="109">
        <f t="shared" si="356"/>
        <v>-3.9699088393597188</v>
      </c>
      <c r="DW59" s="109">
        <f t="shared" si="356"/>
        <v>-3.9944914927833541</v>
      </c>
      <c r="DX59" s="109">
        <f t="shared" si="356"/>
        <v>-4.019226368052327</v>
      </c>
      <c r="DY59" s="109">
        <f t="shared" si="356"/>
        <v>-4.0441144077617981</v>
      </c>
      <c r="DZ59" s="109">
        <f t="shared" si="356"/>
        <v>-4.0691565603437132</v>
      </c>
      <c r="EA59" s="109">
        <f t="shared" si="356"/>
        <v>-4.0943537801029395</v>
      </c>
      <c r="EB59" s="109">
        <f t="shared" si="356"/>
        <v>-4.1197070272536367</v>
      </c>
      <c r="EC59" s="109">
        <f t="shared" si="356"/>
        <v>-4.1452172679558448</v>
      </c>
      <c r="ED59" s="109">
        <f t="shared" si="356"/>
        <v>-4.1708854743523078</v>
      </c>
      <c r="EE59" s="109">
        <f t="shared" ref="EE59:FA59" si="357">-EE37*EE42/Million*Equity_In_Project</f>
        <v>-4.1967126246055146</v>
      </c>
      <c r="EF59" s="109">
        <f t="shared" si="357"/>
        <v>-4.2226997029349782</v>
      </c>
      <c r="EG59" s="109">
        <f t="shared" si="357"/>
        <v>-4.2488476996547417</v>
      </c>
      <c r="EH59" s="109">
        <f t="shared" si="357"/>
        <v>-4.2751576112111174</v>
      </c>
      <c r="EI59" s="109">
        <f t="shared" si="357"/>
        <v>-4.301630440220654</v>
      </c>
      <c r="EJ59" s="109">
        <f t="shared" si="357"/>
        <v>0</v>
      </c>
      <c r="EK59" s="109">
        <f t="shared" si="357"/>
        <v>0</v>
      </c>
      <c r="EL59" s="109">
        <f t="shared" si="357"/>
        <v>0</v>
      </c>
      <c r="EM59" s="109">
        <f t="shared" si="357"/>
        <v>0</v>
      </c>
      <c r="EN59" s="109">
        <f t="shared" si="357"/>
        <v>0</v>
      </c>
      <c r="EO59" s="109">
        <f t="shared" si="357"/>
        <v>0</v>
      </c>
      <c r="EP59" s="109">
        <f t="shared" si="357"/>
        <v>0</v>
      </c>
      <c r="EQ59" s="109">
        <f t="shared" si="357"/>
        <v>0</v>
      </c>
      <c r="ER59" s="109">
        <f t="shared" si="357"/>
        <v>0</v>
      </c>
      <c r="ES59" s="109">
        <f t="shared" si="357"/>
        <v>0</v>
      </c>
      <c r="ET59" s="109">
        <f t="shared" si="357"/>
        <v>0</v>
      </c>
      <c r="EU59" s="109">
        <f t="shared" si="357"/>
        <v>0</v>
      </c>
      <c r="EV59" s="109">
        <f t="shared" si="357"/>
        <v>0</v>
      </c>
      <c r="EW59" s="109">
        <f t="shared" si="357"/>
        <v>0</v>
      </c>
      <c r="EX59" s="109">
        <f t="shared" si="357"/>
        <v>0</v>
      </c>
      <c r="EY59" s="109">
        <f t="shared" si="357"/>
        <v>0</v>
      </c>
      <c r="EZ59" s="109">
        <f t="shared" si="357"/>
        <v>0</v>
      </c>
      <c r="FA59" s="109">
        <f t="shared" si="357"/>
        <v>0</v>
      </c>
    </row>
    <row r="60" spans="2:157" outlineLevel="1" x14ac:dyDescent="0.2">
      <c r="C60" s="58" t="s">
        <v>352</v>
      </c>
      <c r="D60" s="21" t="s">
        <v>126</v>
      </c>
      <c r="E60" s="5"/>
      <c r="F60" s="21"/>
      <c r="G60" s="109">
        <f t="shared" ref="G60:AL60" si="358">-G37*G43/Million*Equity_In_Project</f>
        <v>0</v>
      </c>
      <c r="H60" s="109">
        <f t="shared" si="358"/>
        <v>0</v>
      </c>
      <c r="I60" s="109">
        <f t="shared" si="358"/>
        <v>0</v>
      </c>
      <c r="J60" s="109">
        <f t="shared" si="358"/>
        <v>0</v>
      </c>
      <c r="K60" s="109">
        <f t="shared" si="358"/>
        <v>0</v>
      </c>
      <c r="L60" s="109">
        <f t="shared" si="358"/>
        <v>0</v>
      </c>
      <c r="M60" s="109">
        <f t="shared" si="358"/>
        <v>-3.1197081491552106</v>
      </c>
      <c r="N60" s="109">
        <f t="shared" si="358"/>
        <v>-4.284139612499998</v>
      </c>
      <c r="O60" s="109">
        <f t="shared" si="358"/>
        <v>-5.3210232753593436</v>
      </c>
      <c r="P60" s="109">
        <f t="shared" si="358"/>
        <v>-8.6895194361125121</v>
      </c>
      <c r="Q60" s="109">
        <f t="shared" si="358"/>
        <v>-12.396940257705515</v>
      </c>
      <c r="R60" s="109">
        <f t="shared" si="358"/>
        <v>-14.246834879041861</v>
      </c>
      <c r="S60" s="109">
        <f t="shared" si="358"/>
        <v>-15.234736788833233</v>
      </c>
      <c r="T60" s="109">
        <f t="shared" si="358"/>
        <v>-15.342143103738282</v>
      </c>
      <c r="U60" s="109">
        <f t="shared" si="358"/>
        <v>-15.450306643178381</v>
      </c>
      <c r="V60" s="109">
        <f t="shared" si="358"/>
        <v>-15.559232745657106</v>
      </c>
      <c r="W60" s="109">
        <f t="shared" si="358"/>
        <v>-15.66892678731498</v>
      </c>
      <c r="X60" s="109">
        <f t="shared" si="358"/>
        <v>-15.779394182194821</v>
      </c>
      <c r="Y60" s="109">
        <f t="shared" si="358"/>
        <v>-15.890640382508963</v>
      </c>
      <c r="Z60" s="109">
        <f t="shared" si="358"/>
        <v>-16.002670878908326</v>
      </c>
      <c r="AA60" s="109">
        <f t="shared" si="358"/>
        <v>-16.115491200753453</v>
      </c>
      <c r="AB60" s="109">
        <f t="shared" si="358"/>
        <v>-16.229106916387373</v>
      </c>
      <c r="AC60" s="109">
        <f t="shared" si="358"/>
        <v>-16.343523633410463</v>
      </c>
      <c r="AD60" s="109">
        <f t="shared" si="358"/>
        <v>-16.458746998957213</v>
      </c>
      <c r="AE60" s="109">
        <f t="shared" si="358"/>
        <v>-16.574782699974921</v>
      </c>
      <c r="AF60" s="109">
        <f t="shared" si="358"/>
        <v>-16.691636463504409</v>
      </c>
      <c r="AG60" s="109">
        <f t="shared" si="358"/>
        <v>-16.809314056962659</v>
      </c>
      <c r="AH60" s="109">
        <f t="shared" si="358"/>
        <v>-16.927821288427488</v>
      </c>
      <c r="AI60" s="109">
        <f t="shared" si="358"/>
        <v>-17.047164006924202</v>
      </c>
      <c r="AJ60" s="109">
        <f t="shared" si="358"/>
        <v>-17.167348102714275</v>
      </c>
      <c r="AK60" s="109">
        <f t="shared" si="358"/>
        <v>-17.288379507586093</v>
      </c>
      <c r="AL60" s="109">
        <f t="shared" si="358"/>
        <v>-17.410264195147665</v>
      </c>
      <c r="AM60" s="109">
        <f t="shared" ref="AM60:BR60" si="359">-AM37*AM43/Million*Equity_In_Project</f>
        <v>-17.533008181121534</v>
      </c>
      <c r="AN60" s="109">
        <f t="shared" si="359"/>
        <v>-17.656617523641629</v>
      </c>
      <c r="AO60" s="109">
        <f t="shared" si="359"/>
        <v>-17.781098323552293</v>
      </c>
      <c r="AP60" s="109">
        <f t="shared" si="359"/>
        <v>-17.906456724709372</v>
      </c>
      <c r="AQ60" s="109">
        <f t="shared" si="359"/>
        <v>-18.0326989142835</v>
      </c>
      <c r="AR60" s="109">
        <f t="shared" si="359"/>
        <v>-18.159831123065416</v>
      </c>
      <c r="AS60" s="109">
        <f t="shared" si="359"/>
        <v>-18.287859625773528</v>
      </c>
      <c r="AT60" s="109">
        <f t="shared" si="359"/>
        <v>-18.416790741363588</v>
      </c>
      <c r="AU60" s="109">
        <f t="shared" si="359"/>
        <v>-18.546630833340576</v>
      </c>
      <c r="AV60" s="109">
        <f t="shared" si="359"/>
        <v>-18.677386310072773</v>
      </c>
      <c r="AW60" s="109">
        <f t="shared" si="359"/>
        <v>-18.809063625108067</v>
      </c>
      <c r="AX60" s="109">
        <f t="shared" si="359"/>
        <v>-18.941669277492444</v>
      </c>
      <c r="AY60" s="109">
        <f t="shared" si="359"/>
        <v>-19.075209812090772</v>
      </c>
      <c r="AZ60" s="109">
        <f t="shared" si="359"/>
        <v>-19.209691819909846</v>
      </c>
      <c r="BA60" s="109">
        <f t="shared" si="359"/>
        <v>-19.345121938423642</v>
      </c>
      <c r="BB60" s="109">
        <f t="shared" si="359"/>
        <v>-19.481506851900974</v>
      </c>
      <c r="BC60" s="109">
        <f t="shared" si="359"/>
        <v>-19.618853291735356</v>
      </c>
      <c r="BD60" s="109">
        <f t="shared" si="359"/>
        <v>-19.757168036777269</v>
      </c>
      <c r="BE60" s="109">
        <f t="shared" si="359"/>
        <v>-19.896457913668712</v>
      </c>
      <c r="BF60" s="109">
        <f t="shared" si="359"/>
        <v>-20.036729797180143</v>
      </c>
      <c r="BG60" s="109">
        <f t="shared" si="359"/>
        <v>-20.177990610549813</v>
      </c>
      <c r="BH60" s="109">
        <f t="shared" si="359"/>
        <v>-20.320247325825417</v>
      </c>
      <c r="BI60" s="109">
        <f t="shared" si="359"/>
        <v>-20.463506964208264</v>
      </c>
      <c r="BJ60" s="109">
        <f t="shared" si="359"/>
        <v>-20.607776596399773</v>
      </c>
      <c r="BK60" s="109">
        <f t="shared" si="359"/>
        <v>-20.753063342950476</v>
      </c>
      <c r="BL60" s="109">
        <f t="shared" si="359"/>
        <v>-20.899374374611433</v>
      </c>
      <c r="BM60" s="109">
        <f t="shared" si="359"/>
        <v>-21.046716912688193</v>
      </c>
      <c r="BN60" s="109">
        <f t="shared" si="359"/>
        <v>-21.195098229397161</v>
      </c>
      <c r="BO60" s="109">
        <f t="shared" si="359"/>
        <v>-21.344525648224554</v>
      </c>
      <c r="BP60" s="109">
        <f t="shared" si="359"/>
        <v>-21.495006544287854</v>
      </c>
      <c r="BQ60" s="109">
        <f t="shared" si="359"/>
        <v>-21.646548344699802</v>
      </c>
      <c r="BR60" s="109">
        <f t="shared" si="359"/>
        <v>-21.799158528934978</v>
      </c>
      <c r="BS60" s="109">
        <f t="shared" ref="BS60:CX60" si="360">-BS37*BS43/Million*Equity_In_Project</f>
        <v>-21.952844629198953</v>
      </c>
      <c r="BT60" s="109">
        <f t="shared" si="360"/>
        <v>-22.107614230800056</v>
      </c>
      <c r="BU60" s="109">
        <f t="shared" si="360"/>
        <v>-22.263474972523746</v>
      </c>
      <c r="BV60" s="109">
        <f t="shared" si="360"/>
        <v>-22.42043454700962</v>
      </c>
      <c r="BW60" s="109">
        <f t="shared" si="360"/>
        <v>-22.578500701131119</v>
      </c>
      <c r="BX60" s="109">
        <f t="shared" si="360"/>
        <v>-22.737681236377856</v>
      </c>
      <c r="BY60" s="109">
        <f t="shared" si="360"/>
        <v>-22.89798400924067</v>
      </c>
      <c r="BZ60" s="109">
        <f t="shared" si="360"/>
        <v>-23.059416931599394</v>
      </c>
      <c r="CA60" s="109">
        <f t="shared" si="360"/>
        <v>-23.221987971113354</v>
      </c>
      <c r="CB60" s="109">
        <f t="shared" si="360"/>
        <v>-23.385705151614623</v>
      </c>
      <c r="CC60" s="109">
        <f t="shared" si="360"/>
        <v>-23.550576553504023</v>
      </c>
      <c r="CD60" s="109">
        <f t="shared" si="360"/>
        <v>-23.716610314149968</v>
      </c>
      <c r="CE60" s="109">
        <f t="shared" si="360"/>
        <v>-23.883814628290079</v>
      </c>
      <c r="CF60" s="109">
        <f t="shared" si="360"/>
        <v>-24.052197748435628</v>
      </c>
      <c r="CG60" s="109">
        <f t="shared" si="360"/>
        <v>-24.221767985278877</v>
      </c>
      <c r="CH60" s="109">
        <f t="shared" si="360"/>
        <v>-24.39253370810324</v>
      </c>
      <c r="CI60" s="109">
        <f t="shared" si="360"/>
        <v>-24.564503345196339</v>
      </c>
      <c r="CJ60" s="109">
        <f t="shared" si="360"/>
        <v>-24.737685384266037</v>
      </c>
      <c r="CK60" s="109">
        <f t="shared" si="360"/>
        <v>-24.912088372859326</v>
      </c>
      <c r="CL60" s="109">
        <f t="shared" si="360"/>
        <v>-25.087720918784175</v>
      </c>
      <c r="CM60" s="109">
        <f t="shared" si="360"/>
        <v>-25.264591690534431</v>
      </c>
      <c r="CN60" s="109">
        <f t="shared" si="360"/>
        <v>-25.442709417717619</v>
      </c>
      <c r="CO60" s="109">
        <f t="shared" si="360"/>
        <v>-25.62208289148581</v>
      </c>
      <c r="CP60" s="109">
        <f t="shared" si="360"/>
        <v>-25.802720964969517</v>
      </c>
      <c r="CQ60" s="109">
        <f t="shared" si="360"/>
        <v>-25.984632553714654</v>
      </c>
      <c r="CR60" s="109">
        <f t="shared" si="360"/>
        <v>-26.167826636122566</v>
      </c>
      <c r="CS60" s="109">
        <f t="shared" si="360"/>
        <v>-26.35231225389315</v>
      </c>
      <c r="CT60" s="109">
        <f t="shared" si="360"/>
        <v>-26.538098512471144</v>
      </c>
      <c r="CU60" s="257">
        <f t="shared" si="360"/>
        <v>-26.725194581495519</v>
      </c>
      <c r="CV60" s="109">
        <f t="shared" si="360"/>
        <v>-26.913609695252049</v>
      </c>
      <c r="CW60" s="109">
        <f t="shared" si="360"/>
        <v>-27.103353153129103</v>
      </c>
      <c r="CX60" s="109">
        <f t="shared" si="360"/>
        <v>-27.294434320076565</v>
      </c>
      <c r="CY60" s="109">
        <f t="shared" ref="CY60:ED60" si="361">-CY37*CY43/Million*Equity_In_Project</f>
        <v>-27.486862627068138</v>
      </c>
      <c r="CZ60" s="109">
        <f t="shared" si="361"/>
        <v>-27.68064757156673</v>
      </c>
      <c r="DA60" s="109">
        <f t="shared" si="361"/>
        <v>-27.875798717993277</v>
      </c>
      <c r="DB60" s="109">
        <f t="shared" si="361"/>
        <v>-28.07232569819875</v>
      </c>
      <c r="DC60" s="109">
        <f t="shared" si="361"/>
        <v>-28.270238211939574</v>
      </c>
      <c r="DD60" s="109">
        <f t="shared" si="361"/>
        <v>-28.469546027356376</v>
      </c>
      <c r="DE60" s="109">
        <f t="shared" si="361"/>
        <v>-28.67025898145608</v>
      </c>
      <c r="DF60" s="109">
        <f t="shared" si="361"/>
        <v>-28.872386980597408</v>
      </c>
      <c r="DG60" s="109">
        <f t="shared" si="361"/>
        <v>-29.075940000979848</v>
      </c>
      <c r="DH60" s="109">
        <f t="shared" si="361"/>
        <v>-29.28092808913603</v>
      </c>
      <c r="DI60" s="109">
        <f t="shared" si="361"/>
        <v>-29.487361362427578</v>
      </c>
      <c r="DJ60" s="109">
        <f t="shared" si="361"/>
        <v>-29.695250009544427</v>
      </c>
      <c r="DK60" s="109">
        <f t="shared" si="361"/>
        <v>-29.904604291007775</v>
      </c>
      <c r="DL60" s="109">
        <f t="shared" si="361"/>
        <v>-30.115434539676411</v>
      </c>
      <c r="DM60" s="109">
        <f t="shared" si="361"/>
        <v>-30.327751161256757</v>
      </c>
      <c r="DN60" s="109">
        <f t="shared" si="361"/>
        <v>-30.541564634816442</v>
      </c>
      <c r="DO60" s="109">
        <f t="shared" si="361"/>
        <v>-30.756885513301484</v>
      </c>
      <c r="DP60" s="109">
        <f t="shared" si="361"/>
        <v>-30.973724424057174</v>
      </c>
      <c r="DQ60" s="109">
        <f t="shared" si="361"/>
        <v>-31.192092069352569</v>
      </c>
      <c r="DR60" s="109">
        <f t="shared" si="361"/>
        <v>-31.411999226908705</v>
      </c>
      <c r="DS60" s="109">
        <f t="shared" si="361"/>
        <v>-31.633456750430575</v>
      </c>
      <c r="DT60" s="109">
        <f t="shared" si="361"/>
        <v>-31.856475570142802</v>
      </c>
      <c r="DU60" s="109">
        <f t="shared" si="361"/>
        <v>-32.081066693329113</v>
      </c>
      <c r="DV60" s="109">
        <f t="shared" si="361"/>
        <v>-32.307241204875602</v>
      </c>
      <c r="DW60" s="109">
        <f t="shared" si="361"/>
        <v>-32.535010267817846</v>
      </c>
      <c r="DX60" s="109">
        <f t="shared" si="361"/>
        <v>-32.76438512389187</v>
      </c>
      <c r="DY60" s="109">
        <f t="shared" si="361"/>
        <v>-32.995377094088987</v>
      </c>
      <c r="DZ60" s="109">
        <f t="shared" si="361"/>
        <v>-33.227997579214552</v>
      </c>
      <c r="EA60" s="109">
        <f t="shared" si="361"/>
        <v>-33.462258060450644</v>
      </c>
      <c r="EB60" s="109">
        <f t="shared" si="361"/>
        <v>-33.698170099922784</v>
      </c>
      <c r="EC60" s="109">
        <f t="shared" si="361"/>
        <v>-33.935745341270518</v>
      </c>
      <c r="ED60" s="109">
        <f t="shared" si="361"/>
        <v>-34.174995510222161</v>
      </c>
      <c r="EE60" s="109">
        <f t="shared" ref="EE60:FA60" si="362">-EE37*EE43/Million*Equity_In_Project</f>
        <v>-34.415932415173486</v>
      </c>
      <c r="EF60" s="109">
        <f t="shared" si="362"/>
        <v>-34.658567947770578</v>
      </c>
      <c r="EG60" s="109">
        <f t="shared" si="362"/>
        <v>-34.902914083496718</v>
      </c>
      <c r="EH60" s="109">
        <f t="shared" si="362"/>
        <v>-35.148982882263489</v>
      </c>
      <c r="EI60" s="109">
        <f t="shared" si="362"/>
        <v>-35.396786489005919</v>
      </c>
      <c r="EJ60" s="109">
        <f t="shared" si="362"/>
        <v>0</v>
      </c>
      <c r="EK60" s="109">
        <f t="shared" si="362"/>
        <v>0</v>
      </c>
      <c r="EL60" s="109">
        <f t="shared" si="362"/>
        <v>0</v>
      </c>
      <c r="EM60" s="109">
        <f t="shared" si="362"/>
        <v>0</v>
      </c>
      <c r="EN60" s="109">
        <f t="shared" si="362"/>
        <v>0</v>
      </c>
      <c r="EO60" s="109">
        <f t="shared" si="362"/>
        <v>0</v>
      </c>
      <c r="EP60" s="109">
        <f t="shared" si="362"/>
        <v>0</v>
      </c>
      <c r="EQ60" s="109">
        <f t="shared" si="362"/>
        <v>0</v>
      </c>
      <c r="ER60" s="109">
        <f t="shared" si="362"/>
        <v>0</v>
      </c>
      <c r="ES60" s="109">
        <f t="shared" si="362"/>
        <v>0</v>
      </c>
      <c r="ET60" s="109">
        <f t="shared" si="362"/>
        <v>0</v>
      </c>
      <c r="EU60" s="109">
        <f t="shared" si="362"/>
        <v>0</v>
      </c>
      <c r="EV60" s="109">
        <f t="shared" si="362"/>
        <v>0</v>
      </c>
      <c r="EW60" s="109">
        <f t="shared" si="362"/>
        <v>0</v>
      </c>
      <c r="EX60" s="109">
        <f t="shared" si="362"/>
        <v>0</v>
      </c>
      <c r="EY60" s="109">
        <f t="shared" si="362"/>
        <v>0</v>
      </c>
      <c r="EZ60" s="109">
        <f t="shared" si="362"/>
        <v>0</v>
      </c>
      <c r="FA60" s="109">
        <f t="shared" si="362"/>
        <v>0</v>
      </c>
    </row>
    <row r="61" spans="2:157" outlineLevel="1" x14ac:dyDescent="0.2">
      <c r="C61" s="58" t="s">
        <v>353</v>
      </c>
      <c r="D61" s="21" t="s">
        <v>126</v>
      </c>
      <c r="E61" s="5"/>
      <c r="F61" s="21"/>
      <c r="G61" s="109">
        <f t="shared" ref="G61:AL61" si="363">-G37*G44/Million*Equity_In_Project</f>
        <v>0</v>
      </c>
      <c r="H61" s="109">
        <f t="shared" si="363"/>
        <v>0</v>
      </c>
      <c r="I61" s="109">
        <f t="shared" si="363"/>
        <v>0</v>
      </c>
      <c r="J61" s="109">
        <f t="shared" si="363"/>
        <v>0</v>
      </c>
      <c r="K61" s="109">
        <f t="shared" si="363"/>
        <v>0</v>
      </c>
      <c r="L61" s="109">
        <f t="shared" si="363"/>
        <v>0</v>
      </c>
      <c r="M61" s="109">
        <f t="shared" si="363"/>
        <v>-1.765934430262891</v>
      </c>
      <c r="N61" s="109">
        <f t="shared" si="363"/>
        <v>-2.4230039062500008</v>
      </c>
      <c r="O61" s="109">
        <f t="shared" si="363"/>
        <v>-3.0068762167187577</v>
      </c>
      <c r="P61" s="109">
        <f t="shared" si="363"/>
        <v>-4.906208975551424</v>
      </c>
      <c r="Q61" s="109">
        <f t="shared" si="363"/>
        <v>-6.9935016925752027</v>
      </c>
      <c r="R61" s="109">
        <f t="shared" si="363"/>
        <v>-8.0302387792968837</v>
      </c>
      <c r="S61" s="109">
        <f t="shared" si="363"/>
        <v>-8.5797555832454879</v>
      </c>
      <c r="T61" s="109">
        <f t="shared" si="363"/>
        <v>-8.6328835432306956</v>
      </c>
      <c r="U61" s="109">
        <f t="shared" si="363"/>
        <v>-8.6863404846309109</v>
      </c>
      <c r="V61" s="109">
        <f t="shared" si="363"/>
        <v>-8.7401284445800904</v>
      </c>
      <c r="W61" s="109">
        <f t="shared" si="363"/>
        <v>-8.7942494728266283</v>
      </c>
      <c r="X61" s="109">
        <f t="shared" si="363"/>
        <v>-8.8487056318114661</v>
      </c>
      <c r="Y61" s="109">
        <f t="shared" si="363"/>
        <v>-8.9034989967466878</v>
      </c>
      <c r="Z61" s="109">
        <f t="shared" si="363"/>
        <v>-8.958631655694596</v>
      </c>
      <c r="AA61" s="109">
        <f t="shared" si="363"/>
        <v>-9.0141057096472981</v>
      </c>
      <c r="AB61" s="109">
        <f t="shared" si="363"/>
        <v>-9.069923272606756</v>
      </c>
      <c r="AC61" s="109">
        <f t="shared" si="363"/>
        <v>-9.1260864716653565</v>
      </c>
      <c r="AD61" s="109">
        <f t="shared" si="363"/>
        <v>-9.1825974470869642</v>
      </c>
      <c r="AE61" s="109">
        <f t="shared" si="363"/>
        <v>-9.2394583523884837</v>
      </c>
      <c r="AF61" s="109">
        <f t="shared" si="363"/>
        <v>-9.2966713544219282</v>
      </c>
      <c r="AG61" s="109">
        <f t="shared" si="363"/>
        <v>-9.354238633456994</v>
      </c>
      <c r="AH61" s="109">
        <f t="shared" si="363"/>
        <v>-9.4121623832641408</v>
      </c>
      <c r="AI61" s="109">
        <f t="shared" si="363"/>
        <v>-9.4704448111981989</v>
      </c>
      <c r="AJ61" s="109">
        <f t="shared" si="363"/>
        <v>-9.5290881382824821</v>
      </c>
      <c r="AK61" s="109">
        <f t="shared" si="363"/>
        <v>-9.5880945992934237</v>
      </c>
      <c r="AL61" s="109">
        <f t="shared" si="363"/>
        <v>-9.6474664428457491</v>
      </c>
      <c r="AM61" s="109">
        <f t="shared" ref="AM61:BR61" si="364">-AM37*AM44/Million*Equity_In_Project</f>
        <v>-9.7072059314781569</v>
      </c>
      <c r="AN61" s="109">
        <f t="shared" si="364"/>
        <v>-9.7673153417395469</v>
      </c>
      <c r="AO61" s="109">
        <f t="shared" si="364"/>
        <v>-9.8277969642757625</v>
      </c>
      <c r="AP61" s="109">
        <f t="shared" si="364"/>
        <v>-9.8886531039168943</v>
      </c>
      <c r="AQ61" s="109">
        <f t="shared" si="364"/>
        <v>-9.9498860797651147</v>
      </c>
      <c r="AR61" s="109">
        <f t="shared" si="364"/>
        <v>-10.01149822528304</v>
      </c>
      <c r="AS61" s="109">
        <f t="shared" si="364"/>
        <v>-10.073491888382661</v>
      </c>
      <c r="AT61" s="109">
        <f t="shared" si="364"/>
        <v>-10.135869431514822</v>
      </c>
      <c r="AU61" s="109">
        <f t="shared" si="364"/>
        <v>-10.198633231759246</v>
      </c>
      <c r="AV61" s="109">
        <f t="shared" si="364"/>
        <v>-10.26178568091512</v>
      </c>
      <c r="AW61" s="109">
        <f t="shared" si="364"/>
        <v>-10.32532918559223</v>
      </c>
      <c r="AX61" s="109">
        <f t="shared" si="364"/>
        <v>-10.389266167302695</v>
      </c>
      <c r="AY61" s="109">
        <f t="shared" si="364"/>
        <v>-10.453599062553232</v>
      </c>
      <c r="AZ61" s="109">
        <f t="shared" si="364"/>
        <v>-10.518330322938001</v>
      </c>
      <c r="BA61" s="109">
        <f t="shared" si="364"/>
        <v>-10.58346241523204</v>
      </c>
      <c r="BB61" s="109">
        <f t="shared" si="364"/>
        <v>-10.648997821485269</v>
      </c>
      <c r="BC61" s="109">
        <f t="shared" si="364"/>
        <v>-10.714939039117066</v>
      </c>
      <c r="BD61" s="109">
        <f t="shared" si="364"/>
        <v>-10.781288581011452</v>
      </c>
      <c r="BE61" s="109">
        <f t="shared" si="364"/>
        <v>-10.848048975612844</v>
      </c>
      <c r="BF61" s="109">
        <f t="shared" si="364"/>
        <v>-10.915222767022403</v>
      </c>
      <c r="BG61" s="109">
        <f t="shared" si="364"/>
        <v>-10.982812515094995</v>
      </c>
      <c r="BH61" s="109">
        <f t="shared" si="364"/>
        <v>-11.050820795536744</v>
      </c>
      <c r="BI61" s="109">
        <f t="shared" si="364"/>
        <v>-11.119250200003167</v>
      </c>
      <c r="BJ61" s="109">
        <f t="shared" si="364"/>
        <v>-11.188103336197967</v>
      </c>
      <c r="BK61" s="109">
        <f t="shared" si="364"/>
        <v>-11.257382827972377</v>
      </c>
      <c r="BL61" s="109">
        <f t="shared" si="364"/>
        <v>-11.327091315425164</v>
      </c>
      <c r="BM61" s="109">
        <f t="shared" si="364"/>
        <v>-11.397231455003253</v>
      </c>
      <c r="BN61" s="109">
        <f t="shared" si="364"/>
        <v>-11.467805919602919</v>
      </c>
      <c r="BO61" s="109">
        <f t="shared" si="364"/>
        <v>-11.538817398671686</v>
      </c>
      <c r="BP61" s="109">
        <f t="shared" si="364"/>
        <v>-11.6102685983108</v>
      </c>
      <c r="BQ61" s="109">
        <f t="shared" si="364"/>
        <v>-11.682162241378338</v>
      </c>
      <c r="BR61" s="109">
        <f t="shared" si="364"/>
        <v>-11.754501067592996</v>
      </c>
      <c r="BS61" s="109">
        <f t="shared" ref="BS61:CX61" si="365">-BS37*BS44/Million*Equity_In_Project</f>
        <v>-11.827287833638483</v>
      </c>
      <c r="BT61" s="109">
        <f t="shared" si="365"/>
        <v>-11.900525313268572</v>
      </c>
      <c r="BU61" s="109">
        <f t="shared" si="365"/>
        <v>-11.974216297412799</v>
      </c>
      <c r="BV61" s="109">
        <f t="shared" si="365"/>
        <v>-12.048363594282826</v>
      </c>
      <c r="BW61" s="109">
        <f t="shared" si="365"/>
        <v>-12.12297002947945</v>
      </c>
      <c r="BX61" s="109">
        <f t="shared" si="365"/>
        <v>-12.198038446100291</v>
      </c>
      <c r="BY61" s="109">
        <f t="shared" si="365"/>
        <v>-12.273571704848123</v>
      </c>
      <c r="BZ61" s="109">
        <f t="shared" si="365"/>
        <v>-12.349572684139901</v>
      </c>
      <c r="CA61" s="109">
        <f t="shared" si="365"/>
        <v>-12.426044280216443</v>
      </c>
      <c r="CB61" s="109">
        <f t="shared" si="365"/>
        <v>-12.502989407252802</v>
      </c>
      <c r="CC61" s="109">
        <f t="shared" si="365"/>
        <v>-12.580410997469329</v>
      </c>
      <c r="CD61" s="109">
        <f t="shared" si="365"/>
        <v>-12.658312001243401</v>
      </c>
      <c r="CE61" s="109">
        <f t="shared" si="365"/>
        <v>-12.736695387221857</v>
      </c>
      <c r="CF61" s="109">
        <f t="shared" si="365"/>
        <v>-12.815564142434123</v>
      </c>
      <c r="CG61" s="109">
        <f t="shared" si="365"/>
        <v>-12.894921272406066</v>
      </c>
      <c r="CH61" s="109">
        <f t="shared" si="365"/>
        <v>-12.974769801274489</v>
      </c>
      <c r="CI61" s="109">
        <f t="shared" si="365"/>
        <v>-13.055112771902406</v>
      </c>
      <c r="CJ61" s="109">
        <f t="shared" si="365"/>
        <v>-13.135953245994985</v>
      </c>
      <c r="CK61" s="109">
        <f t="shared" si="365"/>
        <v>-13.217294304216223</v>
      </c>
      <c r="CL61" s="109">
        <f t="shared" si="365"/>
        <v>-13.299139046306355</v>
      </c>
      <c r="CM61" s="109">
        <f t="shared" si="365"/>
        <v>-13.381490591199974</v>
      </c>
      <c r="CN61" s="109">
        <f t="shared" si="365"/>
        <v>-13.464352077144863</v>
      </c>
      <c r="CO61" s="109">
        <f t="shared" si="365"/>
        <v>-13.547726661821631</v>
      </c>
      <c r="CP61" s="109">
        <f t="shared" si="365"/>
        <v>-13.631617522464023</v>
      </c>
      <c r="CQ61" s="109">
        <f t="shared" si="365"/>
        <v>-13.716027855979975</v>
      </c>
      <c r="CR61" s="109">
        <f t="shared" si="365"/>
        <v>-13.800960879073491</v>
      </c>
      <c r="CS61" s="109">
        <f t="shared" si="365"/>
        <v>-13.886419828367183</v>
      </c>
      <c r="CT61" s="109">
        <f t="shared" si="365"/>
        <v>-13.972407960525626</v>
      </c>
      <c r="CU61" s="257">
        <f t="shared" si="365"/>
        <v>-14.058928552379477</v>
      </c>
      <c r="CV61" s="109">
        <f t="shared" si="365"/>
        <v>-14.145984901050333</v>
      </c>
      <c r="CW61" s="109">
        <f t="shared" si="365"/>
        <v>-14.233580324076366</v>
      </c>
      <c r="CX61" s="109">
        <f t="shared" si="365"/>
        <v>-14.321718159538774</v>
      </c>
      <c r="CY61" s="109">
        <f t="shared" ref="CY61:ED61" si="366">-CY37*CY44/Million*Equity_In_Project</f>
        <v>-14.410401766188972</v>
      </c>
      <c r="CZ61" s="109">
        <f t="shared" si="366"/>
        <v>-14.499634523576598</v>
      </c>
      <c r="DA61" s="109">
        <f t="shared" si="366"/>
        <v>-14.589419832178278</v>
      </c>
      <c r="DB61" s="109">
        <f t="shared" si="366"/>
        <v>-14.679761113527245</v>
      </c>
      <c r="DC61" s="109">
        <f t="shared" si="366"/>
        <v>-14.770661810343704</v>
      </c>
      <c r="DD61" s="109">
        <f t="shared" si="366"/>
        <v>-14.862125386666017</v>
      </c>
      <c r="DE61" s="109">
        <f t="shared" si="366"/>
        <v>-14.954155327982745</v>
      </c>
      <c r="DF61" s="109">
        <f t="shared" si="366"/>
        <v>-15.046755141365434</v>
      </c>
      <c r="DG61" s="109">
        <f t="shared" si="366"/>
        <v>-15.139928355602304</v>
      </c>
      <c r="DH61" s="109">
        <f t="shared" si="366"/>
        <v>-15.233678521332676</v>
      </c>
      <c r="DI61" s="109">
        <f t="shared" si="366"/>
        <v>-15.328009211182321</v>
      </c>
      <c r="DJ61" s="109">
        <f t="shared" si="366"/>
        <v>-15.422924019899579</v>
      </c>
      <c r="DK61" s="109">
        <f t="shared" si="366"/>
        <v>-15.518426564492369</v>
      </c>
      <c r="DL61" s="109">
        <f t="shared" si="366"/>
        <v>-15.614520484365999</v>
      </c>
      <c r="DM61" s="109">
        <f t="shared" si="366"/>
        <v>-15.711209441461882</v>
      </c>
      <c r="DN61" s="109">
        <f t="shared" si="366"/>
        <v>-15.808497120397075</v>
      </c>
      <c r="DO61" s="109">
        <f t="shared" si="366"/>
        <v>-15.906387228604684</v>
      </c>
      <c r="DP61" s="109">
        <f t="shared" si="366"/>
        <v>-16.004883496475156</v>
      </c>
      <c r="DQ61" s="109">
        <f t="shared" si="366"/>
        <v>-16.103989677498436</v>
      </c>
      <c r="DR61" s="109">
        <f t="shared" si="366"/>
        <v>-16.203709548407009</v>
      </c>
      <c r="DS61" s="109">
        <f t="shared" si="366"/>
        <v>-16.304046909319808</v>
      </c>
      <c r="DT61" s="109">
        <f t="shared" si="366"/>
        <v>-16.405005583887039</v>
      </c>
      <c r="DU61" s="109">
        <f t="shared" si="366"/>
        <v>-16.506589419435905</v>
      </c>
      <c r="DV61" s="109">
        <f t="shared" si="366"/>
        <v>-16.608802287117193</v>
      </c>
      <c r="DW61" s="109">
        <f t="shared" si="366"/>
        <v>-16.711648082052807</v>
      </c>
      <c r="DX61" s="109">
        <f t="shared" si="366"/>
        <v>-16.815130723484224</v>
      </c>
      <c r="DY61" s="109">
        <f t="shared" si="366"/>
        <v>-16.919254154921813</v>
      </c>
      <c r="DZ61" s="109">
        <f t="shared" si="366"/>
        <v>-17.024022344295126</v>
      </c>
      <c r="EA61" s="109">
        <f t="shared" si="366"/>
        <v>-17.129439284104134</v>
      </c>
      <c r="EB61" s="109">
        <f t="shared" si="366"/>
        <v>-17.235508991571336</v>
      </c>
      <c r="EC61" s="109">
        <f t="shared" si="366"/>
        <v>-17.342235508794857</v>
      </c>
      <c r="ED61" s="109">
        <f t="shared" si="366"/>
        <v>-17.449622902902512</v>
      </c>
      <c r="EE61" s="109">
        <f t="shared" ref="EE61:FA61" si="367">-EE37*EE44/Million*Equity_In_Project</f>
        <v>-17.557675266206743</v>
      </c>
      <c r="EF61" s="109">
        <f t="shared" si="367"/>
        <v>-17.666396716360619</v>
      </c>
      <c r="EG61" s="109">
        <f t="shared" si="367"/>
        <v>-17.775791396514737</v>
      </c>
      <c r="EH61" s="109">
        <f t="shared" si="367"/>
        <v>-17.885863475475077</v>
      </c>
      <c r="EI61" s="109">
        <f t="shared" si="367"/>
        <v>-17.996617147861915</v>
      </c>
      <c r="EJ61" s="109">
        <f t="shared" si="367"/>
        <v>0</v>
      </c>
      <c r="EK61" s="109">
        <f t="shared" si="367"/>
        <v>0</v>
      </c>
      <c r="EL61" s="109">
        <f t="shared" si="367"/>
        <v>0</v>
      </c>
      <c r="EM61" s="109">
        <f t="shared" si="367"/>
        <v>0</v>
      </c>
      <c r="EN61" s="109">
        <f t="shared" si="367"/>
        <v>0</v>
      </c>
      <c r="EO61" s="109">
        <f t="shared" si="367"/>
        <v>0</v>
      </c>
      <c r="EP61" s="109">
        <f t="shared" si="367"/>
        <v>0</v>
      </c>
      <c r="EQ61" s="109">
        <f t="shared" si="367"/>
        <v>0</v>
      </c>
      <c r="ER61" s="109">
        <f t="shared" si="367"/>
        <v>0</v>
      </c>
      <c r="ES61" s="109">
        <f t="shared" si="367"/>
        <v>0</v>
      </c>
      <c r="ET61" s="109">
        <f t="shared" si="367"/>
        <v>0</v>
      </c>
      <c r="EU61" s="109">
        <f t="shared" si="367"/>
        <v>0</v>
      </c>
      <c r="EV61" s="109">
        <f t="shared" si="367"/>
        <v>0</v>
      </c>
      <c r="EW61" s="109">
        <f t="shared" si="367"/>
        <v>0</v>
      </c>
      <c r="EX61" s="109">
        <f t="shared" si="367"/>
        <v>0</v>
      </c>
      <c r="EY61" s="109">
        <f t="shared" si="367"/>
        <v>0</v>
      </c>
      <c r="EZ61" s="109">
        <f t="shared" si="367"/>
        <v>0</v>
      </c>
      <c r="FA61" s="109">
        <f t="shared" si="367"/>
        <v>0</v>
      </c>
    </row>
    <row r="62" spans="2:157" outlineLevel="1" x14ac:dyDescent="0.2">
      <c r="C62" s="58" t="s">
        <v>354</v>
      </c>
      <c r="D62" s="21" t="s">
        <v>126</v>
      </c>
      <c r="E62" s="5"/>
      <c r="F62" s="21"/>
      <c r="G62" s="109">
        <f t="shared" ref="G62:AL62" si="368">-G45*G37/Million*Equity_In_Project</f>
        <v>0</v>
      </c>
      <c r="H62" s="109">
        <f t="shared" si="368"/>
        <v>0</v>
      </c>
      <c r="I62" s="109">
        <f t="shared" si="368"/>
        <v>0</v>
      </c>
      <c r="J62" s="109">
        <f t="shared" si="368"/>
        <v>0</v>
      </c>
      <c r="K62" s="109">
        <f t="shared" si="368"/>
        <v>0</v>
      </c>
      <c r="L62" s="109">
        <f t="shared" si="368"/>
        <v>0</v>
      </c>
      <c r="M62" s="109">
        <f t="shared" si="368"/>
        <v>-0.17331711939751171</v>
      </c>
      <c r="N62" s="109">
        <f t="shared" si="368"/>
        <v>-0.23800775624999984</v>
      </c>
      <c r="O62" s="109">
        <f t="shared" si="368"/>
        <v>-0.29561240418663015</v>
      </c>
      <c r="P62" s="109">
        <f t="shared" si="368"/>
        <v>-0.48275107978402854</v>
      </c>
      <c r="Q62" s="109">
        <f t="shared" si="368"/>
        <v>-0.68871890320586193</v>
      </c>
      <c r="R62" s="109">
        <f t="shared" si="368"/>
        <v>-0.79149082661343684</v>
      </c>
      <c r="S62" s="109">
        <f t="shared" si="368"/>
        <v>-0.84637426604629062</v>
      </c>
      <c r="T62" s="109">
        <f t="shared" si="368"/>
        <v>-0.85234128354101579</v>
      </c>
      <c r="U62" s="109">
        <f t="shared" si="368"/>
        <v>-0.8583503690654658</v>
      </c>
      <c r="V62" s="109">
        <f t="shared" si="368"/>
        <v>-0.86440181920317238</v>
      </c>
      <c r="W62" s="109">
        <f t="shared" si="368"/>
        <v>-0.87049593262860991</v>
      </c>
      <c r="X62" s="109">
        <f t="shared" si="368"/>
        <v>-0.87663301012193462</v>
      </c>
      <c r="Y62" s="109">
        <f t="shared" si="368"/>
        <v>-0.88281335458383114</v>
      </c>
      <c r="Z62" s="109">
        <f t="shared" si="368"/>
        <v>-0.8890372710504626</v>
      </c>
      <c r="AA62" s="109">
        <f t="shared" si="368"/>
        <v>-0.89530506670852517</v>
      </c>
      <c r="AB62" s="109">
        <f t="shared" si="368"/>
        <v>-0.90161705091040967</v>
      </c>
      <c r="AC62" s="109">
        <f t="shared" si="368"/>
        <v>-0.90797353518947033</v>
      </c>
      <c r="AD62" s="109">
        <f t="shared" si="368"/>
        <v>-0.91437483327540059</v>
      </c>
      <c r="AE62" s="109">
        <f t="shared" si="368"/>
        <v>-0.92082126110971785</v>
      </c>
      <c r="AF62" s="109">
        <f t="shared" si="368"/>
        <v>-0.92731313686135586</v>
      </c>
      <c r="AG62" s="109">
        <f t="shared" si="368"/>
        <v>-0.93385078094236995</v>
      </c>
      <c r="AH62" s="109">
        <f t="shared" si="368"/>
        <v>-0.94043451602374939</v>
      </c>
      <c r="AI62" s="109">
        <f t="shared" si="368"/>
        <v>-0.9470646670513444</v>
      </c>
      <c r="AJ62" s="109">
        <f t="shared" si="368"/>
        <v>-0.95374156126190435</v>
      </c>
      <c r="AK62" s="109">
        <f t="shared" si="368"/>
        <v>-0.96046552819922704</v>
      </c>
      <c r="AL62" s="109">
        <f t="shared" si="368"/>
        <v>-0.96723689973042593</v>
      </c>
      <c r="AM62" s="109">
        <f t="shared" ref="AM62:BR62" si="369">-AM45*AM37/Million*Equity_In_Project</f>
        <v>-0.97405601006230746</v>
      </c>
      <c r="AN62" s="109">
        <f t="shared" si="369"/>
        <v>-0.98092319575786835</v>
      </c>
      <c r="AO62" s="109">
        <f t="shared" si="369"/>
        <v>-0.98783879575290512</v>
      </c>
      <c r="AP62" s="109">
        <f t="shared" si="369"/>
        <v>-0.994803151372743</v>
      </c>
      <c r="AQ62" s="109">
        <f t="shared" si="369"/>
        <v>-1.0018166063490832</v>
      </c>
      <c r="AR62" s="109">
        <f t="shared" si="369"/>
        <v>-1.0088795068369674</v>
      </c>
      <c r="AS62" s="109">
        <f t="shared" si="369"/>
        <v>-1.0159922014318625</v>
      </c>
      <c r="AT62" s="109">
        <f t="shared" si="369"/>
        <v>-1.023155041186866</v>
      </c>
      <c r="AU62" s="109">
        <f t="shared" si="369"/>
        <v>-1.0303683796300318</v>
      </c>
      <c r="AV62" s="109">
        <f t="shared" si="369"/>
        <v>-1.0376325727818208</v>
      </c>
      <c r="AW62" s="109">
        <f t="shared" si="369"/>
        <v>-1.0449479791726706</v>
      </c>
      <c r="AX62" s="109">
        <f t="shared" si="369"/>
        <v>-1.0523149598606911</v>
      </c>
      <c r="AY62" s="109">
        <f t="shared" si="369"/>
        <v>-1.0597338784494874</v>
      </c>
      <c r="AZ62" s="109">
        <f t="shared" si="369"/>
        <v>-1.0672051011061023</v>
      </c>
      <c r="BA62" s="109">
        <f t="shared" si="369"/>
        <v>-1.0747289965790912</v>
      </c>
      <c r="BB62" s="109">
        <f t="shared" si="369"/>
        <v>-1.0823059362167207</v>
      </c>
      <c r="BC62" s="109">
        <f t="shared" si="369"/>
        <v>-1.0899362939852975</v>
      </c>
      <c r="BD62" s="109">
        <f t="shared" si="369"/>
        <v>-1.097620446487626</v>
      </c>
      <c r="BE62" s="109">
        <f t="shared" si="369"/>
        <v>-1.1053587729815948</v>
      </c>
      <c r="BF62" s="109">
        <f t="shared" si="369"/>
        <v>-1.1131516553988969</v>
      </c>
      <c r="BG62" s="109">
        <f t="shared" si="369"/>
        <v>-1.1209994783638784</v>
      </c>
      <c r="BH62" s="109">
        <f t="shared" si="369"/>
        <v>-1.128902629212523</v>
      </c>
      <c r="BI62" s="109">
        <f t="shared" si="369"/>
        <v>-1.1368614980115701</v>
      </c>
      <c r="BJ62" s="109">
        <f t="shared" si="369"/>
        <v>-1.1448764775777653</v>
      </c>
      <c r="BK62" s="109">
        <f t="shared" si="369"/>
        <v>-1.1529479634972484</v>
      </c>
      <c r="BL62" s="109">
        <f t="shared" si="369"/>
        <v>-1.1610763541450797</v>
      </c>
      <c r="BM62" s="109">
        <f t="shared" si="369"/>
        <v>-1.1692620507048994</v>
      </c>
      <c r="BN62" s="109">
        <f t="shared" si="369"/>
        <v>-1.1775054571887313</v>
      </c>
      <c r="BO62" s="109">
        <f t="shared" si="369"/>
        <v>-1.1858069804569198</v>
      </c>
      <c r="BP62" s="109">
        <f t="shared" si="369"/>
        <v>-1.1941670302382141</v>
      </c>
      <c r="BQ62" s="109">
        <f t="shared" si="369"/>
        <v>-1.2025860191499889</v>
      </c>
      <c r="BR62" s="109">
        <f t="shared" si="369"/>
        <v>-1.21106436271861</v>
      </c>
      <c r="BS62" s="109">
        <f t="shared" ref="BS62:CX62" si="370">-BS45*BS37/Million*Equity_In_Project</f>
        <v>-1.2196024793999418</v>
      </c>
      <c r="BT62" s="109">
        <f t="shared" si="370"/>
        <v>-1.228200790600003</v>
      </c>
      <c r="BU62" s="109">
        <f t="shared" si="370"/>
        <v>-1.2368597206957634</v>
      </c>
      <c r="BV62" s="109">
        <f t="shared" si="370"/>
        <v>-1.24557969705609</v>
      </c>
      <c r="BW62" s="109">
        <f t="shared" si="370"/>
        <v>-1.25436115006284</v>
      </c>
      <c r="BX62" s="109">
        <f t="shared" si="370"/>
        <v>-1.263204513132103</v>
      </c>
      <c r="BY62" s="109">
        <f t="shared" si="370"/>
        <v>-1.2721102227355927</v>
      </c>
      <c r="BZ62" s="109">
        <f t="shared" si="370"/>
        <v>-1.2810787184221886</v>
      </c>
      <c r="CA62" s="109">
        <f t="shared" si="370"/>
        <v>-1.2901104428396308</v>
      </c>
      <c r="CB62" s="109">
        <f t="shared" si="370"/>
        <v>-1.2992058417563679</v>
      </c>
      <c r="CC62" s="109">
        <f t="shared" si="370"/>
        <v>-1.3083653640835566</v>
      </c>
      <c r="CD62" s="109">
        <f t="shared" si="370"/>
        <v>-1.3175894618972204</v>
      </c>
      <c r="CE62" s="109">
        <f t="shared" si="370"/>
        <v>-1.3268785904605598</v>
      </c>
      <c r="CF62" s="109">
        <f t="shared" si="370"/>
        <v>-1.3362332082464239</v>
      </c>
      <c r="CG62" s="109">
        <f t="shared" si="370"/>
        <v>-1.3456537769599377</v>
      </c>
      <c r="CH62" s="109">
        <f t="shared" si="370"/>
        <v>-1.3551407615612909</v>
      </c>
      <c r="CI62" s="109">
        <f t="shared" si="370"/>
        <v>-1.3646946302886858</v>
      </c>
      <c r="CJ62" s="109">
        <f t="shared" si="370"/>
        <v>-1.3743158546814467</v>
      </c>
      <c r="CK62" s="109">
        <f t="shared" si="370"/>
        <v>-1.3840049096032956</v>
      </c>
      <c r="CL62" s="109">
        <f t="shared" si="370"/>
        <v>-1.3937622732657875</v>
      </c>
      <c r="CM62" s="109">
        <f t="shared" si="370"/>
        <v>-1.4035884272519128</v>
      </c>
      <c r="CN62" s="109">
        <f t="shared" si="370"/>
        <v>-1.4134838565398675</v>
      </c>
      <c r="CO62" s="109">
        <f t="shared" si="370"/>
        <v>-1.4234490495269891</v>
      </c>
      <c r="CP62" s="109">
        <f t="shared" si="370"/>
        <v>-1.4334844980538619</v>
      </c>
      <c r="CQ62" s="109">
        <f t="shared" si="370"/>
        <v>-1.4435906974285921</v>
      </c>
      <c r="CR62" s="109">
        <f t="shared" si="370"/>
        <v>-1.4537681464512537</v>
      </c>
      <c r="CS62" s="109">
        <f t="shared" si="370"/>
        <v>-1.4640173474385081</v>
      </c>
      <c r="CT62" s="109">
        <f t="shared" si="370"/>
        <v>-1.4743388062483969</v>
      </c>
      <c r="CU62" s="257">
        <f t="shared" si="370"/>
        <v>-1.4847330323053067</v>
      </c>
      <c r="CV62" s="109">
        <f t="shared" si="370"/>
        <v>-1.4952005386251142</v>
      </c>
      <c r="CW62" s="109">
        <f t="shared" si="370"/>
        <v>-1.5057418418405055</v>
      </c>
      <c r="CX62" s="109">
        <f t="shared" si="370"/>
        <v>-1.5163574622264757</v>
      </c>
      <c r="CY62" s="109">
        <f t="shared" ref="CY62:ED62" si="371">-CY45*CY37/Million*Equity_In_Project</f>
        <v>-1.5270479237260075</v>
      </c>
      <c r="CZ62" s="109">
        <f t="shared" si="371"/>
        <v>-1.5378137539759296</v>
      </c>
      <c r="DA62" s="109">
        <f t="shared" si="371"/>
        <v>-1.5486554843329596</v>
      </c>
      <c r="DB62" s="109">
        <f t="shared" si="371"/>
        <v>-1.5595736498999304</v>
      </c>
      <c r="DC62" s="109">
        <f t="shared" si="371"/>
        <v>-1.5705687895521985</v>
      </c>
      <c r="DD62" s="109">
        <f t="shared" si="371"/>
        <v>-1.5816414459642432</v>
      </c>
      <c r="DE62" s="109">
        <f t="shared" si="371"/>
        <v>-1.592792165636449</v>
      </c>
      <c r="DF62" s="109">
        <f t="shared" si="371"/>
        <v>-1.6040214989220782</v>
      </c>
      <c r="DG62" s="109">
        <f t="shared" si="371"/>
        <v>-1.6153300000544362</v>
      </c>
      <c r="DH62" s="109">
        <f t="shared" si="371"/>
        <v>-1.6267182271742242</v>
      </c>
      <c r="DI62" s="109">
        <f t="shared" si="371"/>
        <v>-1.6381867423570875</v>
      </c>
      <c r="DJ62" s="109">
        <f t="shared" si="371"/>
        <v>-1.6497361116413571</v>
      </c>
      <c r="DK62" s="109">
        <f t="shared" si="371"/>
        <v>-1.6613669050559874</v>
      </c>
      <c r="DL62" s="109">
        <f t="shared" si="371"/>
        <v>-1.6730796966486894</v>
      </c>
      <c r="DM62" s="109">
        <f t="shared" si="371"/>
        <v>-1.6848750645142643</v>
      </c>
      <c r="DN62" s="109">
        <f t="shared" si="371"/>
        <v>-1.6967535908231355</v>
      </c>
      <c r="DO62" s="109">
        <f t="shared" si="371"/>
        <v>-1.7087158618500826</v>
      </c>
      <c r="DP62" s="109">
        <f t="shared" si="371"/>
        <v>-1.7207624680031766</v>
      </c>
      <c r="DQ62" s="109">
        <f t="shared" si="371"/>
        <v>-1.7328940038529201</v>
      </c>
      <c r="DR62" s="109">
        <f t="shared" si="371"/>
        <v>-1.7451110681615944</v>
      </c>
      <c r="DS62" s="109">
        <f t="shared" si="371"/>
        <v>-1.7574142639128099</v>
      </c>
      <c r="DT62" s="109">
        <f t="shared" si="371"/>
        <v>-1.7698041983412667</v>
      </c>
      <c r="DU62" s="109">
        <f t="shared" si="371"/>
        <v>-1.7822814829627283</v>
      </c>
      <c r="DV62" s="109">
        <f t="shared" si="371"/>
        <v>-1.7948467336042</v>
      </c>
      <c r="DW62" s="109">
        <f t="shared" si="371"/>
        <v>-1.8075005704343245</v>
      </c>
      <c r="DX62" s="109">
        <f t="shared" si="371"/>
        <v>-1.8202436179939927</v>
      </c>
      <c r="DY62" s="109">
        <f t="shared" si="371"/>
        <v>-1.833076505227166</v>
      </c>
      <c r="DZ62" s="109">
        <f t="shared" si="371"/>
        <v>-1.8459998655119194</v>
      </c>
      <c r="EA62" s="109">
        <f t="shared" si="371"/>
        <v>-1.8590143366917027</v>
      </c>
      <c r="EB62" s="109">
        <f t="shared" si="371"/>
        <v>-1.8721205611068215</v>
      </c>
      <c r="EC62" s="109">
        <f t="shared" si="371"/>
        <v>-1.8853191856261402</v>
      </c>
      <c r="ED62" s="109">
        <f t="shared" si="371"/>
        <v>-1.8986108616790089</v>
      </c>
      <c r="EE62" s="109">
        <f t="shared" ref="EE62:FA62" si="372">-EE45*EE37/Million*Equity_In_Project</f>
        <v>-1.911996245287416</v>
      </c>
      <c r="EF62" s="109">
        <f t="shared" si="372"/>
        <v>-1.9254759970983653</v>
      </c>
      <c r="EG62" s="109">
        <f t="shared" si="372"/>
        <v>-1.9390507824164847</v>
      </c>
      <c r="EH62" s="109">
        <f t="shared" si="372"/>
        <v>-1.9527212712368602</v>
      </c>
      <c r="EI62" s="109">
        <f t="shared" si="372"/>
        <v>-1.9664881382781068</v>
      </c>
      <c r="EJ62" s="109">
        <f t="shared" si="372"/>
        <v>0</v>
      </c>
      <c r="EK62" s="109">
        <f t="shared" si="372"/>
        <v>0</v>
      </c>
      <c r="EL62" s="109">
        <f t="shared" si="372"/>
        <v>0</v>
      </c>
      <c r="EM62" s="109">
        <f t="shared" si="372"/>
        <v>0</v>
      </c>
      <c r="EN62" s="109">
        <f t="shared" si="372"/>
        <v>0</v>
      </c>
      <c r="EO62" s="109">
        <f t="shared" si="372"/>
        <v>0</v>
      </c>
      <c r="EP62" s="109">
        <f t="shared" si="372"/>
        <v>0</v>
      </c>
      <c r="EQ62" s="109">
        <f t="shared" si="372"/>
        <v>0</v>
      </c>
      <c r="ER62" s="109">
        <f t="shared" si="372"/>
        <v>0</v>
      </c>
      <c r="ES62" s="109">
        <f t="shared" si="372"/>
        <v>0</v>
      </c>
      <c r="ET62" s="109">
        <f t="shared" si="372"/>
        <v>0</v>
      </c>
      <c r="EU62" s="109">
        <f t="shared" si="372"/>
        <v>0</v>
      </c>
      <c r="EV62" s="109">
        <f t="shared" si="372"/>
        <v>0</v>
      </c>
      <c r="EW62" s="109">
        <f t="shared" si="372"/>
        <v>0</v>
      </c>
      <c r="EX62" s="109">
        <f t="shared" si="372"/>
        <v>0</v>
      </c>
      <c r="EY62" s="109">
        <f t="shared" si="372"/>
        <v>0</v>
      </c>
      <c r="EZ62" s="109">
        <f t="shared" si="372"/>
        <v>0</v>
      </c>
      <c r="FA62" s="109">
        <f t="shared" si="372"/>
        <v>0</v>
      </c>
    </row>
    <row r="63" spans="2:157" ht="15.5" customHeight="1" outlineLevel="1" x14ac:dyDescent="0.2">
      <c r="C63" s="81" t="s">
        <v>355</v>
      </c>
      <c r="D63" s="87" t="s">
        <v>126</v>
      </c>
      <c r="E63" s="212"/>
      <c r="F63" s="87"/>
      <c r="G63" s="110">
        <f t="shared" ref="G63:AL63" si="373">-G46*G36/Million*Equity_In_Project</f>
        <v>0</v>
      </c>
      <c r="H63" s="110">
        <f t="shared" si="373"/>
        <v>0</v>
      </c>
      <c r="I63" s="110">
        <f t="shared" si="373"/>
        <v>0</v>
      </c>
      <c r="J63" s="110">
        <f t="shared" si="373"/>
        <v>0</v>
      </c>
      <c r="K63" s="110">
        <f t="shared" si="373"/>
        <v>0</v>
      </c>
      <c r="L63" s="110">
        <f t="shared" si="373"/>
        <v>0</v>
      </c>
      <c r="M63" s="110">
        <f t="shared" si="373"/>
        <v>-0.26213180852986873</v>
      </c>
      <c r="N63" s="110">
        <f t="shared" si="373"/>
        <v>-0.57428620737710967</v>
      </c>
      <c r="O63" s="110">
        <f t="shared" si="373"/>
        <v>-0.6914530128232349</v>
      </c>
      <c r="P63" s="110">
        <f t="shared" si="373"/>
        <v>-0.71562836572207422</v>
      </c>
      <c r="Q63" s="110">
        <f t="shared" si="373"/>
        <v>-1.0381015371893101</v>
      </c>
      <c r="R63" s="110">
        <f t="shared" si="373"/>
        <v>-1.9032802056156386</v>
      </c>
      <c r="S63" s="110">
        <f t="shared" si="373"/>
        <v>-1.97198984718541</v>
      </c>
      <c r="T63" s="110">
        <f t="shared" si="373"/>
        <v>-1.2579479072056841</v>
      </c>
      <c r="U63" s="110">
        <f t="shared" si="373"/>
        <v>-1.2874486153023748</v>
      </c>
      <c r="V63" s="110">
        <f t="shared" si="373"/>
        <v>-2.0673910318809838</v>
      </c>
      <c r="W63" s="110">
        <f t="shared" si="373"/>
        <v>-2.0172470141783165</v>
      </c>
      <c r="X63" s="110">
        <f t="shared" si="373"/>
        <v>-1.2868178116760551</v>
      </c>
      <c r="Y63" s="110">
        <f t="shared" si="373"/>
        <v>-1.3169955610235649</v>
      </c>
      <c r="Z63" s="110">
        <f t="shared" si="373"/>
        <v>-2.1148376560626532</v>
      </c>
      <c r="AA63" s="110">
        <f t="shared" si="373"/>
        <v>-2.0635428331537105</v>
      </c>
      <c r="AB63" s="110">
        <f t="shared" si="373"/>
        <v>-1.3163502804540215</v>
      </c>
      <c r="AC63" s="110">
        <f t="shared" si="373"/>
        <v>-1.3472206091490559</v>
      </c>
      <c r="AD63" s="110">
        <f t="shared" si="373"/>
        <v>-2.1633731802692919</v>
      </c>
      <c r="AE63" s="110">
        <f t="shared" si="373"/>
        <v>-2.1109011411745882</v>
      </c>
      <c r="AF63" s="110">
        <f t="shared" si="373"/>
        <v>-1.346560519390442</v>
      </c>
      <c r="AG63" s="110">
        <f t="shared" si="373"/>
        <v>-1.3781393221290275</v>
      </c>
      <c r="AH63" s="110">
        <f t="shared" si="373"/>
        <v>-2.213022594756473</v>
      </c>
      <c r="AI63" s="110">
        <f t="shared" si="373"/>
        <v>-2.1371991805967046</v>
      </c>
      <c r="AJ63" s="110">
        <f t="shared" si="373"/>
        <v>-1.3633362465585512</v>
      </c>
      <c r="AK63" s="110">
        <f t="shared" si="373"/>
        <v>-1.3953084644993572</v>
      </c>
      <c r="AL63" s="110">
        <f t="shared" si="373"/>
        <v>-2.2405928841953036</v>
      </c>
      <c r="AM63" s="110">
        <f t="shared" ref="AM63:BR63" si="374">-AM46*AM36/Million*Equity_In_Project</f>
        <v>-2.1862479017914005</v>
      </c>
      <c r="AN63" s="110">
        <f t="shared" si="374"/>
        <v>-1.3946248134170702</v>
      </c>
      <c r="AO63" s="110">
        <f t="shared" si="374"/>
        <v>-1.4273307937596182</v>
      </c>
      <c r="AP63" s="110">
        <f t="shared" si="374"/>
        <v>-2.2920144908875861</v>
      </c>
      <c r="AQ63" s="110">
        <f t="shared" si="374"/>
        <v>-2.2218344889374197</v>
      </c>
      <c r="AR63" s="110">
        <f t="shared" si="374"/>
        <v>-1.4173257785811768</v>
      </c>
      <c r="AS63" s="110">
        <f t="shared" si="374"/>
        <v>-1.4505641295751515</v>
      </c>
      <c r="AT63" s="110">
        <f t="shared" si="374"/>
        <v>-2.3293226906361499</v>
      </c>
      <c r="AU63" s="110">
        <f t="shared" si="374"/>
        <v>-2.2728255904585342</v>
      </c>
      <c r="AV63" s="110">
        <f t="shared" si="374"/>
        <v>-1.4498534051996159</v>
      </c>
      <c r="AW63" s="110">
        <f t="shared" si="374"/>
        <v>-1.4838545763489017</v>
      </c>
      <c r="AX63" s="110">
        <f t="shared" si="374"/>
        <v>-2.3827806463862502</v>
      </c>
      <c r="AY63" s="110">
        <f t="shared" si="374"/>
        <v>-2.3249869377595589</v>
      </c>
      <c r="AZ63" s="110">
        <f t="shared" si="374"/>
        <v>-1.4831275408489475</v>
      </c>
      <c r="BA63" s="110">
        <f t="shared" si="374"/>
        <v>-1.5179090388761096</v>
      </c>
      <c r="BB63" s="110">
        <f t="shared" si="374"/>
        <v>-2.4374654622208158</v>
      </c>
      <c r="BC63" s="110">
        <f t="shared" si="374"/>
        <v>-2.341376288686098</v>
      </c>
      <c r="BD63" s="110">
        <f t="shared" si="374"/>
        <v>-1.4935824373221342</v>
      </c>
      <c r="BE63" s="110">
        <f t="shared" si="374"/>
        <v>-1.5286091178781358</v>
      </c>
      <c r="BF63" s="110">
        <f t="shared" si="374"/>
        <v>-2.4546476993262645</v>
      </c>
      <c r="BG63" s="110">
        <f t="shared" si="374"/>
        <v>-2.3951108745114449</v>
      </c>
      <c r="BH63" s="110">
        <f t="shared" si="374"/>
        <v>-1.5278601542586783</v>
      </c>
      <c r="BI63" s="110">
        <f t="shared" si="374"/>
        <v>-1.5636906971334397</v>
      </c>
      <c r="BJ63" s="110">
        <f t="shared" si="374"/>
        <v>-2.5109818640258039</v>
      </c>
      <c r="BK63" s="110">
        <f t="shared" si="374"/>
        <v>-2.4500786690814835</v>
      </c>
      <c r="BL63" s="110">
        <f t="shared" si="374"/>
        <v>-1.5629245447989155</v>
      </c>
      <c r="BM63" s="110">
        <f t="shared" si="374"/>
        <v>-1.5995773986326525</v>
      </c>
      <c r="BN63" s="110">
        <f t="shared" si="374"/>
        <v>-2.5686088978051966</v>
      </c>
      <c r="BO63" s="110">
        <f t="shared" si="374"/>
        <v>-2.506307974536905</v>
      </c>
      <c r="BP63" s="110">
        <f t="shared" si="374"/>
        <v>-1.5987936631020514</v>
      </c>
      <c r="BQ63" s="110">
        <f t="shared" si="374"/>
        <v>-1.6362876999312728</v>
      </c>
      <c r="BR63" s="110">
        <f t="shared" si="374"/>
        <v>-2.6275584720098268</v>
      </c>
      <c r="BS63" s="110">
        <f t="shared" ref="BS63:CX63" si="375">-BS46*BS36/Million*Equity_In_Project</f>
        <v>-2.5638277425525278</v>
      </c>
      <c r="BT63" s="110">
        <f t="shared" si="375"/>
        <v>-1.6354859776702442</v>
      </c>
      <c r="BU63" s="110">
        <f t="shared" si="375"/>
        <v>-1.6738405026446963</v>
      </c>
      <c r="BV63" s="110">
        <f t="shared" si="375"/>
        <v>-2.6878609389424541</v>
      </c>
      <c r="BW63" s="110">
        <f t="shared" si="375"/>
        <v>-2.6226675892441094</v>
      </c>
      <c r="BX63" s="110">
        <f t="shared" si="375"/>
        <v>-1.6730203808577773</v>
      </c>
      <c r="BY63" s="110">
        <f t="shared" si="375"/>
        <v>-1.7122551421803933</v>
      </c>
      <c r="BZ63" s="110">
        <f t="shared" si="375"/>
        <v>-2.7495473474911849</v>
      </c>
      <c r="CA63" s="110">
        <f t="shared" si="375"/>
        <v>-2.6828578104172629</v>
      </c>
      <c r="CB63" s="110">
        <f t="shared" si="375"/>
        <v>-1.7114161985984635</v>
      </c>
      <c r="CC63" s="110">
        <f t="shared" si="375"/>
        <v>-1.7515513976934334</v>
      </c>
      <c r="CD63" s="110">
        <f t="shared" si="375"/>
        <v>-2.8126494591161082</v>
      </c>
      <c r="CE63" s="110">
        <f t="shared" si="375"/>
        <v>-2.6874544009093793</v>
      </c>
      <c r="CF63" s="110">
        <f t="shared" si="375"/>
        <v>-1.7143483999980254</v>
      </c>
      <c r="CG63" s="110">
        <f t="shared" si="375"/>
        <v>-1.754552363480673</v>
      </c>
      <c r="CH63" s="110">
        <f t="shared" si="375"/>
        <v>-2.8174684240687884</v>
      </c>
      <c r="CI63" s="110">
        <f t="shared" si="375"/>
        <v>-2.7491314794102504</v>
      </c>
      <c r="CJ63" s="110">
        <f t="shared" si="375"/>
        <v>-1.7536926957779801</v>
      </c>
      <c r="CK63" s="110">
        <f t="shared" si="375"/>
        <v>-1.794819340222555</v>
      </c>
      <c r="CL63" s="110">
        <f t="shared" si="375"/>
        <v>-2.8821293244011685</v>
      </c>
      <c r="CM63" s="110">
        <f t="shared" si="375"/>
        <v>-2.8122240468627164</v>
      </c>
      <c r="CN63" s="110">
        <f t="shared" si="375"/>
        <v>-1.7939399431460858</v>
      </c>
      <c r="CO63" s="110">
        <f t="shared" si="375"/>
        <v>-1.8360104440806637</v>
      </c>
      <c r="CP63" s="110">
        <f t="shared" si="375"/>
        <v>-2.9482741923961768</v>
      </c>
      <c r="CQ63" s="110">
        <f t="shared" si="375"/>
        <v>-2.8767645887382165</v>
      </c>
      <c r="CR63" s="110">
        <f t="shared" si="375"/>
        <v>-1.8351108648412895</v>
      </c>
      <c r="CS63" s="110">
        <f t="shared" si="375"/>
        <v>-1.8781468837723152</v>
      </c>
      <c r="CT63" s="110">
        <f t="shared" si="375"/>
        <v>-3.0159370851116702</v>
      </c>
      <c r="CU63" s="258">
        <f t="shared" si="375"/>
        <v>-2.9427863360497604</v>
      </c>
      <c r="CV63" s="110">
        <f t="shared" si="375"/>
        <v>-1.8772266591893978</v>
      </c>
      <c r="CW63" s="110">
        <f t="shared" si="375"/>
        <v>-1.9212503547548909</v>
      </c>
      <c r="CX63" s="110">
        <f t="shared" si="375"/>
        <v>-3.0851528412149847</v>
      </c>
      <c r="CY63" s="110">
        <f t="shared" ref="CY63:ED63" si="376">-CY46*CY36/Million*Equity_In_Project</f>
        <v>-2.9620293260589681</v>
      </c>
      <c r="CZ63" s="110">
        <f t="shared" si="376"/>
        <v>-1.889501914584355</v>
      </c>
      <c r="DA63" s="110">
        <f t="shared" si="376"/>
        <v>-1.9338134827430962</v>
      </c>
      <c r="DB63" s="110">
        <f t="shared" si="376"/>
        <v>-3.1053267711306956</v>
      </c>
      <c r="DC63" s="110">
        <f t="shared" si="376"/>
        <v>-3.0300078990920229</v>
      </c>
      <c r="DD63" s="110">
        <f t="shared" si="376"/>
        <v>-1.9328659835240669</v>
      </c>
      <c r="DE63" s="110">
        <f t="shared" si="376"/>
        <v>-1.9781945021720517</v>
      </c>
      <c r="DF63" s="110">
        <f t="shared" si="376"/>
        <v>-3.1765940205281464</v>
      </c>
      <c r="DG63" s="110">
        <f t="shared" si="376"/>
        <v>-3.0995465803761864</v>
      </c>
      <c r="DH63" s="110">
        <f t="shared" si="376"/>
        <v>-1.9772252578459453</v>
      </c>
      <c r="DI63" s="110">
        <f t="shared" si="376"/>
        <v>-2.0235940659969014</v>
      </c>
      <c r="DJ63" s="110">
        <f t="shared" si="376"/>
        <v>-3.2494968532992701</v>
      </c>
      <c r="DK63" s="110">
        <f t="shared" si="376"/>
        <v>-3.1706811743958223</v>
      </c>
      <c r="DL63" s="110">
        <f t="shared" si="376"/>
        <v>-2.0226025775135108</v>
      </c>
      <c r="DM63" s="110">
        <f t="shared" si="376"/>
        <v>-2.0700355498115313</v>
      </c>
      <c r="DN63" s="110">
        <f t="shared" si="376"/>
        <v>-3.3240728060824902</v>
      </c>
      <c r="DO63" s="110">
        <f t="shared" si="376"/>
        <v>-3.2434483073482081</v>
      </c>
      <c r="DP63" s="110">
        <f t="shared" si="376"/>
        <v>-2.0690213066674472</v>
      </c>
      <c r="DQ63" s="110">
        <f t="shared" si="376"/>
        <v>-2.1175428656797073</v>
      </c>
      <c r="DR63" s="110">
        <f t="shared" si="376"/>
        <v>-3.4003602769820844</v>
      </c>
      <c r="DS63" s="110">
        <f t="shared" si="376"/>
        <v>-3.317885446001851</v>
      </c>
      <c r="DT63" s="110">
        <f t="shared" si="376"/>
        <v>-2.1165053456554661</v>
      </c>
      <c r="DU63" s="110">
        <f t="shared" si="376"/>
        <v>-2.1661404744470572</v>
      </c>
      <c r="DV63" s="110">
        <f t="shared" si="376"/>
        <v>-3.4783985453388255</v>
      </c>
      <c r="DW63" s="110">
        <f t="shared" si="376"/>
        <v>-3.3940309169875951</v>
      </c>
      <c r="DX63" s="110">
        <f t="shared" si="376"/>
        <v>-2.1650791433382599</v>
      </c>
      <c r="DY63" s="110">
        <f t="shared" si="376"/>
        <v>-2.2158533983356183</v>
      </c>
      <c r="DZ63" s="110">
        <f t="shared" si="376"/>
        <v>-3.5582277919543532</v>
      </c>
      <c r="EA63" s="110">
        <f t="shared" si="376"/>
        <v>-3.4719239265324622</v>
      </c>
      <c r="EB63" s="110">
        <f t="shared" si="376"/>
        <v>-2.2147677096778744</v>
      </c>
      <c r="EC63" s="110">
        <f t="shared" si="376"/>
        <v>-2.2667072338274221</v>
      </c>
      <c r="ED63" s="110">
        <f t="shared" si="376"/>
        <v>-3.6398891197797067</v>
      </c>
      <c r="EE63" s="110">
        <f t="shared" ref="EE63:FA63" si="377">-EE46*EE36/Million*Equity_In_Project</f>
        <v>-3.5516045806463836</v>
      </c>
      <c r="EF63" s="110">
        <f t="shared" si="377"/>
        <v>-2.2655966286149827</v>
      </c>
      <c r="EG63" s="110">
        <f t="shared" si="377"/>
        <v>-2.3187281648437623</v>
      </c>
      <c r="EH63" s="110">
        <f t="shared" si="377"/>
        <v>-3.7234245750786532</v>
      </c>
      <c r="EI63" s="110">
        <f t="shared" si="377"/>
        <v>-3.6331139057722206</v>
      </c>
      <c r="EJ63" s="110">
        <f t="shared" si="377"/>
        <v>0</v>
      </c>
      <c r="EK63" s="110">
        <f t="shared" si="377"/>
        <v>0</v>
      </c>
      <c r="EL63" s="110">
        <f t="shared" si="377"/>
        <v>0</v>
      </c>
      <c r="EM63" s="110">
        <f t="shared" si="377"/>
        <v>0</v>
      </c>
      <c r="EN63" s="110">
        <f t="shared" si="377"/>
        <v>0</v>
      </c>
      <c r="EO63" s="110">
        <f t="shared" si="377"/>
        <v>0</v>
      </c>
      <c r="EP63" s="110">
        <f t="shared" si="377"/>
        <v>0</v>
      </c>
      <c r="EQ63" s="110">
        <f t="shared" si="377"/>
        <v>0</v>
      </c>
      <c r="ER63" s="110">
        <f t="shared" si="377"/>
        <v>0</v>
      </c>
      <c r="ES63" s="110">
        <f t="shared" si="377"/>
        <v>0</v>
      </c>
      <c r="ET63" s="110">
        <f t="shared" si="377"/>
        <v>0</v>
      </c>
      <c r="EU63" s="110">
        <f t="shared" si="377"/>
        <v>0</v>
      </c>
      <c r="EV63" s="110">
        <f t="shared" si="377"/>
        <v>0</v>
      </c>
      <c r="EW63" s="110">
        <f t="shared" si="377"/>
        <v>0</v>
      </c>
      <c r="EX63" s="110">
        <f t="shared" si="377"/>
        <v>0</v>
      </c>
      <c r="EY63" s="110">
        <f t="shared" si="377"/>
        <v>0</v>
      </c>
      <c r="EZ63" s="110">
        <f t="shared" si="377"/>
        <v>0</v>
      </c>
      <c r="FA63" s="110">
        <f t="shared" si="377"/>
        <v>0</v>
      </c>
    </row>
    <row r="64" spans="2:157" outlineLevel="1" x14ac:dyDescent="0.2">
      <c r="C64" s="39" t="s">
        <v>25</v>
      </c>
      <c r="D64" s="21" t="s">
        <v>126</v>
      </c>
      <c r="E64" s="213"/>
      <c r="F64" s="21"/>
      <c r="G64" s="106">
        <f>SUM(G58:G63)</f>
        <v>0</v>
      </c>
      <c r="H64" s="106">
        <f t="shared" ref="H64:BS64" si="378">SUM(H58:H63)</f>
        <v>0</v>
      </c>
      <c r="I64" s="106">
        <f t="shared" si="378"/>
        <v>0</v>
      </c>
      <c r="J64" s="106">
        <f t="shared" si="378"/>
        <v>0</v>
      </c>
      <c r="K64" s="106">
        <f t="shared" si="378"/>
        <v>0</v>
      </c>
      <c r="L64" s="106">
        <f t="shared" si="378"/>
        <v>0</v>
      </c>
      <c r="M64" s="106">
        <f t="shared" si="378"/>
        <v>6.5925202962190168</v>
      </c>
      <c r="N64" s="106">
        <f t="shared" si="378"/>
        <v>18.926854976573768</v>
      </c>
      <c r="O64" s="106">
        <f t="shared" si="378"/>
        <v>22.505543957723116</v>
      </c>
      <c r="P64" s="106">
        <f t="shared" si="378"/>
        <v>17.710086922227855</v>
      </c>
      <c r="Q64" s="106">
        <f t="shared" si="378"/>
        <v>26.063347990485809</v>
      </c>
      <c r="R64" s="106">
        <f t="shared" si="378"/>
        <v>62.675576233805266</v>
      </c>
      <c r="S64" s="106">
        <f t="shared" si="378"/>
        <v>64.116637284630258</v>
      </c>
      <c r="T64" s="106">
        <f t="shared" si="378"/>
        <v>31.049236592090701</v>
      </c>
      <c r="U64" s="106">
        <f t="shared" si="378"/>
        <v>32.227608527270561</v>
      </c>
      <c r="V64" s="106">
        <f t="shared" si="378"/>
        <v>67.969510134053081</v>
      </c>
      <c r="W64" s="106">
        <f t="shared" si="378"/>
        <v>65.477071364776549</v>
      </c>
      <c r="X64" s="106">
        <f t="shared" si="378"/>
        <v>31.650009659330014</v>
      </c>
      <c r="Y64" s="106">
        <f t="shared" si="378"/>
        <v>32.854655791722514</v>
      </c>
      <c r="Z64" s="106">
        <f t="shared" si="378"/>
        <v>69.41605929354543</v>
      </c>
      <c r="AA64" s="106">
        <f t="shared" si="378"/>
        <v>66.865638962841572</v>
      </c>
      <c r="AB64" s="106">
        <f t="shared" si="378"/>
        <v>32.261460717789504</v>
      </c>
      <c r="AC64" s="106">
        <f t="shared" si="378"/>
        <v>33.492962586449984</v>
      </c>
      <c r="AD64" s="106">
        <f t="shared" si="378"/>
        <v>70.892653949694619</v>
      </c>
      <c r="AE64" s="106">
        <f t="shared" si="378"/>
        <v>68.282899629251858</v>
      </c>
      <c r="AF64" s="106">
        <f t="shared" si="378"/>
        <v>32.883748118131884</v>
      </c>
      <c r="AG64" s="106">
        <f t="shared" si="378"/>
        <v>34.142700008885271</v>
      </c>
      <c r="AH64" s="106">
        <f t="shared" si="378"/>
        <v>72.399895734155635</v>
      </c>
      <c r="AI64" s="106">
        <f t="shared" si="378"/>
        <v>68.709343717430784</v>
      </c>
      <c r="AJ64" s="106">
        <f t="shared" si="378"/>
        <v>32.86631456339758</v>
      </c>
      <c r="AK64" s="106">
        <f t="shared" si="378"/>
        <v>34.138063527793079</v>
      </c>
      <c r="AL64" s="106">
        <f t="shared" si="378"/>
        <v>72.868968450104759</v>
      </c>
      <c r="AM64" s="106">
        <f t="shared" si="378"/>
        <v>70.162300256784889</v>
      </c>
      <c r="AN64" s="106">
        <f t="shared" si="378"/>
        <v>33.49582055112127</v>
      </c>
      <c r="AO64" s="106">
        <f t="shared" si="378"/>
        <v>34.795897235525146</v>
      </c>
      <c r="AP64" s="106">
        <f t="shared" si="378"/>
        <v>74.414811580193273</v>
      </c>
      <c r="AQ64" s="106">
        <f t="shared" si="378"/>
        <v>70.97325203925655</v>
      </c>
      <c r="AR64" s="106">
        <f t="shared" si="378"/>
        <v>33.707690386914514</v>
      </c>
      <c r="AS64" s="106">
        <f t="shared" si="378"/>
        <v>35.026669385092198</v>
      </c>
      <c r="AT64" s="106">
        <f t="shared" si="378"/>
        <v>75.288204448023649</v>
      </c>
      <c r="AU64" s="106">
        <f t="shared" si="378"/>
        <v>72.471173901775416</v>
      </c>
      <c r="AV64" s="106">
        <f t="shared" si="378"/>
        <v>34.349466331806084</v>
      </c>
      <c r="AW64" s="106">
        <f t="shared" si="378"/>
        <v>35.697808400442611</v>
      </c>
      <c r="AX64" s="106">
        <f t="shared" si="378"/>
        <v>76.882431932656601</v>
      </c>
      <c r="AY64" s="106">
        <f t="shared" si="378"/>
        <v>73.99983046878053</v>
      </c>
      <c r="AZ64" s="106">
        <f t="shared" si="378"/>
        <v>35.002303293691682</v>
      </c>
      <c r="BA64" s="106">
        <f t="shared" si="378"/>
        <v>36.380657002697617</v>
      </c>
      <c r="BB64" s="106">
        <f t="shared" si="378"/>
        <v>78.509528396928872</v>
      </c>
      <c r="BC64" s="106">
        <f t="shared" si="378"/>
        <v>73.857058360687446</v>
      </c>
      <c r="BD64" s="106">
        <f t="shared" si="378"/>
        <v>34.58014420371147</v>
      </c>
      <c r="BE64" s="106">
        <f t="shared" si="378"/>
        <v>35.963699128177645</v>
      </c>
      <c r="BF64" s="106">
        <f t="shared" si="378"/>
        <v>78.38500062694294</v>
      </c>
      <c r="BG64" s="106">
        <f t="shared" si="378"/>
        <v>75.409928122705153</v>
      </c>
      <c r="BH64" s="106">
        <f t="shared" si="378"/>
        <v>35.2306299641088</v>
      </c>
      <c r="BI64" s="106">
        <f t="shared" si="378"/>
        <v>36.644951896160379</v>
      </c>
      <c r="BJ64" s="106">
        <f t="shared" si="378"/>
        <v>80.038829883441281</v>
      </c>
      <c r="BK64" s="106">
        <f t="shared" si="378"/>
        <v>76.994480234339463</v>
      </c>
      <c r="BL64" s="106">
        <f t="shared" si="378"/>
        <v>35.892061054714013</v>
      </c>
      <c r="BM64" s="106">
        <f t="shared" si="378"/>
        <v>37.33782860170394</v>
      </c>
      <c r="BN64" s="106">
        <f t="shared" si="378"/>
        <v>81.726576022231797</v>
      </c>
      <c r="BO64" s="106">
        <f t="shared" si="378"/>
        <v>78.611331440583825</v>
      </c>
      <c r="BP64" s="106">
        <f t="shared" si="378"/>
        <v>36.56457754243398</v>
      </c>
      <c r="BQ64" s="106">
        <f t="shared" si="378"/>
        <v>38.042484116970549</v>
      </c>
      <c r="BR64" s="106">
        <f t="shared" si="378"/>
        <v>83.448904764445714</v>
      </c>
      <c r="BS64" s="106">
        <f t="shared" si="378"/>
        <v>80.261109554863438</v>
      </c>
      <c r="BT64" s="106">
        <f t="shared" ref="BT64:EE64" si="379">SUM(BT58:BT63)</f>
        <v>37.248319601454533</v>
      </c>
      <c r="BU64" s="106">
        <f t="shared" si="379"/>
        <v>38.759073739642588</v>
      </c>
      <c r="BV64" s="106">
        <f t="shared" si="379"/>
        <v>85.206493959029487</v>
      </c>
      <c r="BW64" s="106">
        <f t="shared" si="379"/>
        <v>81.944453626597436</v>
      </c>
      <c r="BX64" s="106">
        <f t="shared" si="379"/>
        <v>37.943427428643474</v>
      </c>
      <c r="BY64" s="106">
        <f t="shared" si="379"/>
        <v>39.487753115024631</v>
      </c>
      <c r="BZ64" s="106">
        <f t="shared" si="379"/>
        <v>87.000033772805196</v>
      </c>
      <c r="CA64" s="106">
        <f t="shared" si="379"/>
        <v>83.662014110178887</v>
      </c>
      <c r="CB64" s="106">
        <f t="shared" si="379"/>
        <v>38.650041154567973</v>
      </c>
      <c r="CC64" s="106">
        <f t="shared" si="379"/>
        <v>40.228678153896674</v>
      </c>
      <c r="CD64" s="106">
        <f t="shared" si="379"/>
        <v>88.830226882415815</v>
      </c>
      <c r="CE64" s="106">
        <f t="shared" si="379"/>
        <v>82.790230287739718</v>
      </c>
      <c r="CF64" s="106">
        <f t="shared" si="379"/>
        <v>37.694288321295922</v>
      </c>
      <c r="CG64" s="106">
        <f t="shared" si="379"/>
        <v>39.268734491004139</v>
      </c>
      <c r="CH64" s="106">
        <f t="shared" si="379"/>
        <v>87.946610926625453</v>
      </c>
      <c r="CI64" s="106">
        <f t="shared" si="379"/>
        <v>84.517995519195793</v>
      </c>
      <c r="CJ64" s="106">
        <f t="shared" si="379"/>
        <v>38.385914913538308</v>
      </c>
      <c r="CK64" s="106">
        <f t="shared" si="379"/>
        <v>39.995299656760352</v>
      </c>
      <c r="CL64" s="106">
        <f t="shared" si="379"/>
        <v>89.789130138789716</v>
      </c>
      <c r="CM64" s="106">
        <f t="shared" si="379"/>
        <v>86.280616481156798</v>
      </c>
      <c r="CN64" s="106">
        <f t="shared" si="379"/>
        <v>39.088584732683074</v>
      </c>
      <c r="CO64" s="106">
        <f t="shared" si="379"/>
        <v>40.733676538632693</v>
      </c>
      <c r="CP64" s="106">
        <f t="shared" si="379"/>
        <v>91.669038630581497</v>
      </c>
      <c r="CQ64" s="106">
        <f t="shared" si="379"/>
        <v>88.078759243644043</v>
      </c>
      <c r="CR64" s="106">
        <f t="shared" si="379"/>
        <v>39.802416425350103</v>
      </c>
      <c r="CS64" s="106">
        <f t="shared" si="379"/>
        <v>41.484000487200682</v>
      </c>
      <c r="CT64" s="106">
        <f t="shared" si="379"/>
        <v>93.587057818326585</v>
      </c>
      <c r="CU64" s="259">
        <f t="shared" si="379"/>
        <v>89.913101418487742</v>
      </c>
      <c r="CV64" s="106">
        <f t="shared" si="379"/>
        <v>-4.4117768490310159</v>
      </c>
      <c r="CW64" s="106">
        <f t="shared" si="379"/>
        <v>-3.7467903298177507</v>
      </c>
      <c r="CX64" s="106">
        <f t="shared" si="379"/>
        <v>21.687830955504861</v>
      </c>
      <c r="CY64" s="106">
        <f t="shared" si="379"/>
        <v>18.651338880108259</v>
      </c>
      <c r="CZ64" s="106">
        <f t="shared" si="379"/>
        <v>-5.3880797992706526</v>
      </c>
      <c r="DA64" s="106">
        <f t="shared" si="379"/>
        <v>-4.7251469756259414</v>
      </c>
      <c r="DB64" s="106">
        <f t="shared" si="379"/>
        <v>20.869346766698058</v>
      </c>
      <c r="DC64" s="106">
        <f t="shared" si="379"/>
        <v>18.881757483363767</v>
      </c>
      <c r="DD64" s="106">
        <f t="shared" si="379"/>
        <v>-5.710727762710551</v>
      </c>
      <c r="DE64" s="106">
        <f t="shared" si="379"/>
        <v>-5.0339519459131745</v>
      </c>
      <c r="DF64" s="106">
        <f t="shared" si="379"/>
        <v>21.146554640383503</v>
      </c>
      <c r="DG64" s="106">
        <f t="shared" si="379"/>
        <v>19.111959857750449</v>
      </c>
      <c r="DH64" s="106">
        <f t="shared" si="379"/>
        <v>-6.046322853823793</v>
      </c>
      <c r="DI64" s="106">
        <f t="shared" si="379"/>
        <v>-5.3554246314713101</v>
      </c>
      <c r="DJ64" s="106">
        <f t="shared" si="379"/>
        <v>21.424505244259962</v>
      </c>
      <c r="DK64" s="106">
        <f t="shared" si="379"/>
        <v>19.34178736995689</v>
      </c>
      <c r="DL64" s="106">
        <f t="shared" si="379"/>
        <v>-6.3953169438187452</v>
      </c>
      <c r="DM64" s="106">
        <f t="shared" si="379"/>
        <v>-5.6900115621415006</v>
      </c>
      <c r="DN64" s="106">
        <f t="shared" si="379"/>
        <v>21.703058739632649</v>
      </c>
      <c r="DO64" s="106">
        <f t="shared" si="379"/>
        <v>19.571073446485492</v>
      </c>
      <c r="DP64" s="106">
        <f t="shared" si="379"/>
        <v>-6.7581766037212416</v>
      </c>
      <c r="DQ64" s="106">
        <f t="shared" si="379"/>
        <v>-6.038173875026958</v>
      </c>
      <c r="DR64" s="106">
        <f t="shared" si="379"/>
        <v>21.982067688869115</v>
      </c>
      <c r="DS64" s="106">
        <f t="shared" si="379"/>
        <v>19.799643270889597</v>
      </c>
      <c r="DT64" s="106">
        <f t="shared" si="379"/>
        <v>-7.1353835631086238</v>
      </c>
      <c r="DU64" s="106">
        <f t="shared" si="379"/>
        <v>-6.400387771945959</v>
      </c>
      <c r="DV64" s="106">
        <f t="shared" si="379"/>
        <v>22.261376757938091</v>
      </c>
      <c r="DW64" s="106">
        <f t="shared" si="379"/>
        <v>20.027313470677285</v>
      </c>
      <c r="DX64" s="106">
        <f t="shared" si="379"/>
        <v>-7.5274351827801063</v>
      </c>
      <c r="DY64" s="106">
        <f t="shared" si="379"/>
        <v>-6.777144990815879</v>
      </c>
      <c r="DZ64" s="106">
        <f t="shared" si="379"/>
        <v>22.540822408665001</v>
      </c>
      <c r="EA64" s="106">
        <f t="shared" si="379"/>
        <v>20.253891793548661</v>
      </c>
      <c r="EB64" s="106">
        <f t="shared" si="379"/>
        <v>-7.9348449417800051</v>
      </c>
      <c r="EC64" s="106">
        <f t="shared" si="379"/>
        <v>-7.1689532913847813</v>
      </c>
      <c r="ED64" s="106">
        <f t="shared" si="379"/>
        <v>22.820232580371144</v>
      </c>
      <c r="EE64" s="106">
        <f t="shared" si="379"/>
        <v>20.47917677262485</v>
      </c>
      <c r="EF64" s="106">
        <f t="shared" ref="EF64:FA64" si="380">SUM(EF58:EF63)</f>
        <v>-8.3581429392011284</v>
      </c>
      <c r="EG64" s="106">
        <f t="shared" si="380"/>
        <v>-7.5763369557386628</v>
      </c>
      <c r="EH64" s="106">
        <f t="shared" si="380"/>
        <v>23.099426360553252</v>
      </c>
      <c r="EI64" s="106">
        <f t="shared" si="380"/>
        <v>20.702957380314913</v>
      </c>
      <c r="EJ64" s="106">
        <f t="shared" si="380"/>
        <v>0</v>
      </c>
      <c r="EK64" s="106">
        <f t="shared" si="380"/>
        <v>0</v>
      </c>
      <c r="EL64" s="106">
        <f t="shared" si="380"/>
        <v>0</v>
      </c>
      <c r="EM64" s="106">
        <f t="shared" si="380"/>
        <v>0</v>
      </c>
      <c r="EN64" s="106">
        <f t="shared" si="380"/>
        <v>0</v>
      </c>
      <c r="EO64" s="106">
        <f t="shared" si="380"/>
        <v>0</v>
      </c>
      <c r="EP64" s="106">
        <f t="shared" si="380"/>
        <v>0</v>
      </c>
      <c r="EQ64" s="106">
        <f t="shared" si="380"/>
        <v>0</v>
      </c>
      <c r="ER64" s="106">
        <f t="shared" si="380"/>
        <v>0</v>
      </c>
      <c r="ES64" s="106">
        <f t="shared" si="380"/>
        <v>0</v>
      </c>
      <c r="ET64" s="106">
        <f t="shared" si="380"/>
        <v>0</v>
      </c>
      <c r="EU64" s="106">
        <f t="shared" si="380"/>
        <v>0</v>
      </c>
      <c r="EV64" s="106">
        <f t="shared" si="380"/>
        <v>0</v>
      </c>
      <c r="EW64" s="106">
        <f t="shared" si="380"/>
        <v>0</v>
      </c>
      <c r="EX64" s="106">
        <f t="shared" si="380"/>
        <v>0</v>
      </c>
      <c r="EY64" s="106">
        <f t="shared" si="380"/>
        <v>0</v>
      </c>
      <c r="EZ64" s="106">
        <f t="shared" si="380"/>
        <v>0</v>
      </c>
      <c r="FA64" s="106">
        <f t="shared" si="380"/>
        <v>0</v>
      </c>
    </row>
    <row r="65" spans="2:157" ht="15.5" customHeight="1" outlineLevel="1" x14ac:dyDescent="0.2">
      <c r="C65" s="12" t="s">
        <v>127</v>
      </c>
      <c r="D65" s="21" t="s">
        <v>126</v>
      </c>
      <c r="E65" s="213">
        <f ca="1">SUM(G65:FA65)</f>
        <v>-2079.6438680550104</v>
      </c>
      <c r="F65" s="21"/>
      <c r="G65" s="111">
        <f>-IF(G17=1,(SUM($G51:G51)+SUM($F65:F65))*Inputs_Assumptions!$E$136,0)</f>
        <v>0</v>
      </c>
      <c r="H65" s="111">
        <f>-IF(H17=1,(SUM($G51:H51)+SUM($F65:G65))*Inputs_Assumptions!$E$136,0)</f>
        <v>0</v>
      </c>
      <c r="I65" s="111">
        <f>-IF(I17=1,(SUM($G51:I51)+SUM($F65:H65))*Inputs_Assumptions!$E$136,0)</f>
        <v>0</v>
      </c>
      <c r="J65" s="111">
        <f>-IF(J17=1,(SUM($G51:J51)+SUM($F65:I65))*Inputs_Assumptions!$E$136,0)</f>
        <v>0</v>
      </c>
      <c r="K65" s="111">
        <f>-IF(K17=1,(SUM($G51:K51)+SUM($F65:J65))*Inputs_Assumptions!$E$136,0)</f>
        <v>0</v>
      </c>
      <c r="L65" s="111">
        <f>-IF(L17=1,(SUM($G51:L51)+SUM($F65:K65))*Inputs_Assumptions!$E$136,0)</f>
        <v>0</v>
      </c>
      <c r="M65" s="111">
        <f ca="1">-IF(M17=1,(SUM($G51:M51)+SUM($F65:L65))*Inputs_Assumptions!$E$136,0)</f>
        <v>-10.44646004690196</v>
      </c>
      <c r="N65" s="111">
        <f ca="1">-IF(N17=1,(SUM($G51:N51)+SUM($F65:M65))*Inputs_Assumptions!$E$136,0)</f>
        <v>-14.291324565443436</v>
      </c>
      <c r="O65" s="111">
        <f ca="1">-IF(O17=1,(SUM($G51:O51)+SUM($F65:N65))*Inputs_Assumptions!$E$136,0)</f>
        <v>-16.935622042774316</v>
      </c>
      <c r="P65" s="111">
        <f ca="1">-IF(P17=1,(SUM($G51:P51)+SUM($F65:O65))*Inputs_Assumptions!$E$136,0)</f>
        <v>-23.915307389807761</v>
      </c>
      <c r="Q65" s="111">
        <f ca="1">-IF(Q17=1,(SUM($G51:Q51)+SUM($F65:P65))*Inputs_Assumptions!$E$136,0)</f>
        <v>-30.994122884818857</v>
      </c>
      <c r="R65" s="111">
        <f ca="1">-IF(R17=1,(SUM($G51:R51)+SUM($F65:Q65))*Inputs_Assumptions!$E$136,0)</f>
        <v>-34.092405979239139</v>
      </c>
      <c r="S65" s="111">
        <f ca="1">-IF(S17=1,(SUM($G51:S51)+SUM($F65:R65))*Inputs_Assumptions!$E$136,0)</f>
        <v>-35.356112283123771</v>
      </c>
      <c r="T65" s="111">
        <f ca="1">-IF(T17=1,(SUM($G51:T51)+SUM($F65:S65))*Inputs_Assumptions!$E$136,0)</f>
        <v>-34.81340222509877</v>
      </c>
      <c r="U65" s="111">
        <f ca="1">-IF(U17=1,(SUM($G51:U51)+SUM($F65:T65))*Inputs_Assumptions!$E$136,0)</f>
        <v>-34.279022670289834</v>
      </c>
      <c r="V65" s="111">
        <f ca="1">-IF(V17=1,(SUM($G51:V51)+SUM($F65:U65))*Inputs_Assumptions!$E$136,0)</f>
        <v>-33.752845746948829</v>
      </c>
      <c r="W65" s="111">
        <f ca="1">-IF(W17=1,(SUM($G51:W51)+SUM($F65:V65))*Inputs_Assumptions!$E$136,0)</f>
        <v>-33.234745546136338</v>
      </c>
      <c r="X65" s="111">
        <f ca="1">-IF(X17=1,(SUM($G51:X51)+SUM($F65:W65))*Inputs_Assumptions!$E$136,0)</f>
        <v>-32.724598091592846</v>
      </c>
      <c r="Y65" s="111">
        <f ca="1">-IF(Y17=1,(SUM($G51:Y51)+SUM($F65:X65))*Inputs_Assumptions!$E$136,0)</f>
        <v>-32.222281310072439</v>
      </c>
      <c r="Z65" s="111">
        <f ca="1">-IF(Z17=1,(SUM($G51:Z51)+SUM($F65:Y65))*Inputs_Assumptions!$E$136,0)</f>
        <v>-31.727675002131893</v>
      </c>
      <c r="AA65" s="111">
        <f ca="1">-IF(AA17=1,(SUM($G51:AA51)+SUM($F65:Z65))*Inputs_Assumptions!$E$136,0)</f>
        <v>-31.240660813368155</v>
      </c>
      <c r="AB65" s="111">
        <f ca="1">-IF(AB17=1,(SUM($G51:AB51)+SUM($F65:AA65))*Inputs_Assumptions!$E$136,0)</f>
        <v>-30.761122206097269</v>
      </c>
      <c r="AC65" s="111">
        <f ca="1">-IF(AC17=1,(SUM($G51:AC51)+SUM($F65:AB65))*Inputs_Assumptions!$E$136,0)</f>
        <v>-30.288944431468085</v>
      </c>
      <c r="AD65" s="111">
        <f ca="1">-IF(AD17=1,(SUM($G51:AD51)+SUM($F65:AC65))*Inputs_Assumptions!$E$136,0)</f>
        <v>-29.824014502003976</v>
      </c>
      <c r="AE65" s="111">
        <f ca="1">-IF(AE17=1,(SUM($G51:AE51)+SUM($F65:AD65))*Inputs_Assumptions!$E$136,0)</f>
        <v>-29.36622116456606</v>
      </c>
      <c r="AF65" s="111">
        <f ca="1">-IF(AF17=1,(SUM($G51:AF51)+SUM($F65:AE65))*Inputs_Assumptions!$E$136,0)</f>
        <v>-28.915454873731431</v>
      </c>
      <c r="AG65" s="111">
        <f ca="1">-IF(AG17=1,(SUM($G51:AG51)+SUM($F65:AF65))*Inputs_Assumptions!$E$136,0)</f>
        <v>-28.471607765579993</v>
      </c>
      <c r="AH65" s="111">
        <f ca="1">-IF(AH17=1,(SUM($G51:AH51)+SUM($F65:AG65))*Inputs_Assumptions!$E$136,0)</f>
        <v>-28.034573631883735</v>
      </c>
      <c r="AI65" s="111">
        <f ca="1">-IF(AI17=1,(SUM($G51:AI51)+SUM($F65:AH65))*Inputs_Assumptions!$E$136,0)</f>
        <v>-27.604247894692097</v>
      </c>
      <c r="AJ65" s="111">
        <f ca="1">-IF(AJ17=1,(SUM($G51:AJ51)+SUM($F65:AI65))*Inputs_Assumptions!$E$136,0)</f>
        <v>-27.18052758130754</v>
      </c>
      <c r="AK65" s="111">
        <f ca="1">-IF(AK17=1,(SUM($G51:AK51)+SUM($F65:AJ65))*Inputs_Assumptions!$E$136,0)</f>
        <v>-26.763311299645196</v>
      </c>
      <c r="AL65" s="111">
        <f ca="1">-IF(AL17=1,(SUM($G51:AL51)+SUM($F65:AK65))*Inputs_Assumptions!$E$136,0)</f>
        <v>-26.352499213970702</v>
      </c>
      <c r="AM65" s="111">
        <f ca="1">-IF(AM17=1,(SUM($G51:AM51)+SUM($F65:AL65))*Inputs_Assumptions!$E$136,0)</f>
        <v>-25.947993021010564</v>
      </c>
      <c r="AN65" s="111">
        <f ca="1">-IF(AN17=1,(SUM($G51:AN51)+SUM($F65:AM65))*Inputs_Assumptions!$E$136,0)</f>
        <v>-25.549695926429088</v>
      </c>
      <c r="AO65" s="111">
        <f ca="1">-IF(AO17=1,(SUM($G51:AO51)+SUM($F65:AN65))*Inputs_Assumptions!$E$136,0)</f>
        <v>-25.157512621666477</v>
      </c>
      <c r="AP65" s="111">
        <f ca="1">-IF(AP17=1,(SUM($G51:AP51)+SUM($F65:AO65))*Inputs_Assumptions!$E$136,0)</f>
        <v>-24.77134926113246</v>
      </c>
      <c r="AQ65" s="111">
        <f ca="1">-IF(AQ17=1,(SUM($G51:AQ51)+SUM($F65:AP65))*Inputs_Assumptions!$E$136,0)</f>
        <v>-24.391113439749926</v>
      </c>
      <c r="AR65" s="111">
        <f ca="1">-IF(AR17=1,(SUM($G51:AR51)+SUM($F65:AQ65))*Inputs_Assumptions!$E$136,0)</f>
        <v>-24.016714170843333</v>
      </c>
      <c r="AS65" s="111">
        <f ca="1">-IF(AS17=1,(SUM($G51:AS51)+SUM($F65:AR65))*Inputs_Assumptions!$E$136,0)</f>
        <v>-23.648061864366486</v>
      </c>
      <c r="AT65" s="111">
        <f ca="1">-IF(AT17=1,(SUM($G51:AT51)+SUM($F65:AS65))*Inputs_Assumptions!$E$136,0)</f>
        <v>-23.285068305464506</v>
      </c>
      <c r="AU65" s="111">
        <f ca="1">-IF(AU17=1,(SUM($G51:AU51)+SUM($F65:AT65))*Inputs_Assumptions!$E$136,0)</f>
        <v>-22.92764663336493</v>
      </c>
      <c r="AV65" s="111">
        <f ca="1">-IF(AV17=1,(SUM($G51:AV51)+SUM($F65:AU65))*Inputs_Assumptions!$E$136,0)</f>
        <v>-22.575711320592731</v>
      </c>
      <c r="AW65" s="111">
        <f ca="1">-IF(AW17=1,(SUM($G51:AW51)+SUM($F65:AV65))*Inputs_Assumptions!$E$136,0)</f>
        <v>-22.229178152504492</v>
      </c>
      <c r="AX65" s="111">
        <f ca="1">-IF(AX17=1,(SUM($G51:AX51)+SUM($F65:AW65))*Inputs_Assumptions!$E$136,0)</f>
        <v>-21.887964207136633</v>
      </c>
      <c r="AY65" s="111">
        <f ca="1">-IF(AY17=1,(SUM($G51:AY51)+SUM($F65:AX65))*Inputs_Assumptions!$E$136,0)</f>
        <v>-21.551987835363029</v>
      </c>
      <c r="AZ65" s="111">
        <f ca="1">-IF(AZ17=1,(SUM($G51:AZ51)+SUM($F65:AY65))*Inputs_Assumptions!$E$136,0)</f>
        <v>-21.221168641357167</v>
      </c>
      <c r="BA65" s="111">
        <f ca="1">-IF(BA17=1,(SUM($G51:BA51)+SUM($F65:AZ65))*Inputs_Assumptions!$E$136,0)</f>
        <v>-20.895427463354224</v>
      </c>
      <c r="BB65" s="111">
        <f ca="1">-IF(BB17=1,(SUM($G51:BB51)+SUM($F65:BA65))*Inputs_Assumptions!$E$136,0)</f>
        <v>-20.574686354708437</v>
      </c>
      <c r="BC65" s="111">
        <f ca="1">-IF(BC17=1,(SUM($G51:BC51)+SUM($F65:BB65))*Inputs_Assumptions!$E$136,0)</f>
        <v>-20.258868565241244</v>
      </c>
      <c r="BD65" s="111">
        <f ca="1">-IF(BD17=1,(SUM($G51:BD51)+SUM($F65:BC65))*Inputs_Assumptions!$E$136,0)</f>
        <v>-19.947898522875732</v>
      </c>
      <c r="BE65" s="111">
        <f ca="1">-IF(BE17=1,(SUM($G51:BE51)+SUM($F65:BD65))*Inputs_Assumptions!$E$136,0)</f>
        <v>-19.641701815552963</v>
      </c>
      <c r="BF65" s="111">
        <f ca="1">-IF(BF17=1,(SUM($G51:BF51)+SUM($F65:BE65))*Inputs_Assumptions!$E$136,0)</f>
        <v>-19.340205173425925</v>
      </c>
      <c r="BG65" s="111">
        <f ca="1">-IF(BG17=1,(SUM($G51:BG51)+SUM($F65:BF65))*Inputs_Assumptions!$E$136,0)</f>
        <v>-19.04333645132677</v>
      </c>
      <c r="BH65" s="111">
        <f ca="1">-IF(BH17=1,(SUM($G51:BH51)+SUM($F65:BG65))*Inputs_Assumptions!$E$136,0)</f>
        <v>-18.751024611503187</v>
      </c>
      <c r="BI65" s="111">
        <f ca="1">-IF(BI17=1,(SUM($G51:BI51)+SUM($F65:BH65))*Inputs_Assumptions!$E$136,0)</f>
        <v>-18.463199706619786</v>
      </c>
      <c r="BJ65" s="111">
        <f ca="1">-IF(BJ17=1,(SUM($G51:BJ51)+SUM($F65:BI65))*Inputs_Assumptions!$E$136,0)</f>
        <v>-18.179792863020367</v>
      </c>
      <c r="BK65" s="111">
        <f ca="1">-IF(BK17=1,(SUM($G51:BK51)+SUM($F65:BJ65))*Inputs_Assumptions!$E$136,0)</f>
        <v>-17.900736264247158</v>
      </c>
      <c r="BL65" s="111">
        <f ca="1">-IF(BL17=1,(SUM($G51:BL51)+SUM($F65:BK65))*Inputs_Assumptions!$E$136,0)</f>
        <v>-17.625963134812991</v>
      </c>
      <c r="BM65" s="111">
        <f ca="1">-IF(BM17=1,(SUM($G51:BM51)+SUM($F65:BL65))*Inputs_Assumptions!$E$136,0)</f>
        <v>-17.355407724222594</v>
      </c>
      <c r="BN65" s="111">
        <f ca="1">-IF(BN17=1,(SUM($G51:BN51)+SUM($F65:BM65))*Inputs_Assumptions!$E$136,0)</f>
        <v>-17.08900529123914</v>
      </c>
      <c r="BO65" s="111">
        <f ca="1">-IF(BO17=1,(SUM($G51:BO51)+SUM($F65:BN65))*Inputs_Assumptions!$E$136,0)</f>
        <v>-16.826692088392324</v>
      </c>
      <c r="BP65" s="111">
        <f ca="1">-IF(BP17=1,(SUM($G51:BP51)+SUM($F65:BO65))*Inputs_Assumptions!$E$136,0)</f>
        <v>-16.568405346724209</v>
      </c>
      <c r="BQ65" s="111">
        <f ca="1">-IF(BQ17=1,(SUM($G51:BQ51)+SUM($F65:BP65))*Inputs_Assumptions!$E$136,0)</f>
        <v>-16.314083260769237</v>
      </c>
      <c r="BR65" s="111">
        <f ca="1">-IF(BR17=1,(SUM($G51:BR51)+SUM($F65:BQ65))*Inputs_Assumptions!$E$136,0)</f>
        <v>-16.063664973764794</v>
      </c>
      <c r="BS65" s="111">
        <f ca="1">-IF(BS17=1,(SUM($G51:BS51)+SUM($F65:BR65))*Inputs_Assumptions!$E$136,0)</f>
        <v>-15.817090563088785</v>
      </c>
      <c r="BT65" s="111">
        <f ca="1">-IF(BT17=1,(SUM($G51:BT51)+SUM($F65:BS65))*Inputs_Assumptions!$E$136,0)</f>
        <v>-15.574301025920755</v>
      </c>
      <c r="BU65" s="111">
        <f ca="1">-IF(BU17=1,(SUM($G51:BU51)+SUM($F65:BT65))*Inputs_Assumptions!$E$136,0)</f>
        <v>-15.335238265123079</v>
      </c>
      <c r="BV65" s="111">
        <f ca="1">-IF(BV17=1,(SUM($G51:BV51)+SUM($F65:BU65))*Inputs_Assumptions!$E$136,0)</f>
        <v>-15.099845075338902</v>
      </c>
      <c r="BW65" s="111">
        <f ca="1">-IF(BW17=1,(SUM($G51:BW51)+SUM($F65:BV65))*Inputs_Assumptions!$E$136,0)</f>
        <v>-14.868065129303456</v>
      </c>
      <c r="BX65" s="111">
        <f ca="1">-IF(BX17=1,(SUM($G51:BX51)+SUM($F65:BW65))*Inputs_Assumptions!$E$136,0)</f>
        <v>-14.63984296436551</v>
      </c>
      <c r="BY65" s="111">
        <f ca="1">-IF(BY17=1,(SUM($G51:BY51)+SUM($F65:BX65))*Inputs_Assumptions!$E$136,0)</f>
        <v>-14.415123969215696</v>
      </c>
      <c r="BZ65" s="111">
        <f ca="1">-IF(BZ17=1,(SUM($G51:BZ51)+SUM($F65:BY65))*Inputs_Assumptions!$E$136,0)</f>
        <v>-14.193854370818567</v>
      </c>
      <c r="CA65" s="111">
        <f ca="1">-IF(CA17=1,(SUM($G51:CA51)+SUM($F65:BZ65))*Inputs_Assumptions!$E$136,0)</f>
        <v>-13.975981221545247</v>
      </c>
      <c r="CB65" s="111">
        <f ca="1">-IF(CB17=1,(SUM($G51:CB51)+SUM($F65:CA65))*Inputs_Assumptions!$E$136,0)</f>
        <v>-13.761452386503576</v>
      </c>
      <c r="CC65" s="111">
        <f ca="1">-IF(CC17=1,(SUM($G51:CC51)+SUM($F65:CB65))*Inputs_Assumptions!$E$136,0)</f>
        <v>-13.55021653106275</v>
      </c>
      <c r="CD65" s="111">
        <f ca="1">-IF(CD17=1,(SUM($G51:CD51)+SUM($F65:CC65))*Inputs_Assumptions!$E$136,0)</f>
        <v>-13.342223108569451</v>
      </c>
      <c r="CE65" s="111">
        <f ca="1">-IF(CE17=1,(SUM($G51:CE51)+SUM($F65:CD65))*Inputs_Assumptions!$E$136,0)</f>
        <v>-13.137422348252532</v>
      </c>
      <c r="CF65" s="111">
        <f ca="1">-IF(CF17=1,(SUM($G51:CF51)+SUM($F65:CE65))*Inputs_Assumptions!$E$136,0)</f>
        <v>-12.935765243313359</v>
      </c>
      <c r="CG65" s="111">
        <f ca="1">-IF(CG17=1,(SUM($G51:CG51)+SUM($F65:CF65))*Inputs_Assumptions!$E$136,0)</f>
        <v>-12.737203539198982</v>
      </c>
      <c r="CH65" s="111">
        <f ca="1">-IF(CH17=1,(SUM($G51:CH51)+SUM($F65:CG65))*Inputs_Assumptions!$E$136,0)</f>
        <v>-12.541689722055279</v>
      </c>
      <c r="CI65" s="111">
        <f ca="1">-IF(CI17=1,(SUM($G51:CI51)+SUM($F65:CH65))*Inputs_Assumptions!$E$136,0)</f>
        <v>-12.349177007357374</v>
      </c>
      <c r="CJ65" s="111">
        <f ca="1">-IF(CJ17=1,(SUM($G51:CJ51)+SUM($F65:CI65))*Inputs_Assumptions!$E$136,0)</f>
        <v>-12.159619328714554</v>
      </c>
      <c r="CK65" s="111">
        <f ca="1">-IF(CK17=1,(SUM($G51:CK51)+SUM($F65:CJ65))*Inputs_Assumptions!$E$136,0)</f>
        <v>-11.972971326847039</v>
      </c>
      <c r="CL65" s="111">
        <f ca="1">-IF(CL17=1,(SUM($G51:CL51)+SUM($F65:CK65))*Inputs_Assumptions!$E$136,0)</f>
        <v>-11.789188338731959</v>
      </c>
      <c r="CM65" s="111">
        <f ca="1">-IF(CM17=1,(SUM($G51:CM51)+SUM($F65:CL65))*Inputs_Assumptions!$E$136,0)</f>
        <v>-11.608226386915929</v>
      </c>
      <c r="CN65" s="111">
        <f ca="1">-IF(CN17=1,(SUM($G51:CN51)+SUM($F65:CM65))*Inputs_Assumptions!$E$136,0)</f>
        <v>-11.430042168991678</v>
      </c>
      <c r="CO65" s="111">
        <f ca="1">-IF(CO17=1,(SUM($G51:CO51)+SUM($F65:CN65))*Inputs_Assumptions!$E$136,0)</f>
        <v>-11.254593047236217</v>
      </c>
      <c r="CP65" s="111">
        <f ca="1">-IF(CP17=1,(SUM($G51:CP51)+SUM($F65:CO65))*Inputs_Assumptions!$E$136,0)</f>
        <v>-11.08183703840804</v>
      </c>
      <c r="CQ65" s="111">
        <f ca="1">-IF(CQ17=1,(SUM($G51:CQ51)+SUM($F65:CP65))*Inputs_Assumptions!$E$136,0)</f>
        <v>-10.91173280370097</v>
      </c>
      <c r="CR65" s="111">
        <f ca="1">-IF(CR17=1,(SUM($G51:CR51)+SUM($F65:CQ65))*Inputs_Assumptions!$E$136,0)</f>
        <v>-10.744239638852175</v>
      </c>
      <c r="CS65" s="111">
        <f ca="1">-IF(CS17=1,(SUM($G51:CS51)+SUM($F65:CR65))*Inputs_Assumptions!$E$136,0)</f>
        <v>-10.57931746440204</v>
      </c>
      <c r="CT65" s="111">
        <f ca="1">-IF(CT17=1,(SUM($G51:CT51)+SUM($F65:CS65))*Inputs_Assumptions!$E$136,0)</f>
        <v>-10.416926816103555</v>
      </c>
      <c r="CU65" s="260">
        <f ca="1">-IF(CU17=1,(SUM($G51:CU51)+SUM($F65:CT65))*Inputs_Assumptions!$E$136,0)</f>
        <v>-10.257028835478911</v>
      </c>
      <c r="CV65" s="111">
        <f ca="1">-IF(CV17=1,(SUM($G51:CV51)+SUM($F65:CU65))*Inputs_Assumptions!$E$136,0)</f>
        <v>-10.099585260521042</v>
      </c>
      <c r="CW65" s="111">
        <f ca="1">-IF(CW17=1,(SUM($G51:CW51)+SUM($F65:CV65))*Inputs_Assumptions!$E$136,0)</f>
        <v>-9.9445584165379159</v>
      </c>
      <c r="CX65" s="111">
        <f ca="1">-IF(CX17=1,(SUM($G51:CX51)+SUM($F65:CW65))*Inputs_Assumptions!$E$136,0)</f>
        <v>-9.7919112071373391</v>
      </c>
      <c r="CY65" s="111">
        <f ca="1">-IF(CY17=1,(SUM($G51:CY51)+SUM($F65:CX65))*Inputs_Assumptions!$E$136,0)</f>
        <v>-9.6416071053501717</v>
      </c>
      <c r="CZ65" s="111">
        <f ca="1">-IF(CZ17=1,(SUM($G51:CZ51)+SUM($F65:CY65))*Inputs_Assumptions!$E$136,0)</f>
        <v>-9.4936101448897752</v>
      </c>
      <c r="DA65" s="111">
        <f ca="1">-IF(DA17=1,(SUM($G51:DA51)+SUM($F65:CZ65))*Inputs_Assumptions!$E$136,0)</f>
        <v>-9.3478849115456359</v>
      </c>
      <c r="DB65" s="111">
        <f ca="1">-IF(DB17=1,(SUM($G51:DB51)+SUM($F65:DA65))*Inputs_Assumptions!$E$136,0)</f>
        <v>-9.2043965347090957</v>
      </c>
      <c r="DC65" s="111">
        <f ca="1">-IF(DC17=1,(SUM($G51:DC51)+SUM($F65:DB65))*Inputs_Assumptions!$E$136,0)</f>
        <v>-9.06311067902916</v>
      </c>
      <c r="DD65" s="111">
        <f ca="1">-IF(DD17=1,(SUM($G51:DD51)+SUM($F65:DC65))*Inputs_Assumptions!$E$136,0)</f>
        <v>-8.9239935361963862</v>
      </c>
      <c r="DE65" s="111">
        <f ca="1">-IF(DE17=1,(SUM($G51:DE51)+SUM($F65:DD65))*Inputs_Assumptions!$E$136,0)</f>
        <v>-8.7870118168528961</v>
      </c>
      <c r="DF65" s="111">
        <f ca="1">-IF(DF17=1,(SUM($G51:DF51)+SUM($F65:DE65))*Inputs_Assumptions!$E$136,0)</f>
        <v>-8.6521327426265504</v>
      </c>
      <c r="DG65" s="111">
        <f ca="1">-IF(DG17=1,(SUM($G51:DG51)+SUM($F65:DF65))*Inputs_Assumptions!$E$136,0)</f>
        <v>-8.5193240382874116</v>
      </c>
      <c r="DH65" s="111">
        <f ca="1">-IF(DH17=1,(SUM($G51:DH51)+SUM($F65:DG65))*Inputs_Assumptions!$E$136,0)</f>
        <v>-8.3885539240246061</v>
      </c>
      <c r="DI65" s="111">
        <f ca="1">-IF(DI17=1,(SUM($G51:DI51)+SUM($F65:DH65))*Inputs_Assumptions!$E$136,0)</f>
        <v>-8.2597911078417265</v>
      </c>
      <c r="DJ65" s="111">
        <f ca="1">-IF(DJ17=1,(SUM($G51:DJ51)+SUM($F65:DI65))*Inputs_Assumptions!$E$136,0)</f>
        <v>-8.1330047780689583</v>
      </c>
      <c r="DK65" s="111">
        <f ca="1">-IF(DK17=1,(SUM($G51:DK51)+SUM($F65:DJ65))*Inputs_Assumptions!$E$136,0)</f>
        <v>-8.0081645959901682</v>
      </c>
      <c r="DL65" s="111">
        <f ca="1">-IF(DL17=1,(SUM($G51:DL51)+SUM($F65:DK65))*Inputs_Assumptions!$E$136,0)</f>
        <v>-7.8852406885831323</v>
      </c>
      <c r="DM65" s="111">
        <f ca="1">-IF(DM17=1,(SUM($G51:DM51)+SUM($F65:DL65))*Inputs_Assumptions!$E$136,0)</f>
        <v>-7.7642036413712248</v>
      </c>
      <c r="DN65" s="111">
        <f ca="1">-IF(DN17=1,(SUM($G51:DN51)+SUM($F65:DM65))*Inputs_Assumptions!$E$136,0)</f>
        <v>-7.645024491384822</v>
      </c>
      <c r="DO65" s="111">
        <f ca="1">-IF(DO17=1,(SUM($G51:DO51)+SUM($F65:DN65))*Inputs_Assumptions!$E$136,0)</f>
        <v>-7.527674720230757</v>
      </c>
      <c r="DP65" s="111">
        <f ca="1">-IF(DP17=1,(SUM($G51:DP51)+SUM($F65:DO65))*Inputs_Assumptions!$E$136,0)</f>
        <v>-7.4121262472681408</v>
      </c>
      <c r="DQ65" s="111">
        <f ca="1">-IF(DQ17=1,(SUM($G51:DQ51)+SUM($F65:DP65))*Inputs_Assumptions!$E$136,0)</f>
        <v>-7.2983514228889463</v>
      </c>
      <c r="DR65" s="111">
        <f ca="1">-IF(DR17=1,(SUM($G51:DR51)+SUM($F65:DQ65))*Inputs_Assumptions!$E$136,0)</f>
        <v>-7.1863230219017282</v>
      </c>
      <c r="DS65" s="111">
        <f ca="1">-IF(DS17=1,(SUM($G51:DS51)+SUM($F65:DR65))*Inputs_Assumptions!$E$136,0)</f>
        <v>-7.076014237016909</v>
      </c>
      <c r="DT65" s="111">
        <f ca="1">-IF(DT17=1,(SUM($G51:DT51)+SUM($F65:DS65))*Inputs_Assumptions!$E$136,0)</f>
        <v>-6.9673986724320525</v>
      </c>
      <c r="DU65" s="111">
        <f ca="1">-IF(DU17=1,(SUM($G51:DU51)+SUM($F65:DT65))*Inputs_Assumptions!$E$136,0)</f>
        <v>-6.8604503375156112</v>
      </c>
      <c r="DV65" s="111">
        <f ca="1">-IF(DV17=1,(SUM($G51:DV51)+SUM($F65:DU65))*Inputs_Assumptions!$E$136,0)</f>
        <v>-6.7551436405876268</v>
      </c>
      <c r="DW65" s="111">
        <f ca="1">-IF(DW17=1,(SUM($G51:DW51)+SUM($F65:DV65))*Inputs_Assumptions!$E$136,0)</f>
        <v>-6.6514533827958955</v>
      </c>
      <c r="DX65" s="111">
        <f ca="1">-IF(DX17=1,(SUM($G51:DX51)+SUM($F65:DW65))*Inputs_Assumptions!$E$136,0)</f>
        <v>-6.5493547520861295</v>
      </c>
      <c r="DY65" s="111">
        <f ca="1">-IF(DY17=1,(SUM($G51:DY51)+SUM($F65:DX65))*Inputs_Assumptions!$E$136,0)</f>
        <v>-6.4488233172646732</v>
      </c>
      <c r="DZ65" s="111">
        <f ca="1">-IF(DZ17=1,(SUM($G51:DZ51)+SUM($F65:DY65))*Inputs_Assumptions!$E$136,0)</f>
        <v>-6.3498350221523685</v>
      </c>
      <c r="EA65" s="111">
        <f ca="1">-IF(EA17=1,(SUM($G51:EA51)+SUM($F65:DZ65))*Inputs_Assumptions!$E$136,0)</f>
        <v>-6.252366179828142</v>
      </c>
      <c r="EB65" s="111">
        <f ca="1">-IF(EB17=1,(SUM($G51:EB51)+SUM($F65:EA65))*Inputs_Assumptions!$E$136,0)</f>
        <v>-6.1563934669609601</v>
      </c>
      <c r="EC65" s="111">
        <f ca="1">-IF(EC17=1,(SUM($G51:EC51)+SUM($F65:EB65))*Inputs_Assumptions!$E$136,0)</f>
        <v>-6.0618939182287921</v>
      </c>
      <c r="ED65" s="111">
        <f ca="1">-IF(ED17=1,(SUM($G51:ED51)+SUM($F65:EC65))*Inputs_Assumptions!$E$136,0)</f>
        <v>-5.9688449208232246</v>
      </c>
      <c r="EE65" s="111">
        <f ca="1">-IF(EE17=1,(SUM($G51:EE51)+SUM($F65:ED65))*Inputs_Assumptions!$E$136,0)</f>
        <v>-5.8772242090384523</v>
      </c>
      <c r="EF65" s="111">
        <f ca="1">-IF(EF17=1,(SUM($G51:EF51)+SUM($F65:EE65))*Inputs_Assumptions!$E$136,0)</f>
        <v>-5.7870098589433008</v>
      </c>
      <c r="EG65" s="111">
        <f ca="1">-IF(EG17=1,(SUM($G51:EG51)+SUM($F65:EF65))*Inputs_Assumptions!$E$136,0)</f>
        <v>-5.6981802831350628</v>
      </c>
      <c r="EH65" s="111">
        <f ca="1">-IF(EH17=1,(SUM($G51:EH51)+SUM($F65:EG65))*Inputs_Assumptions!$E$136,0)</f>
        <v>-5.6107142255738296</v>
      </c>
      <c r="EI65" s="111">
        <f ca="1">-IF(EI17=1,(SUM($G51:EI51)+SUM($F65:EH65))*Inputs_Assumptions!$E$136,0)</f>
        <v>-5.5245907564961447</v>
      </c>
      <c r="EJ65" s="111">
        <f>-IF(EJ17=1,(SUM($G51:EJ51)+SUM($F65:EI65))*Inputs_Assumptions!$E$136,0)</f>
        <v>0</v>
      </c>
      <c r="EK65" s="111">
        <f>-IF(EK17=1,(SUM($G51:EK51)+SUM($F65:EJ65))*Inputs_Assumptions!$E$136,0)</f>
        <v>0</v>
      </c>
      <c r="EL65" s="111">
        <f>-IF(EL17=1,(SUM($G51:EL51)+SUM($F65:EK65))*Inputs_Assumptions!$E$136,0)</f>
        <v>0</v>
      </c>
      <c r="EM65" s="111">
        <f>-IF(EM17=1,(SUM($G51:EM51)+SUM($F65:EL65))*Inputs_Assumptions!$E$136,0)</f>
        <v>0</v>
      </c>
      <c r="EN65" s="111">
        <f>-IF(EN17=1,(SUM($G51:EN51)+SUM($F65:EM65))*Inputs_Assumptions!$E$136,0)</f>
        <v>0</v>
      </c>
      <c r="EO65" s="111">
        <f>-IF(EO17=1,(SUM($G51:EO51)+SUM($F65:EN65))*Inputs_Assumptions!$E$136,0)</f>
        <v>0</v>
      </c>
      <c r="EP65" s="111">
        <f>-IF(EP17=1,(SUM($G51:EP51)+SUM($F65:EO65))*Inputs_Assumptions!$E$136,0)</f>
        <v>0</v>
      </c>
      <c r="EQ65" s="111">
        <f>-IF(EQ17=1,(SUM($G51:EQ51)+SUM($F65:EP65))*Inputs_Assumptions!$E$136,0)</f>
        <v>0</v>
      </c>
      <c r="ER65" s="111">
        <f>-IF(ER17=1,(SUM($G51:ER51)+SUM($F65:EQ65))*Inputs_Assumptions!$E$136,0)</f>
        <v>0</v>
      </c>
      <c r="ES65" s="111">
        <f>-IF(ES17=1,(SUM($G51:ES51)+SUM($F65:ER65))*Inputs_Assumptions!$E$136,0)</f>
        <v>0</v>
      </c>
      <c r="ET65" s="111">
        <f>-IF(ET17=1,(SUM($G51:ET51)+SUM($F65:ES65))*Inputs_Assumptions!$E$136,0)</f>
        <v>0</v>
      </c>
      <c r="EU65" s="111">
        <f>-IF(EU17=1,(SUM($G51:EU51)+SUM($F65:ET65))*Inputs_Assumptions!$E$136,0)</f>
        <v>0</v>
      </c>
      <c r="EV65" s="111">
        <f>-IF(EV17=1,(SUM($G51:EV51)+SUM($F65:EU65))*Inputs_Assumptions!$E$136,0)</f>
        <v>0</v>
      </c>
      <c r="EW65" s="111">
        <f>-IF(EW17=1,(SUM($G51:EW51)+SUM($F65:EV65))*Inputs_Assumptions!$E$136,0)</f>
        <v>0</v>
      </c>
      <c r="EX65" s="111">
        <f>-IF(EX17=1,(SUM($G51:EX51)+SUM($F65:EW65))*Inputs_Assumptions!$E$136,0)</f>
        <v>0</v>
      </c>
      <c r="EY65" s="111">
        <f>-IF(EY17=1,(SUM($G51:EY51)+SUM($F65:EX65))*Inputs_Assumptions!$E$136,0)</f>
        <v>0</v>
      </c>
      <c r="EZ65" s="111">
        <f>-IF(EZ17=1,(SUM($G51:EZ51)+SUM($F65:EY65))*Inputs_Assumptions!$E$136,0)</f>
        <v>0</v>
      </c>
      <c r="FA65" s="111">
        <f>-IF(FA17=1,(SUM($G51:FA51)+SUM($F65:EZ65))*Inputs_Assumptions!$E$136,0)</f>
        <v>0</v>
      </c>
    </row>
    <row r="66" spans="2:157" outlineLevel="1" x14ac:dyDescent="0.2">
      <c r="C66" s="12" t="s">
        <v>356</v>
      </c>
      <c r="D66" s="21" t="s">
        <v>126</v>
      </c>
      <c r="E66" s="213">
        <f ca="1">SUM(G66:FA66)</f>
        <v>-126.46601261234436</v>
      </c>
      <c r="F66" s="21"/>
      <c r="G66" s="109">
        <f>-IF(G17=1,(SUM($G52:G52)+SUM($F66:F66))*Inputs_Assumptions!$E$136,0)</f>
        <v>0</v>
      </c>
      <c r="H66" s="109">
        <f>-IF(H17=1,(SUM($G52:H52)+SUM($F66:G66))*Inputs_Assumptions!$E$136,0)</f>
        <v>0</v>
      </c>
      <c r="I66" s="109">
        <f>-IF(I17=1,(SUM($G52:I52)+SUM($F66:H66))*Inputs_Assumptions!$E$136,0)</f>
        <v>0</v>
      </c>
      <c r="J66" s="109">
        <f>-IF(J17=1,(SUM($G52:J52)+SUM($F66:I66))*Inputs_Assumptions!$E$136,0)</f>
        <v>0</v>
      </c>
      <c r="K66" s="109">
        <f>-IF(K17=1,(SUM($G52:K52)+SUM($F66:J66))*Inputs_Assumptions!$E$136,0)</f>
        <v>0</v>
      </c>
      <c r="L66" s="109">
        <f>-IF(L17=1,(SUM($G52:L52)+SUM($F66:K66))*Inputs_Assumptions!$E$136,0)</f>
        <v>0</v>
      </c>
      <c r="M66" s="109">
        <f ca="1">-IF(M17=1,(SUM($G52:M52)+SUM($F66:L66))*Inputs_Assumptions!$E$136,0)</f>
        <v>-9.1950259248340993E-2</v>
      </c>
      <c r="N66" s="109">
        <f ca="1">-IF(N17=1,(SUM($G52:N52)+SUM($F66:M66))*Inputs_Assumptions!$E$136,0)</f>
        <v>-0.19345316757218722</v>
      </c>
      <c r="O66" s="109">
        <f ca="1">-IF(O17=1,(SUM($G52:O52)+SUM($F66:N66))*Inputs_Assumptions!$E$136,0)</f>
        <v>-0.32868070517144876</v>
      </c>
      <c r="P66" s="109">
        <f ca="1">-IF(P17=1,(SUM($G52:P52)+SUM($F66:O66))*Inputs_Assumptions!$E$136,0)</f>
        <v>-0.48547438292765738</v>
      </c>
      <c r="Q66" s="109">
        <f ca="1">-IF(Q17=1,(SUM($G52:Q52)+SUM($F66:P66))*Inputs_Assumptions!$E$136,0)</f>
        <v>-0.70521467009830441</v>
      </c>
      <c r="R66" s="109">
        <f ca="1">-IF(R17=1,(SUM($G52:R52)+SUM($F66:Q66))*Inputs_Assumptions!$E$136,0)</f>
        <v>-0.98829252121983147</v>
      </c>
      <c r="S66" s="109">
        <f ca="1">-IF(S17=1,(SUM($G52:S52)+SUM($F66:R66))*Inputs_Assumptions!$E$136,0)</f>
        <v>-1.2915805806388507</v>
      </c>
      <c r="T66" s="109">
        <f ca="1">-IF(T17=1,(SUM($G52:T52)+SUM($F66:S66))*Inputs_Assumptions!$E$136,0)</f>
        <v>-1.5959543873743203</v>
      </c>
      <c r="U66" s="109">
        <f ca="1">-IF(U17=1,(SUM($G52:U52)+SUM($F66:T66))*Inputs_Assumptions!$E$136,0)</f>
        <v>-1.8900563731463933</v>
      </c>
      <c r="V66" s="109">
        <f ca="1">-IF(V17=1,(SUM($G52:V52)+SUM($F66:U66))*Inputs_Assumptions!$E$136,0)</f>
        <v>-2.175664349003811</v>
      </c>
      <c r="W66" s="109">
        <f ca="1">-IF(W17=1,(SUM($G52:W52)+SUM($F66:V66))*Inputs_Assumptions!$E$136,0)</f>
        <v>-2.1422682868000384</v>
      </c>
      <c r="X66" s="109">
        <f ca="1">-IF(X17=1,(SUM($G52:X52)+SUM($F66:W66))*Inputs_Assumptions!$E$136,0)</f>
        <v>-2.1093848482329167</v>
      </c>
      <c r="Y66" s="109">
        <f ca="1">-IF(Y17=1,(SUM($G52:Y52)+SUM($F66:X66))*Inputs_Assumptions!$E$136,0)</f>
        <v>-2.0770061646204665</v>
      </c>
      <c r="Z66" s="109">
        <f ca="1">-IF(Z17=1,(SUM($G52:Z52)+SUM($F66:Y66))*Inputs_Assumptions!$E$136,0)</f>
        <v>-2.0451244880635819</v>
      </c>
      <c r="AA66" s="109">
        <f ca="1">-IF(AA17=1,(SUM($G52:AA52)+SUM($F66:Z66))*Inputs_Assumptions!$E$136,0)</f>
        <v>-2.0137321895920355</v>
      </c>
      <c r="AB66" s="109">
        <f ca="1">-IF(AB17=1,(SUM($G52:AB52)+SUM($F66:AA66))*Inputs_Assumptions!$E$136,0)</f>
        <v>-1.9828217573389417</v>
      </c>
      <c r="AC66" s="109">
        <f ca="1">-IF(AC17=1,(SUM($G52:AC52)+SUM($F66:AB66))*Inputs_Assumptions!$E$136,0)</f>
        <v>-1.9523857947432381</v>
      </c>
      <c r="AD66" s="109">
        <f ca="1">-IF(AD17=1,(SUM($G52:AD52)+SUM($F66:AC66))*Inputs_Assumptions!$E$136,0)</f>
        <v>-1.9224170187797669</v>
      </c>
      <c r="AE66" s="109">
        <f ca="1">-IF(AE17=1,(SUM($G52:AE52)+SUM($F66:AD66))*Inputs_Assumptions!$E$136,0)</f>
        <v>-1.8929082582165133</v>
      </c>
      <c r="AF66" s="109">
        <f ca="1">-IF(AF17=1,(SUM($G52:AF52)+SUM($F66:AE66))*Inputs_Assumptions!$E$136,0)</f>
        <v>-1.8638524518986046</v>
      </c>
      <c r="AG66" s="109">
        <f ca="1">-IF(AG17=1,(SUM($G52:AG52)+SUM($F66:AF66))*Inputs_Assumptions!$E$136,0)</f>
        <v>-1.8352426470586436</v>
      </c>
      <c r="AH66" s="109">
        <f ca="1">-IF(AH17=1,(SUM($G52:AH52)+SUM($F66:AG66))*Inputs_Assumptions!$E$136,0)</f>
        <v>-1.8070719976529805</v>
      </c>
      <c r="AI66" s="109">
        <f ca="1">-IF(AI17=1,(SUM($G52:AI52)+SUM($F66:AH66))*Inputs_Assumptions!$E$136,0)</f>
        <v>-1.7793337627235222</v>
      </c>
      <c r="AJ66" s="109">
        <f ca="1">-IF(AJ17=1,(SUM($G52:AJ52)+SUM($F66:AI66))*Inputs_Assumptions!$E$136,0)</f>
        <v>-1.752021304784688</v>
      </c>
      <c r="AK66" s="109">
        <f ca="1">-IF(AK17=1,(SUM($G52:AK52)+SUM($F66:AJ66))*Inputs_Assumptions!$E$136,0)</f>
        <v>-1.7251280882351248</v>
      </c>
      <c r="AL66" s="109">
        <f ca="1">-IF(AL17=1,(SUM($G52:AL52)+SUM($F66:AK66))*Inputs_Assumptions!$E$136,0)</f>
        <v>-1.6986476777938015</v>
      </c>
      <c r="AM66" s="109">
        <f ca="1">-IF(AM17=1,(SUM($G52:AM52)+SUM($F66:AL66))*Inputs_Assumptions!$E$136,0)</f>
        <v>-1.6725737369601106</v>
      </c>
      <c r="AN66" s="109">
        <f ca="1">-IF(AN17=1,(SUM($G52:AN52)+SUM($F66:AM66))*Inputs_Assumptions!$E$136,0)</f>
        <v>-1.6469000264976066</v>
      </c>
      <c r="AO66" s="109">
        <f ca="1">-IF(AO17=1,(SUM($G52:AO52)+SUM($F66:AN66))*Inputs_Assumptions!$E$136,0)</f>
        <v>-1.6216204029410171</v>
      </c>
      <c r="AP66" s="109">
        <f ca="1">-IF(AP17=1,(SUM($G52:AP52)+SUM($F66:AO66))*Inputs_Assumptions!$E$136,0)</f>
        <v>-1.5967288171261731</v>
      </c>
      <c r="AQ66" s="109">
        <f ca="1">-IF(AQ17=1,(SUM($G52:AQ52)+SUM($F66:AP66))*Inputs_Assumptions!$E$136,0)</f>
        <v>-1.5722193127425037</v>
      </c>
      <c r="AR66" s="109">
        <f ca="1">-IF(AR17=1,(SUM($G52:AR52)+SUM($F66:AQ66))*Inputs_Assumptions!$E$136,0)</f>
        <v>-1.5480860249077499</v>
      </c>
      <c r="AS66" s="109">
        <f ca="1">-IF(AS17=1,(SUM($G52:AS52)+SUM($F66:AR66))*Inputs_Assumptions!$E$136,0)</f>
        <v>-1.5243231787645557</v>
      </c>
      <c r="AT66" s="109">
        <f ca="1">-IF(AT17=1,(SUM($G52:AT52)+SUM($F66:AS66))*Inputs_Assumptions!$E$136,0)</f>
        <v>-1.5009250880986025</v>
      </c>
      <c r="AU66" s="109">
        <f ca="1">-IF(AU17=1,(SUM($G52:AU52)+SUM($F66:AT66))*Inputs_Assumptions!$E$136,0)</f>
        <v>-1.4778861539779535</v>
      </c>
      <c r="AV66" s="109">
        <f ca="1">-IF(AV17=1,(SUM($G52:AV52)+SUM($F66:AU66))*Inputs_Assumptions!$E$136,0)</f>
        <v>-1.4552008634132847</v>
      </c>
      <c r="AW66" s="109">
        <f ca="1">-IF(AW17=1,(SUM($G52:AW52)+SUM($F66:AV66))*Inputs_Assumptions!$E$136,0)</f>
        <v>-1.4328637880386823</v>
      </c>
      <c r="AX66" s="109">
        <f ca="1">-IF(AX17=1,(SUM($G52:AX52)+SUM($F66:AW66))*Inputs_Assumptions!$E$136,0)</f>
        <v>-1.4108695828126863</v>
      </c>
      <c r="AY66" s="109">
        <f ca="1">-IF(AY17=1,(SUM($G52:AY52)+SUM($F66:AX66))*Inputs_Assumptions!$E$136,0)</f>
        <v>-1.389212984739276</v>
      </c>
      <c r="AZ66" s="109">
        <f ca="1">-IF(AZ17=1,(SUM($G52:AZ52)+SUM($F66:AY66))*Inputs_Assumptions!$E$136,0)</f>
        <v>-1.3678888116084875</v>
      </c>
      <c r="BA66" s="109">
        <f ca="1">-IF(BA17=1,(SUM($G52:BA52)+SUM($F66:AZ66))*Inputs_Assumptions!$E$136,0)</f>
        <v>-1.346891960756361</v>
      </c>
      <c r="BB66" s="109">
        <f ca="1">-IF(BB17=1,(SUM($G52:BB52)+SUM($F66:BA66))*Inputs_Assumptions!$E$136,0)</f>
        <v>-1.3262174078439248</v>
      </c>
      <c r="BC66" s="109">
        <f ca="1">-IF(BC17=1,(SUM($G52:BC52)+SUM($F66:BB66))*Inputs_Assumptions!$E$136,0)</f>
        <v>-1.3058602056549193</v>
      </c>
      <c r="BD66" s="109">
        <f ca="1">-IF(BD17=1,(SUM($G52:BD52)+SUM($F66:BC66))*Inputs_Assumptions!$E$136,0)</f>
        <v>-1.2858154829119781</v>
      </c>
      <c r="BE66" s="109">
        <f ca="1">-IF(BE17=1,(SUM($G52:BE52)+SUM($F66:BD66))*Inputs_Assumptions!$E$136,0)</f>
        <v>-1.2660784431109793</v>
      </c>
      <c r="BF66" s="109">
        <f ca="1">-IF(BF17=1,(SUM($G52:BF52)+SUM($F66:BE66))*Inputs_Assumptions!$E$136,0)</f>
        <v>-1.2466443633732891</v>
      </c>
      <c r="BG66" s="109">
        <f ca="1">-IF(BG17=1,(SUM($G52:BG52)+SUM($F66:BF66))*Inputs_Assumptions!$E$136,0)</f>
        <v>-1.2275085933156238</v>
      </c>
      <c r="BH66" s="109">
        <f ca="1">-IF(BH17=1,(SUM($G52:BH52)+SUM($F66:BG66))*Inputs_Assumptions!$E$136,0)</f>
        <v>-1.2086665539372592</v>
      </c>
      <c r="BI66" s="109">
        <f ca="1">-IF(BI17=1,(SUM($G52:BI52)+SUM($F66:BH66))*Inputs_Assumptions!$E$136,0)</f>
        <v>-1.1901137365243204</v>
      </c>
      <c r="BJ66" s="109">
        <f ca="1">-IF(BJ17=1,(SUM($G52:BJ52)+SUM($F66:BI66))*Inputs_Assumptions!$E$136,0)</f>
        <v>-1.1718457015708914</v>
      </c>
      <c r="BK66" s="109">
        <f ca="1">-IF(BK17=1,(SUM($G52:BK52)+SUM($F66:BJ66))*Inputs_Assumptions!$E$136,0)</f>
        <v>-1.1538580777166862</v>
      </c>
      <c r="BL66" s="109">
        <f ca="1">-IF(BL17=1,(SUM($G52:BL52)+SUM($F66:BK66))*Inputs_Assumptions!$E$136,0)</f>
        <v>-1.1361465607010233</v>
      </c>
      <c r="BM66" s="109">
        <f ca="1">-IF(BM17=1,(SUM($G52:BM52)+SUM($F66:BL66))*Inputs_Assumptions!$E$136,0)</f>
        <v>-1.1187069123328608</v>
      </c>
      <c r="BN66" s="109">
        <f ca="1">-IF(BN17=1,(SUM($G52:BN52)+SUM($F66:BM66))*Inputs_Assumptions!$E$136,0)</f>
        <v>-1.1015349594766379</v>
      </c>
      <c r="BO66" s="109">
        <f ca="1">-IF(BO17=1,(SUM($G52:BO52)+SUM($F66:BN66))*Inputs_Assumptions!$E$136,0)</f>
        <v>-1.0846265930536849</v>
      </c>
      <c r="BP66" s="109">
        <f ca="1">-IF(BP17=1,(SUM($G52:BP52)+SUM($F66:BO66))*Inputs_Assumptions!$E$136,0)</f>
        <v>-1.0679777670589619</v>
      </c>
      <c r="BQ66" s="109">
        <f ca="1">-IF(BQ17=1,(SUM($G52:BQ52)+SUM($F66:BP66))*Inputs_Assumptions!$E$136,0)</f>
        <v>-1.0515844975928892</v>
      </c>
      <c r="BR66" s="109">
        <f ca="1">-IF(BR17=1,(SUM($G52:BR52)+SUM($F66:BQ66))*Inputs_Assumptions!$E$136,0)</f>
        <v>-1.0354428619080396</v>
      </c>
      <c r="BS66" s="109">
        <f ca="1">-IF(BS17=1,(SUM($G52:BS52)+SUM($F66:BR66))*Inputs_Assumptions!$E$136,0)</f>
        <v>-1.0195489974704637</v>
      </c>
      <c r="BT66" s="109">
        <f ca="1">-IF(BT17=1,(SUM($G52:BT52)+SUM($F66:BS66))*Inputs_Assumptions!$E$136,0)</f>
        <v>-1.0038991010354241</v>
      </c>
      <c r="BU66" s="109">
        <f ca="1">-IF(BU17=1,(SUM($G52:BU52)+SUM($F66:BT66))*Inputs_Assumptions!$E$136,0)</f>
        <v>-0.98848942773731563</v>
      </c>
      <c r="BV66" s="109">
        <f ca="1">-IF(BV17=1,(SUM($G52:BV52)+SUM($F66:BU66))*Inputs_Assumptions!$E$136,0)</f>
        <v>-0.97331629019355692</v>
      </c>
      <c r="BW66" s="109">
        <f ca="1">-IF(BW17=1,(SUM($G52:BW52)+SUM($F66:BV66))*Inputs_Assumptions!$E$136,0)</f>
        <v>-0.95837605762223577</v>
      </c>
      <c r="BX66" s="109">
        <f ca="1">-IF(BX17=1,(SUM($G52:BX52)+SUM($F66:BW66))*Inputs_Assumptions!$E$136,0)</f>
        <v>-0.9436651549732985</v>
      </c>
      <c r="BY66" s="109">
        <f ca="1">-IF(BY17=1,(SUM($G52:BY52)+SUM($F66:BX66))*Inputs_Assumptions!$E$136,0)</f>
        <v>-0.92918006207307657</v>
      </c>
      <c r="BZ66" s="109">
        <f ca="1">-IF(BZ17=1,(SUM($G52:BZ52)+SUM($F66:BY66))*Inputs_Assumptions!$E$136,0)</f>
        <v>-0.91491731278194344</v>
      </c>
      <c r="CA66" s="109">
        <f ca="1">-IF(CA17=1,(SUM($G52:CA52)+SUM($F66:BZ66))*Inputs_Assumptions!$E$136,0)</f>
        <v>-0.90087349416490159</v>
      </c>
      <c r="CB66" s="109">
        <f ca="1">-IF(CB17=1,(SUM($G52:CB52)+SUM($F66:CA66))*Inputs_Assumptions!$E$136,0)</f>
        <v>-0.88704524567490062</v>
      </c>
      <c r="CC66" s="109">
        <f ca="1">-IF(CC17=1,(SUM($G52:CC52)+SUM($F66:CB66))*Inputs_Assumptions!$E$136,0)</f>
        <v>-0.87342925834869201</v>
      </c>
      <c r="CD66" s="109">
        <f ca="1">-IF(CD17=1,(SUM($G52:CD52)+SUM($F66:CC66))*Inputs_Assumptions!$E$136,0)</f>
        <v>-0.86002227401502684</v>
      </c>
      <c r="CE66" s="109">
        <f ca="1">-IF(CE17=1,(SUM($G52:CE52)+SUM($F66:CD66))*Inputs_Assumptions!$E$136,0)</f>
        <v>-0.84682108451500748</v>
      </c>
      <c r="CF66" s="109">
        <f ca="1">-IF(CF17=1,(SUM($G52:CF52)+SUM($F66:CE66))*Inputs_Assumptions!$E$136,0)</f>
        <v>-0.83382253093440639</v>
      </c>
      <c r="CG66" s="109">
        <f ca="1">-IF(CG17=1,(SUM($G52:CG52)+SUM($F66:CF66))*Inputs_Assumptions!$E$136,0)</f>
        <v>-0.82102350284777026</v>
      </c>
      <c r="CH66" s="109">
        <f ca="1">-IF(CH17=1,(SUM($G52:CH52)+SUM($F66:CG66))*Inputs_Assumptions!$E$136,0)</f>
        <v>-0.80842093757412514</v>
      </c>
      <c r="CI66" s="109">
        <f ca="1">-IF(CI17=1,(SUM($G52:CI52)+SUM($F66:CH66))*Inputs_Assumptions!$E$136,0)</f>
        <v>-0.79601181944410682</v>
      </c>
      <c r="CJ66" s="109">
        <f ca="1">-IF(CJ17=1,(SUM($G52:CJ52)+SUM($F66:CI66))*Inputs_Assumptions!$E$136,0)</f>
        <v>-0.7837931790783419</v>
      </c>
      <c r="CK66" s="109">
        <f ca="1">-IF(CK17=1,(SUM($G52:CK52)+SUM($F66:CJ66))*Inputs_Assumptions!$E$136,0)</f>
        <v>-0.77176209267690399</v>
      </c>
      <c r="CL66" s="109">
        <f ca="1">-IF(CL17=1,(SUM($G52:CL52)+SUM($F66:CK66))*Inputs_Assumptions!$E$136,0)</f>
        <v>-0.75991568131967735</v>
      </c>
      <c r="CM66" s="109">
        <f ca="1">-IF(CM17=1,(SUM($G52:CM52)+SUM($F66:CL66))*Inputs_Assumptions!$E$136,0)</f>
        <v>-0.74825111027746016</v>
      </c>
      <c r="CN66" s="109">
        <f ca="1">-IF(CN17=1,(SUM($G52:CN52)+SUM($F66:CM66))*Inputs_Assumptions!$E$136,0)</f>
        <v>-0.73676558833364103</v>
      </c>
      <c r="CO66" s="109">
        <f ca="1">-IF(CO17=1,(SUM($G52:CO52)+SUM($F66:CN66))*Inputs_Assumptions!$E$136,0)</f>
        <v>-0.72545636711628947</v>
      </c>
      <c r="CP66" s="109">
        <f ca="1">-IF(CP17=1,(SUM($G52:CP52)+SUM($F66:CO66))*Inputs_Assumptions!$E$136,0)</f>
        <v>-0.71432074044049643</v>
      </c>
      <c r="CQ66" s="109">
        <f ca="1">-IF(CQ17=1,(SUM($G52:CQ52)+SUM($F66:CP66))*Inputs_Assumptions!$E$136,0)</f>
        <v>-0.70335604366081228</v>
      </c>
      <c r="CR66" s="109">
        <f ca="1">-IF(CR17=1,(SUM($G52:CR52)+SUM($F66:CQ66))*Inputs_Assumptions!$E$136,0)</f>
        <v>-0.69255965303362232</v>
      </c>
      <c r="CS66" s="109">
        <f ca="1">-IF(CS17=1,(SUM($G52:CS52)+SUM($F66:CR66))*Inputs_Assumptions!$E$136,0)</f>
        <v>-0.68192898508931166</v>
      </c>
      <c r="CT66" s="109">
        <f ca="1">-IF(CT17=1,(SUM($G52:CT52)+SUM($F66:CS66))*Inputs_Assumptions!$E$136,0)</f>
        <v>-0.67146149601406635</v>
      </c>
      <c r="CU66" s="257">
        <f ca="1">-IF(CU17=1,(SUM($G52:CU52)+SUM($F66:CT66))*Inputs_Assumptions!$E$136,0)</f>
        <v>-0.66115468104116326</v>
      </c>
      <c r="CV66" s="109">
        <f ca="1">-IF(CV17=1,(SUM($G52:CV52)+SUM($F66:CU66))*Inputs_Assumptions!$E$136,0)</f>
        <v>-0.65100607385160481</v>
      </c>
      <c r="CW66" s="109">
        <f ca="1">-IF(CW17=1,(SUM($G52:CW52)+SUM($F66:CV66))*Inputs_Assumptions!$E$136,0)</f>
        <v>-0.64101324598395293</v>
      </c>
      <c r="CX66" s="109">
        <f ca="1">-IF(CX17=1,(SUM($G52:CX52)+SUM($F66:CW66))*Inputs_Assumptions!$E$136,0)</f>
        <v>-0.63117380625322217</v>
      </c>
      <c r="CY66" s="109">
        <f ca="1">-IF(CY17=1,(SUM($G52:CY52)+SUM($F66:CX66))*Inputs_Assumptions!$E$136,0)</f>
        <v>-0.62148540017869336</v>
      </c>
      <c r="CZ66" s="109">
        <f ca="1">-IF(CZ17=1,(SUM($G52:CZ52)+SUM($F66:CY66))*Inputs_Assumptions!$E$136,0)</f>
        <v>-0.6119457094205083</v>
      </c>
      <c r="DA66" s="109">
        <f ca="1">-IF(DA17=1,(SUM($G52:DA52)+SUM($F66:CZ66))*Inputs_Assumptions!$E$136,0)</f>
        <v>-0.60255245122491552</v>
      </c>
      <c r="DB66" s="109">
        <f ca="1">-IF(DB17=1,(SUM($G52:DB52)+SUM($F66:DA66))*Inputs_Assumptions!$E$136,0)</f>
        <v>-0.59330337787802889</v>
      </c>
      <c r="DC66" s="109">
        <f ca="1">-IF(DC17=1,(SUM($G52:DC52)+SUM($F66:DB66))*Inputs_Assumptions!$E$136,0)</f>
        <v>-0.58419627616797165</v>
      </c>
      <c r="DD66" s="109">
        <f ca="1">-IF(DD17=1,(SUM($G52:DD52)+SUM($F66:DC66))*Inputs_Assumptions!$E$136,0)</f>
        <v>-0.5752289668552778</v>
      </c>
      <c r="DE66" s="109">
        <f ca="1">-IF(DE17=1,(SUM($G52:DE52)+SUM($F66:DD66))*Inputs_Assumptions!$E$136,0)</f>
        <v>-0.56639930415142059</v>
      </c>
      <c r="DF66" s="109">
        <f ca="1">-IF(DF17=1,(SUM($G52:DF52)+SUM($F66:DE66))*Inputs_Assumptions!$E$136,0)</f>
        <v>-0.55770517520534701</v>
      </c>
      <c r="DG66" s="109">
        <f ca="1">-IF(DG17=1,(SUM($G52:DG52)+SUM($F66:DF66))*Inputs_Assumptions!$E$136,0)</f>
        <v>-0.54914449959789335</v>
      </c>
      <c r="DH66" s="109">
        <f ca="1">-IF(DH17=1,(SUM($G52:DH52)+SUM($F66:DG66))*Inputs_Assumptions!$E$136,0)</f>
        <v>-0.54071522884396128</v>
      </c>
      <c r="DI66" s="109">
        <f ca="1">-IF(DI17=1,(SUM($G52:DI52)+SUM($F66:DH66))*Inputs_Assumptions!$E$136,0)</f>
        <v>-0.53241534590233541</v>
      </c>
      <c r="DJ66" s="109">
        <f ca="1">-IF(DJ17=1,(SUM($G52:DJ52)+SUM($F66:DI66))*Inputs_Assumptions!$E$136,0)</f>
        <v>-0.52424286469302628</v>
      </c>
      <c r="DK66" s="109">
        <f ca="1">-IF(DK17=1,(SUM($G52:DK52)+SUM($F66:DJ66))*Inputs_Assumptions!$E$136,0)</f>
        <v>-0.51619582962201982</v>
      </c>
      <c r="DL66" s="109">
        <f ca="1">-IF(DL17=1,(SUM($G52:DL52)+SUM($F66:DK66))*Inputs_Assumptions!$E$136,0)</f>
        <v>-0.50827231511332349</v>
      </c>
      <c r="DM66" s="109">
        <f ca="1">-IF(DM17=1,(SUM($G52:DM52)+SUM($F66:DL66))*Inputs_Assumptions!$E$136,0)</f>
        <v>-0.5004704251481954</v>
      </c>
      <c r="DN66" s="109">
        <f ca="1">-IF(DN17=1,(SUM($G52:DN52)+SUM($F66:DM66))*Inputs_Assumptions!$E$136,0)</f>
        <v>-0.49278829281144482</v>
      </c>
      <c r="DO66" s="109">
        <f ca="1">-IF(DO17=1,(SUM($G52:DO52)+SUM($F66:DN66))*Inputs_Assumptions!$E$136,0)</f>
        <v>-0.48522407984469873</v>
      </c>
      <c r="DP66" s="109">
        <f ca="1">-IF(DP17=1,(SUM($G52:DP52)+SUM($F66:DO66))*Inputs_Assumptions!$E$136,0)</f>
        <v>-0.47777597620652423</v>
      </c>
      <c r="DQ66" s="109">
        <f ca="1">-IF(DQ17=1,(SUM($G52:DQ52)+SUM($F66:DP66))*Inputs_Assumptions!$E$136,0)</f>
        <v>-0.47044219963930362</v>
      </c>
      <c r="DR66" s="109">
        <f ca="1">-IF(DR17=1,(SUM($G52:DR52)+SUM($F66:DQ66))*Inputs_Assumptions!$E$136,0)</f>
        <v>-0.46322099524275795</v>
      </c>
      <c r="DS66" s="109">
        <f ca="1">-IF(DS17=1,(SUM($G52:DS52)+SUM($F66:DR66))*Inputs_Assumptions!$E$136,0)</f>
        <v>-0.4561106350540165</v>
      </c>
      <c r="DT66" s="109">
        <f ca="1">-IF(DT17=1,(SUM($G52:DT52)+SUM($F66:DS66))*Inputs_Assumptions!$E$136,0)</f>
        <v>-0.44910941763413242</v>
      </c>
      <c r="DU66" s="109">
        <f ca="1">-IF(DU17=1,(SUM($G52:DU52)+SUM($F66:DT66))*Inputs_Assumptions!$E$136,0)</f>
        <v>-0.44221566766094511</v>
      </c>
      <c r="DV66" s="109">
        <f ca="1">-IF(DV17=1,(SUM($G52:DV52)+SUM($F66:DU66))*Inputs_Assumptions!$E$136,0)</f>
        <v>-0.43542773552819225</v>
      </c>
      <c r="DW66" s="109">
        <f ca="1">-IF(DW17=1,(SUM($G52:DW52)+SUM($F66:DV66))*Inputs_Assumptions!$E$136,0)</f>
        <v>-0.42874399695077536</v>
      </c>
      <c r="DX66" s="109">
        <f ca="1">-IF(DX17=1,(SUM($G52:DX52)+SUM($F66:DW66))*Inputs_Assumptions!$E$136,0)</f>
        <v>-0.42216285257608444</v>
      </c>
      <c r="DY66" s="109">
        <f ca="1">-IF(DY17=1,(SUM($G52:DY52)+SUM($F66:DX66))*Inputs_Assumptions!$E$136,0)</f>
        <v>-0.41568272760128844</v>
      </c>
      <c r="DZ66" s="109">
        <f ca="1">-IF(DZ17=1,(SUM($G52:DZ52)+SUM($F66:DY66))*Inputs_Assumptions!$E$136,0)</f>
        <v>-0.40930207139650071</v>
      </c>
      <c r="EA66" s="109">
        <f ca="1">-IF(EA17=1,(SUM($G52:EA52)+SUM($F66:DZ66))*Inputs_Assumptions!$E$136,0)</f>
        <v>-0.40301935713372894</v>
      </c>
      <c r="EB66" s="109">
        <f ca="1">-IF(EB17=1,(SUM($G52:EB52)+SUM($F66:EA66))*Inputs_Assumptions!$E$136,0)</f>
        <v>-0.39683308142151941</v>
      </c>
      <c r="EC66" s="109">
        <f ca="1">-IF(EC17=1,(SUM($G52:EC52)+SUM($F66:EB66))*Inputs_Assumptions!$E$136,0)</f>
        <v>-0.3907417639452111</v>
      </c>
      <c r="ED66" s="109">
        <f ca="1">-IF(ED17=1,(SUM($G52:ED52)+SUM($F66:EC66))*Inputs_Assumptions!$E$136,0)</f>
        <v>-0.38474394711271065</v>
      </c>
      <c r="EE66" s="109">
        <f ca="1">-IF(EE17=1,(SUM($G52:EE52)+SUM($F66:ED66))*Inputs_Assumptions!$E$136,0)</f>
        <v>-0.37883819570570509</v>
      </c>
      <c r="EF66" s="109">
        <f ca="1">-IF(EF17=1,(SUM($G52:EF52)+SUM($F66:EE66))*Inputs_Assumptions!$E$136,0)</f>
        <v>-0.373023096536228</v>
      </c>
      <c r="EG66" s="109">
        <f ca="1">-IF(EG17=1,(SUM($G52:EG52)+SUM($F66:EF66))*Inputs_Assumptions!$E$136,0)</f>
        <v>-0.36729725810849823</v>
      </c>
      <c r="EH66" s="109">
        <f ca="1">-IF(EH17=1,(SUM($G52:EH52)+SUM($F66:EG66))*Inputs_Assumptions!$E$136,0)</f>
        <v>-0.36165931028594789</v>
      </c>
      <c r="EI66" s="109">
        <f ca="1">-IF(EI17=1,(SUM($G52:EI52)+SUM($F66:EH66))*Inputs_Assumptions!$E$136,0)</f>
        <v>-0.35610790396336273</v>
      </c>
      <c r="EJ66" s="109">
        <f>-IF(EJ17=1,(SUM($G52:EJ52)+SUM($F66:EI66))*Inputs_Assumptions!$E$136,0)</f>
        <v>0</v>
      </c>
      <c r="EK66" s="109">
        <f>-IF(EK17=1,(SUM($G52:EK52)+SUM($F66:EJ66))*Inputs_Assumptions!$E$136,0)</f>
        <v>0</v>
      </c>
      <c r="EL66" s="109">
        <f>-IF(EL17=1,(SUM($G52:EL52)+SUM($F66:EK66))*Inputs_Assumptions!$E$136,0)</f>
        <v>0</v>
      </c>
      <c r="EM66" s="109">
        <f>-IF(EM17=1,(SUM($G52:EM52)+SUM($F66:EL66))*Inputs_Assumptions!$E$136,0)</f>
        <v>0</v>
      </c>
      <c r="EN66" s="109">
        <f>-IF(EN17=1,(SUM($G52:EN52)+SUM($F66:EM66))*Inputs_Assumptions!$E$136,0)</f>
        <v>0</v>
      </c>
      <c r="EO66" s="109">
        <f>-IF(EO17=1,(SUM($G52:EO52)+SUM($F66:EN66))*Inputs_Assumptions!$E$136,0)</f>
        <v>0</v>
      </c>
      <c r="EP66" s="109">
        <f>-IF(EP17=1,(SUM($G52:EP52)+SUM($F66:EO66))*Inputs_Assumptions!$E$136,0)</f>
        <v>0</v>
      </c>
      <c r="EQ66" s="109">
        <f>-IF(EQ17=1,(SUM($G52:EQ52)+SUM($F66:EP66))*Inputs_Assumptions!$E$136,0)</f>
        <v>0</v>
      </c>
      <c r="ER66" s="109">
        <f>-IF(ER17=1,(SUM($G52:ER52)+SUM($F66:EQ66))*Inputs_Assumptions!$E$136,0)</f>
        <v>0</v>
      </c>
      <c r="ES66" s="109">
        <f>-IF(ES17=1,(SUM($G52:ES52)+SUM($F66:ER66))*Inputs_Assumptions!$E$136,0)</f>
        <v>0</v>
      </c>
      <c r="ET66" s="109">
        <f>-IF(ET17=1,(SUM($G52:ET52)+SUM($F66:ES66))*Inputs_Assumptions!$E$136,0)</f>
        <v>0</v>
      </c>
      <c r="EU66" s="109">
        <f>-IF(EU17=1,(SUM($G52:EU52)+SUM($F66:ET66))*Inputs_Assumptions!$E$136,0)</f>
        <v>0</v>
      </c>
      <c r="EV66" s="109">
        <f>-IF(EV17=1,(SUM($G52:EV52)+SUM($F66:EU66))*Inputs_Assumptions!$E$136,0)</f>
        <v>0</v>
      </c>
      <c r="EW66" s="109">
        <f>-IF(EW17=1,(SUM($G52:EW52)+SUM($F66:EV66))*Inputs_Assumptions!$E$136,0)</f>
        <v>0</v>
      </c>
      <c r="EX66" s="109">
        <f>-IF(EX17=1,(SUM($G52:EX52)+SUM($F66:EW66))*Inputs_Assumptions!$E$136,0)</f>
        <v>0</v>
      </c>
      <c r="EY66" s="109">
        <f>-IF(EY17=1,(SUM($G52:EY52)+SUM($F66:EX66))*Inputs_Assumptions!$E$136,0)</f>
        <v>0</v>
      </c>
      <c r="EZ66" s="109">
        <f>-IF(EZ17=1,(SUM($G52:EZ52)+SUM($F66:EY66))*Inputs_Assumptions!$E$136,0)</f>
        <v>0</v>
      </c>
      <c r="FA66" s="109">
        <f>-IF(FA17=1,(SUM($G52:FA52)+SUM($F66:EZ66))*Inputs_Assumptions!$E$136,0)</f>
        <v>0</v>
      </c>
    </row>
    <row r="67" spans="2:157" outlineLevel="1" x14ac:dyDescent="0.2">
      <c r="C67" s="12" t="s">
        <v>357</v>
      </c>
      <c r="D67" s="21" t="s">
        <v>126</v>
      </c>
      <c r="E67" s="213">
        <f ca="1">SUM(G67:FA67)</f>
        <v>-19.645786691853548</v>
      </c>
      <c r="F67" s="21"/>
      <c r="G67" s="109">
        <f>-IF(G17=1,G53*Inputs_Assumptions!$E$137/Quarters_in_Year,0)</f>
        <v>0</v>
      </c>
      <c r="H67" s="109">
        <f>-IF(H17=1,H53*Inputs_Assumptions!$E$137/Quarters_in_Year,0)</f>
        <v>0</v>
      </c>
      <c r="I67" s="109">
        <f>-IF(I17=1,I53*Inputs_Assumptions!$E$137/Quarters_in_Year,0)</f>
        <v>0</v>
      </c>
      <c r="J67" s="109">
        <f>-IF(J17=1,J53*Inputs_Assumptions!$E$137/Quarters_in_Year,0)</f>
        <v>0</v>
      </c>
      <c r="K67" s="109">
        <f>-IF(K17=1,K53*Inputs_Assumptions!$E$137/Quarters_in_Year,0)</f>
        <v>0</v>
      </c>
      <c r="L67" s="109">
        <f>-IF(L17=1,L53*Inputs_Assumptions!$E$137/Quarters_in_Year,0)</f>
        <v>0</v>
      </c>
      <c r="M67" s="109">
        <f>-IF(M17=1,M53*Inputs_Assumptions!$E$137/Quarters_in_Year,0)</f>
        <v>0</v>
      </c>
      <c r="N67" s="109">
        <f>-IF(N17=1,N53*Inputs_Assumptions!$E$137/Quarters_in_Year,0)</f>
        <v>0</v>
      </c>
      <c r="O67" s="109">
        <f>-IF(O17=1,O53*Inputs_Assumptions!$E$137/Quarters_in_Year,0)</f>
        <v>0</v>
      </c>
      <c r="P67" s="109">
        <f>-IF(P17=1,P53*Inputs_Assumptions!$E$137/Quarters_in_Year,0)</f>
        <v>0</v>
      </c>
      <c r="Q67" s="109">
        <f>-IF(Q17=1,Q53*Inputs_Assumptions!$E$137/Quarters_in_Year,0)</f>
        <v>0</v>
      </c>
      <c r="R67" s="109">
        <f>-IF(R17=1,R53*Inputs_Assumptions!$E$137/Quarters_in_Year,0)</f>
        <v>0</v>
      </c>
      <c r="S67" s="109">
        <f>-IF(S17=1,S53*Inputs_Assumptions!$E$137/Quarters_in_Year,0)</f>
        <v>0</v>
      </c>
      <c r="T67" s="109">
        <f>-IF(T17=1,T53*Inputs_Assumptions!$E$137/Quarters_in_Year,0)</f>
        <v>0</v>
      </c>
      <c r="U67" s="109">
        <f>-IF(U17=1,U53*Inputs_Assumptions!$E$137/Quarters_in_Year,0)</f>
        <v>0</v>
      </c>
      <c r="V67" s="109">
        <f>-IF(V17=1,V53*Inputs_Assumptions!$E$137/Quarters_in_Year,0)</f>
        <v>0</v>
      </c>
      <c r="W67" s="109">
        <f ca="1">-IF(W17=1,W53*Inputs_Assumptions!$E$137/Quarters_in_Year,0)</f>
        <v>-0.25849719331386251</v>
      </c>
      <c r="X67" s="109">
        <f ca="1">-IF(X17=1,X53*Inputs_Assumptions!$E$137/Quarters_in_Year,0)</f>
        <v>-0.25849719331386251</v>
      </c>
      <c r="Y67" s="109">
        <f ca="1">-IF(Y17=1,Y53*Inputs_Assumptions!$E$137/Quarters_in_Year,0)</f>
        <v>-0.25849719331386251</v>
      </c>
      <c r="Z67" s="109">
        <f ca="1">-IF(Z17=1,Z53*Inputs_Assumptions!$E$137/Quarters_in_Year,0)</f>
        <v>-0.25849719331386251</v>
      </c>
      <c r="AA67" s="109">
        <f ca="1">-IF(AA17=1,AA53*Inputs_Assumptions!$E$137/Quarters_in_Year,0)</f>
        <v>-0.25849719331386251</v>
      </c>
      <c r="AB67" s="109">
        <f ca="1">-IF(AB17=1,AB53*Inputs_Assumptions!$E$137/Quarters_in_Year,0)</f>
        <v>-0.25849719331386251</v>
      </c>
      <c r="AC67" s="109">
        <f ca="1">-IF(AC17=1,AC53*Inputs_Assumptions!$E$137/Quarters_in_Year,0)</f>
        <v>-0.25849719331386251</v>
      </c>
      <c r="AD67" s="109">
        <f ca="1">-IF(AD17=1,AD53*Inputs_Assumptions!$E$137/Quarters_in_Year,0)</f>
        <v>-0.25849719331386251</v>
      </c>
      <c r="AE67" s="109">
        <f ca="1">-IF(AE17=1,AE53*Inputs_Assumptions!$E$137/Quarters_in_Year,0)</f>
        <v>-0.25849719331386251</v>
      </c>
      <c r="AF67" s="109">
        <f ca="1">-IF(AF17=1,AF53*Inputs_Assumptions!$E$137/Quarters_in_Year,0)</f>
        <v>-0.25849719331386251</v>
      </c>
      <c r="AG67" s="109">
        <f ca="1">-IF(AG17=1,AG53*Inputs_Assumptions!$E$137/Quarters_in_Year,0)</f>
        <v>-0.25849719331386251</v>
      </c>
      <c r="AH67" s="109">
        <f ca="1">-IF(AH17=1,AH53*Inputs_Assumptions!$E$137/Quarters_in_Year,0)</f>
        <v>-0.25849719331386251</v>
      </c>
      <c r="AI67" s="109">
        <f ca="1">-IF(AI17=1,AI53*Inputs_Assumptions!$E$137/Quarters_in_Year,0)</f>
        <v>-0.25849719331386251</v>
      </c>
      <c r="AJ67" s="109">
        <f ca="1">-IF(AJ17=1,AJ53*Inputs_Assumptions!$E$137/Quarters_in_Year,0)</f>
        <v>-0.25849719331386251</v>
      </c>
      <c r="AK67" s="109">
        <f ca="1">-IF(AK17=1,AK53*Inputs_Assumptions!$E$137/Quarters_in_Year,0)</f>
        <v>-0.25849719331386251</v>
      </c>
      <c r="AL67" s="109">
        <f ca="1">-IF(AL17=1,AL53*Inputs_Assumptions!$E$137/Quarters_in_Year,0)</f>
        <v>-0.25849719331386251</v>
      </c>
      <c r="AM67" s="109">
        <f ca="1">-IF(AM17=1,AM53*Inputs_Assumptions!$E$137/Quarters_in_Year,0)</f>
        <v>-0.25849719331386251</v>
      </c>
      <c r="AN67" s="109">
        <f ca="1">-IF(AN17=1,AN53*Inputs_Assumptions!$E$137/Quarters_in_Year,0)</f>
        <v>-0.25849719331386251</v>
      </c>
      <c r="AO67" s="109">
        <f ca="1">-IF(AO17=1,AO53*Inputs_Assumptions!$E$137/Quarters_in_Year,0)</f>
        <v>-0.25849719331386251</v>
      </c>
      <c r="AP67" s="109">
        <f ca="1">-IF(AP17=1,AP53*Inputs_Assumptions!$E$137/Quarters_in_Year,0)</f>
        <v>-0.25849719331386251</v>
      </c>
      <c r="AQ67" s="109">
        <f ca="1">-IF(AQ17=1,AQ53*Inputs_Assumptions!$E$137/Quarters_in_Year,0)</f>
        <v>-0.25849719331386251</v>
      </c>
      <c r="AR67" s="109">
        <f ca="1">-IF(AR17=1,AR53*Inputs_Assumptions!$E$137/Quarters_in_Year,0)</f>
        <v>-0.25849719331386251</v>
      </c>
      <c r="AS67" s="109">
        <f ca="1">-IF(AS17=1,AS53*Inputs_Assumptions!$E$137/Quarters_in_Year,0)</f>
        <v>-0.25849719331386251</v>
      </c>
      <c r="AT67" s="109">
        <f ca="1">-IF(AT17=1,AT53*Inputs_Assumptions!$E$137/Quarters_in_Year,0)</f>
        <v>-0.25849719331386251</v>
      </c>
      <c r="AU67" s="109">
        <f ca="1">-IF(AU17=1,AU53*Inputs_Assumptions!$E$137/Quarters_in_Year,0)</f>
        <v>-0.25849719331386251</v>
      </c>
      <c r="AV67" s="109">
        <f ca="1">-IF(AV17=1,AV53*Inputs_Assumptions!$E$137/Quarters_in_Year,0)</f>
        <v>-0.25849719331386251</v>
      </c>
      <c r="AW67" s="109">
        <f ca="1">-IF(AW17=1,AW53*Inputs_Assumptions!$E$137/Quarters_in_Year,0)</f>
        <v>-0.25849719331386251</v>
      </c>
      <c r="AX67" s="109">
        <f ca="1">-IF(AX17=1,AX53*Inputs_Assumptions!$E$137/Quarters_in_Year,0)</f>
        <v>-0.25849719331386251</v>
      </c>
      <c r="AY67" s="109">
        <f ca="1">-IF(AY17=1,AY53*Inputs_Assumptions!$E$137/Quarters_in_Year,0)</f>
        <v>-0.25849719331386251</v>
      </c>
      <c r="AZ67" s="109">
        <f ca="1">-IF(AZ17=1,AZ53*Inputs_Assumptions!$E$137/Quarters_in_Year,0)</f>
        <v>-0.25849719331386251</v>
      </c>
      <c r="BA67" s="109">
        <f ca="1">-IF(BA17=1,BA53*Inputs_Assumptions!$E$137/Quarters_in_Year,0)</f>
        <v>-0.25849719331386251</v>
      </c>
      <c r="BB67" s="109">
        <f ca="1">-IF(BB17=1,BB53*Inputs_Assumptions!$E$137/Quarters_in_Year,0)</f>
        <v>-0.25849719331386251</v>
      </c>
      <c r="BC67" s="109">
        <f ca="1">-IF(BC17=1,BC53*Inputs_Assumptions!$E$137/Quarters_in_Year,0)</f>
        <v>-0.25849719331386251</v>
      </c>
      <c r="BD67" s="109">
        <f ca="1">-IF(BD17=1,BD53*Inputs_Assumptions!$E$137/Quarters_in_Year,0)</f>
        <v>-0.25849719331386251</v>
      </c>
      <c r="BE67" s="109">
        <f ca="1">-IF(BE17=1,BE53*Inputs_Assumptions!$E$137/Quarters_in_Year,0)</f>
        <v>-0.25849719331386251</v>
      </c>
      <c r="BF67" s="109">
        <f ca="1">-IF(BF17=1,BF53*Inputs_Assumptions!$E$137/Quarters_in_Year,0)</f>
        <v>-0.25849719331386251</v>
      </c>
      <c r="BG67" s="109">
        <f ca="1">-IF(BG17=1,BG53*Inputs_Assumptions!$E$137/Quarters_in_Year,0)</f>
        <v>-0.25849719331386251</v>
      </c>
      <c r="BH67" s="109">
        <f ca="1">-IF(BH17=1,BH53*Inputs_Assumptions!$E$137/Quarters_in_Year,0)</f>
        <v>-0.25849719331386251</v>
      </c>
      <c r="BI67" s="109">
        <f ca="1">-IF(BI17=1,BI53*Inputs_Assumptions!$E$137/Quarters_in_Year,0)</f>
        <v>-0.25849719331386251</v>
      </c>
      <c r="BJ67" s="109">
        <f ca="1">-IF(BJ17=1,BJ53*Inputs_Assumptions!$E$137/Quarters_in_Year,0)</f>
        <v>-0.25849719331386251</v>
      </c>
      <c r="BK67" s="109">
        <f ca="1">-IF(BK17=1,BK53*Inputs_Assumptions!$E$137/Quarters_in_Year,0)</f>
        <v>-0.25849719331386251</v>
      </c>
      <c r="BL67" s="109">
        <f ca="1">-IF(BL17=1,BL53*Inputs_Assumptions!$E$137/Quarters_in_Year,0)</f>
        <v>-0.25849719331386251</v>
      </c>
      <c r="BM67" s="109">
        <f ca="1">-IF(BM17=1,BM53*Inputs_Assumptions!$E$137/Quarters_in_Year,0)</f>
        <v>-0.25849719331386251</v>
      </c>
      <c r="BN67" s="109">
        <f ca="1">-IF(BN17=1,BN53*Inputs_Assumptions!$E$137/Quarters_in_Year,0)</f>
        <v>-0.25849719331386251</v>
      </c>
      <c r="BO67" s="109">
        <f ca="1">-IF(BO17=1,BO53*Inputs_Assumptions!$E$137/Quarters_in_Year,0)</f>
        <v>-0.25849719331386251</v>
      </c>
      <c r="BP67" s="109">
        <f ca="1">-IF(BP17=1,BP53*Inputs_Assumptions!$E$137/Quarters_in_Year,0)</f>
        <v>-0.25849719331386251</v>
      </c>
      <c r="BQ67" s="109">
        <f ca="1">-IF(BQ17=1,BQ53*Inputs_Assumptions!$E$137/Quarters_in_Year,0)</f>
        <v>-0.25849719331386251</v>
      </c>
      <c r="BR67" s="109">
        <f ca="1">-IF(BR17=1,BR53*Inputs_Assumptions!$E$137/Quarters_in_Year,0)</f>
        <v>-0.25849719331386251</v>
      </c>
      <c r="BS67" s="109">
        <f ca="1">-IF(BS17=1,BS53*Inputs_Assumptions!$E$137/Quarters_in_Year,0)</f>
        <v>-0.25849719331386251</v>
      </c>
      <c r="BT67" s="109">
        <f ca="1">-IF(BT17=1,BT53*Inputs_Assumptions!$E$137/Quarters_in_Year,0)</f>
        <v>-0.25849719331386251</v>
      </c>
      <c r="BU67" s="109">
        <f ca="1">-IF(BU17=1,BU53*Inputs_Assumptions!$E$137/Quarters_in_Year,0)</f>
        <v>-0.25849719331386251</v>
      </c>
      <c r="BV67" s="109">
        <f ca="1">-IF(BV17=1,BV53*Inputs_Assumptions!$E$137/Quarters_in_Year,0)</f>
        <v>-0.25849719331386251</v>
      </c>
      <c r="BW67" s="109">
        <f ca="1">-IF(BW17=1,BW53*Inputs_Assumptions!$E$137/Quarters_in_Year,0)</f>
        <v>-0.25849719331386251</v>
      </c>
      <c r="BX67" s="109">
        <f ca="1">-IF(BX17=1,BX53*Inputs_Assumptions!$E$137/Quarters_in_Year,0)</f>
        <v>-0.25849719331386251</v>
      </c>
      <c r="BY67" s="109">
        <f ca="1">-IF(BY17=1,BY53*Inputs_Assumptions!$E$137/Quarters_in_Year,0)</f>
        <v>-0.25849719331386251</v>
      </c>
      <c r="BZ67" s="109">
        <f ca="1">-IF(BZ17=1,BZ53*Inputs_Assumptions!$E$137/Quarters_in_Year,0)</f>
        <v>-0.25849719331386251</v>
      </c>
      <c r="CA67" s="109">
        <f ca="1">-IF(CA17=1,CA53*Inputs_Assumptions!$E$137/Quarters_in_Year,0)</f>
        <v>-0.25849719331386251</v>
      </c>
      <c r="CB67" s="109">
        <f ca="1">-IF(CB17=1,CB53*Inputs_Assumptions!$E$137/Quarters_in_Year,0)</f>
        <v>-0.25849719331386251</v>
      </c>
      <c r="CC67" s="109">
        <f ca="1">-IF(CC17=1,CC53*Inputs_Assumptions!$E$137/Quarters_in_Year,0)</f>
        <v>-0.25849719331386251</v>
      </c>
      <c r="CD67" s="109">
        <f ca="1">-IF(CD17=1,CD53*Inputs_Assumptions!$E$137/Quarters_in_Year,0)</f>
        <v>-0.25849719331386251</v>
      </c>
      <c r="CE67" s="109">
        <f ca="1">-IF(CE17=1,CE53*Inputs_Assumptions!$E$137/Quarters_in_Year,0)</f>
        <v>-0.25849719331386251</v>
      </c>
      <c r="CF67" s="109">
        <f ca="1">-IF(CF17=1,CF53*Inputs_Assumptions!$E$137/Quarters_in_Year,0)</f>
        <v>-0.25849719331386251</v>
      </c>
      <c r="CG67" s="109">
        <f ca="1">-IF(CG17=1,CG53*Inputs_Assumptions!$E$137/Quarters_in_Year,0)</f>
        <v>-0.25849719331386251</v>
      </c>
      <c r="CH67" s="109">
        <f ca="1">-IF(CH17=1,CH53*Inputs_Assumptions!$E$137/Quarters_in_Year,0)</f>
        <v>-0.25849719331386251</v>
      </c>
      <c r="CI67" s="109">
        <f ca="1">-IF(CI17=1,CI53*Inputs_Assumptions!$E$137/Quarters_in_Year,0)</f>
        <v>-0.25849719331386251</v>
      </c>
      <c r="CJ67" s="109">
        <f ca="1">-IF(CJ17=1,CJ53*Inputs_Assumptions!$E$137/Quarters_in_Year,0)</f>
        <v>-0.25849719331386251</v>
      </c>
      <c r="CK67" s="109">
        <f ca="1">-IF(CK17=1,CK53*Inputs_Assumptions!$E$137/Quarters_in_Year,0)</f>
        <v>-0.25849719331386251</v>
      </c>
      <c r="CL67" s="109">
        <f ca="1">-IF(CL17=1,CL53*Inputs_Assumptions!$E$137/Quarters_in_Year,0)</f>
        <v>-0.25849719331386251</v>
      </c>
      <c r="CM67" s="109">
        <f ca="1">-IF(CM17=1,CM53*Inputs_Assumptions!$E$137/Quarters_in_Year,0)</f>
        <v>-0.25849719331386251</v>
      </c>
      <c r="CN67" s="109">
        <f ca="1">-IF(CN17=1,CN53*Inputs_Assumptions!$E$137/Quarters_in_Year,0)</f>
        <v>-0.25849719331386251</v>
      </c>
      <c r="CO67" s="109">
        <f ca="1">-IF(CO17=1,CO53*Inputs_Assumptions!$E$137/Quarters_in_Year,0)</f>
        <v>-0.25849719331386251</v>
      </c>
      <c r="CP67" s="109">
        <f ca="1">-IF(CP17=1,CP53*Inputs_Assumptions!$E$137/Quarters_in_Year,0)</f>
        <v>-0.25849719331386251</v>
      </c>
      <c r="CQ67" s="109">
        <f ca="1">-IF(CQ17=1,CQ53*Inputs_Assumptions!$E$137/Quarters_in_Year,0)</f>
        <v>-0.25849719331386251</v>
      </c>
      <c r="CR67" s="109">
        <f ca="1">-IF(CR17=1,CR53*Inputs_Assumptions!$E$137/Quarters_in_Year,0)</f>
        <v>-0.25849719331386251</v>
      </c>
      <c r="CS67" s="109">
        <f ca="1">-IF(CS17=1,CS53*Inputs_Assumptions!$E$137/Quarters_in_Year,0)</f>
        <v>-0.25849719331386251</v>
      </c>
      <c r="CT67" s="109">
        <f ca="1">-IF(CT17=1,CT53*Inputs_Assumptions!$E$137/Quarters_in_Year,0)</f>
        <v>-0.25849719331386251</v>
      </c>
      <c r="CU67" s="257">
        <f>-IF(CU17=1,CU53*Inputs_Assumptions!$E$137/Quarters_in_Year,0)</f>
        <v>0</v>
      </c>
      <c r="CV67" s="109">
        <f>-IF(CV17=1,CV53*Inputs_Assumptions!$E$137/Quarters_in_Year,0)</f>
        <v>0</v>
      </c>
      <c r="CW67" s="109">
        <f>-IF(CW17=1,CW53*Inputs_Assumptions!$E$137/Quarters_in_Year,0)</f>
        <v>0</v>
      </c>
      <c r="CX67" s="109">
        <f>-IF(CX17=1,CX53*Inputs_Assumptions!$E$137/Quarters_in_Year,0)</f>
        <v>0</v>
      </c>
      <c r="CY67" s="109">
        <f>-IF(CY17=1,CY53*Inputs_Assumptions!$E$137/Quarters_in_Year,0)</f>
        <v>0</v>
      </c>
      <c r="CZ67" s="109">
        <f>-IF(CZ17=1,CZ53*Inputs_Assumptions!$E$137/Quarters_in_Year,0)</f>
        <v>0</v>
      </c>
      <c r="DA67" s="109">
        <f>-IF(DA17=1,DA53*Inputs_Assumptions!$E$137/Quarters_in_Year,0)</f>
        <v>0</v>
      </c>
      <c r="DB67" s="109">
        <f>-IF(DB17=1,DB53*Inputs_Assumptions!$E$137/Quarters_in_Year,0)</f>
        <v>0</v>
      </c>
      <c r="DC67" s="109">
        <f>-IF(DC17=1,DC53*Inputs_Assumptions!$E$137/Quarters_in_Year,0)</f>
        <v>0</v>
      </c>
      <c r="DD67" s="109">
        <f>-IF(DD17=1,DD53*Inputs_Assumptions!$E$137/Quarters_in_Year,0)</f>
        <v>0</v>
      </c>
      <c r="DE67" s="109">
        <f>-IF(DE17=1,DE53*Inputs_Assumptions!$E$137/Quarters_in_Year,0)</f>
        <v>0</v>
      </c>
      <c r="DF67" s="109">
        <f>-IF(DF17=1,DF53*Inputs_Assumptions!$E$137/Quarters_in_Year,0)</f>
        <v>0</v>
      </c>
      <c r="DG67" s="109">
        <f>-IF(DG17=1,DG53*Inputs_Assumptions!$E$137/Quarters_in_Year,0)</f>
        <v>0</v>
      </c>
      <c r="DH67" s="109">
        <f>-IF(DH17=1,DH53*Inputs_Assumptions!$E$137/Quarters_in_Year,0)</f>
        <v>0</v>
      </c>
      <c r="DI67" s="109">
        <f>-IF(DI17=1,DI53*Inputs_Assumptions!$E$137/Quarters_in_Year,0)</f>
        <v>0</v>
      </c>
      <c r="DJ67" s="109">
        <f>-IF(DJ17=1,DJ53*Inputs_Assumptions!$E$137/Quarters_in_Year,0)</f>
        <v>0</v>
      </c>
      <c r="DK67" s="109">
        <f>-IF(DK17=1,DK53*Inputs_Assumptions!$E$137/Quarters_in_Year,0)</f>
        <v>0</v>
      </c>
      <c r="DL67" s="109">
        <f>-IF(DL17=1,DL53*Inputs_Assumptions!$E$137/Quarters_in_Year,0)</f>
        <v>0</v>
      </c>
      <c r="DM67" s="109">
        <f>-IF(DM17=1,DM53*Inputs_Assumptions!$E$137/Quarters_in_Year,0)</f>
        <v>0</v>
      </c>
      <c r="DN67" s="109">
        <f>-IF(DN17=1,DN53*Inputs_Assumptions!$E$137/Quarters_in_Year,0)</f>
        <v>0</v>
      </c>
      <c r="DO67" s="109">
        <f>-IF(DO17=1,DO53*Inputs_Assumptions!$E$137/Quarters_in_Year,0)</f>
        <v>0</v>
      </c>
      <c r="DP67" s="109">
        <f>-IF(DP17=1,DP53*Inputs_Assumptions!$E$137/Quarters_in_Year,0)</f>
        <v>0</v>
      </c>
      <c r="DQ67" s="109">
        <f>-IF(DQ17=1,DQ53*Inputs_Assumptions!$E$137/Quarters_in_Year,0)</f>
        <v>0</v>
      </c>
      <c r="DR67" s="109">
        <f>-IF(DR17=1,DR53*Inputs_Assumptions!$E$137/Quarters_in_Year,0)</f>
        <v>0</v>
      </c>
      <c r="DS67" s="109">
        <f>-IF(DS17=1,DS53*Inputs_Assumptions!$E$137/Quarters_in_Year,0)</f>
        <v>0</v>
      </c>
      <c r="DT67" s="109">
        <f>-IF(DT17=1,DT53*Inputs_Assumptions!$E$137/Quarters_in_Year,0)</f>
        <v>0</v>
      </c>
      <c r="DU67" s="109">
        <f>-IF(DU17=1,DU53*Inputs_Assumptions!$E$137/Quarters_in_Year,0)</f>
        <v>0</v>
      </c>
      <c r="DV67" s="109">
        <f>-IF(DV17=1,DV53*Inputs_Assumptions!$E$137/Quarters_in_Year,0)</f>
        <v>0</v>
      </c>
      <c r="DW67" s="109">
        <f>-IF(DW17=1,DW53*Inputs_Assumptions!$E$137/Quarters_in_Year,0)</f>
        <v>0</v>
      </c>
      <c r="DX67" s="109">
        <f>-IF(DX17=1,DX53*Inputs_Assumptions!$E$137/Quarters_in_Year,0)</f>
        <v>0</v>
      </c>
      <c r="DY67" s="109">
        <f>-IF(DY17=1,DY53*Inputs_Assumptions!$E$137/Quarters_in_Year,0)</f>
        <v>0</v>
      </c>
      <c r="DZ67" s="109">
        <f>-IF(DZ17=1,DZ53*Inputs_Assumptions!$E$137/Quarters_in_Year,0)</f>
        <v>0</v>
      </c>
      <c r="EA67" s="109">
        <f>-IF(EA17=1,EA53*Inputs_Assumptions!$E$137/Quarters_in_Year,0)</f>
        <v>0</v>
      </c>
      <c r="EB67" s="109">
        <f>-IF(EB17=1,EB53*Inputs_Assumptions!$E$137/Quarters_in_Year,0)</f>
        <v>0</v>
      </c>
      <c r="EC67" s="109">
        <f>-IF(EC17=1,EC53*Inputs_Assumptions!$E$137/Quarters_in_Year,0)</f>
        <v>0</v>
      </c>
      <c r="ED67" s="109">
        <f>-IF(ED17=1,ED53*Inputs_Assumptions!$E$137/Quarters_in_Year,0)</f>
        <v>0</v>
      </c>
      <c r="EE67" s="109">
        <f>-IF(EE17=1,EE53*Inputs_Assumptions!$E$137/Quarters_in_Year,0)</f>
        <v>0</v>
      </c>
      <c r="EF67" s="109">
        <f>-IF(EF17=1,EF53*Inputs_Assumptions!$E$137/Quarters_in_Year,0)</f>
        <v>0</v>
      </c>
      <c r="EG67" s="109">
        <f>-IF(EG17=1,EG53*Inputs_Assumptions!$E$137/Quarters_in_Year,0)</f>
        <v>0</v>
      </c>
      <c r="EH67" s="109">
        <f>-IF(EH17=1,EH53*Inputs_Assumptions!$E$137/Quarters_in_Year,0)</f>
        <v>0</v>
      </c>
      <c r="EI67" s="109">
        <f>-IF(EI17=1,EI53*Inputs_Assumptions!$E$137/Quarters_in_Year,0)</f>
        <v>0</v>
      </c>
      <c r="EJ67" s="109">
        <f>-IF(EJ17=1,EJ53*Inputs_Assumptions!$E$137/Quarters_in_Year,0)</f>
        <v>0</v>
      </c>
      <c r="EK67" s="109">
        <f>-IF(EK17=1,EK53*Inputs_Assumptions!$E$137/Quarters_in_Year,0)</f>
        <v>0</v>
      </c>
      <c r="EL67" s="109">
        <f>-IF(EL17=1,EL53*Inputs_Assumptions!$E$137/Quarters_in_Year,0)</f>
        <v>0</v>
      </c>
      <c r="EM67" s="109">
        <f>-IF(EM17=1,EM53*Inputs_Assumptions!$E$137/Quarters_in_Year,0)</f>
        <v>0</v>
      </c>
      <c r="EN67" s="109">
        <f>-IF(EN17=1,EN53*Inputs_Assumptions!$E$137/Quarters_in_Year,0)</f>
        <v>0</v>
      </c>
      <c r="EO67" s="109">
        <f>-IF(EO17=1,EO53*Inputs_Assumptions!$E$137/Quarters_in_Year,0)</f>
        <v>0</v>
      </c>
      <c r="EP67" s="109">
        <f>-IF(EP17=1,EP53*Inputs_Assumptions!$E$137/Quarters_in_Year,0)</f>
        <v>0</v>
      </c>
      <c r="EQ67" s="109">
        <f>-IF(EQ17=1,EQ53*Inputs_Assumptions!$E$137/Quarters_in_Year,0)</f>
        <v>0</v>
      </c>
      <c r="ER67" s="109">
        <f>-IF(ER17=1,ER53*Inputs_Assumptions!$E$137/Quarters_in_Year,0)</f>
        <v>0</v>
      </c>
      <c r="ES67" s="109">
        <f>-IF(ES17=1,ES53*Inputs_Assumptions!$E$137/Quarters_in_Year,0)</f>
        <v>0</v>
      </c>
      <c r="ET67" s="109">
        <f>-IF(ET17=1,ET53*Inputs_Assumptions!$E$137/Quarters_in_Year,0)</f>
        <v>0</v>
      </c>
      <c r="EU67" s="109">
        <f>-IF(EU17=1,EU53*Inputs_Assumptions!$E$137/Quarters_in_Year,0)</f>
        <v>0</v>
      </c>
      <c r="EV67" s="109">
        <f>-IF(EV17=1,EV53*Inputs_Assumptions!$E$137/Quarters_in_Year,0)</f>
        <v>0</v>
      </c>
      <c r="EW67" s="109">
        <f>-IF(EW17=1,EW53*Inputs_Assumptions!$E$137/Quarters_in_Year,0)</f>
        <v>0</v>
      </c>
      <c r="EX67" s="109">
        <f>-IF(EX17=1,EX53*Inputs_Assumptions!$E$137/Quarters_in_Year,0)</f>
        <v>0</v>
      </c>
      <c r="EY67" s="109">
        <f>-IF(EY17=1,EY53*Inputs_Assumptions!$E$137/Quarters_in_Year,0)</f>
        <v>0</v>
      </c>
      <c r="EZ67" s="109">
        <f>-IF(EZ17=1,EZ53*Inputs_Assumptions!$E$137/Quarters_in_Year,0)</f>
        <v>0</v>
      </c>
      <c r="FA67" s="109">
        <f>-IF(FA17=1,FA53*Inputs_Assumptions!$E$137/Quarters_in_Year,0)</f>
        <v>0</v>
      </c>
    </row>
    <row r="68" spans="2:157" ht="15.5" customHeight="1" outlineLevel="1" x14ac:dyDescent="0.2">
      <c r="C68" s="38" t="s">
        <v>41</v>
      </c>
      <c r="D68" s="32" t="s">
        <v>126</v>
      </c>
      <c r="E68" s="112">
        <f ca="1">SUM(G68:FA68)</f>
        <v>-1472.4813043392528</v>
      </c>
      <c r="F68" s="32"/>
      <c r="G68" s="112">
        <f>-G194</f>
        <v>0</v>
      </c>
      <c r="H68" s="112">
        <f t="shared" ref="H68:BS68" ca="1" si="381">-H194</f>
        <v>0</v>
      </c>
      <c r="I68" s="112">
        <f t="shared" ca="1" si="381"/>
        <v>0</v>
      </c>
      <c r="J68" s="112">
        <f t="shared" ca="1" si="381"/>
        <v>0</v>
      </c>
      <c r="K68" s="112">
        <f t="shared" ca="1" si="381"/>
        <v>0</v>
      </c>
      <c r="L68" s="112">
        <f t="shared" ca="1" si="381"/>
        <v>0</v>
      </c>
      <c r="M68" s="112">
        <f t="shared" ca="1" si="381"/>
        <v>0</v>
      </c>
      <c r="N68" s="112">
        <f t="shared" ca="1" si="381"/>
        <v>0</v>
      </c>
      <c r="O68" s="112">
        <f t="shared" ca="1" si="381"/>
        <v>0</v>
      </c>
      <c r="P68" s="112">
        <f t="shared" ca="1" si="381"/>
        <v>0</v>
      </c>
      <c r="Q68" s="112">
        <f t="shared" ca="1" si="381"/>
        <v>0</v>
      </c>
      <c r="R68" s="112">
        <f t="shared" ca="1" si="381"/>
        <v>0</v>
      </c>
      <c r="S68" s="112">
        <f t="shared" ca="1" si="381"/>
        <v>0</v>
      </c>
      <c r="T68" s="112">
        <f t="shared" ca="1" si="381"/>
        <v>0</v>
      </c>
      <c r="U68" s="112">
        <f t="shared" ca="1" si="381"/>
        <v>0</v>
      </c>
      <c r="V68" s="112">
        <f t="shared" ca="1" si="381"/>
        <v>0</v>
      </c>
      <c r="W68" s="112">
        <f t="shared" ca="1" si="381"/>
        <v>0</v>
      </c>
      <c r="X68" s="112">
        <f t="shared" ca="1" si="381"/>
        <v>-29.671695654014776</v>
      </c>
      <c r="Y68" s="112">
        <f t="shared" ca="1" si="381"/>
        <v>-29.652874343927259</v>
      </c>
      <c r="Z68" s="112">
        <f t="shared" ca="1" si="381"/>
        <v>-29.652874343927259</v>
      </c>
      <c r="AA68" s="112">
        <f t="shared" ca="1" si="381"/>
        <v>-29.403540503711049</v>
      </c>
      <c r="AB68" s="112">
        <f t="shared" ca="1" si="381"/>
        <v>-29.063867079730969</v>
      </c>
      <c r="AC68" s="112">
        <f t="shared" ca="1" si="381"/>
        <v>-29.026446989741849</v>
      </c>
      <c r="AD68" s="112">
        <f t="shared" ca="1" si="381"/>
        <v>-29.026446989741849</v>
      </c>
      <c r="AE68" s="112">
        <f t="shared" ca="1" si="381"/>
        <v>-28.752966819462095</v>
      </c>
      <c r="AF68" s="112">
        <f t="shared" ca="1" si="381"/>
        <v>-28.386803427161958</v>
      </c>
      <c r="AG68" s="112">
        <f t="shared" ca="1" si="381"/>
        <v>-28.329555685817454</v>
      </c>
      <c r="AH68" s="112">
        <f t="shared" ca="1" si="381"/>
        <v>-28.329555685817454</v>
      </c>
      <c r="AI68" s="112">
        <f t="shared" ca="1" si="381"/>
        <v>-28.030561299495538</v>
      </c>
      <c r="AJ68" s="112">
        <f t="shared" ca="1" si="381"/>
        <v>-27.645312125445216</v>
      </c>
      <c r="AK68" s="112">
        <f t="shared" ca="1" si="381"/>
        <v>-27.575747307038409</v>
      </c>
      <c r="AL68" s="112">
        <f t="shared" ca="1" si="381"/>
        <v>-27.575747307038409</v>
      </c>
      <c r="AM68" s="112">
        <f t="shared" ca="1" si="381"/>
        <v>-27.261315354902244</v>
      </c>
      <c r="AN68" s="112">
        <f t="shared" ca="1" si="381"/>
        <v>-26.85046215243419</v>
      </c>
      <c r="AO68" s="112">
        <f t="shared" ca="1" si="381"/>
        <v>-26.759115042073439</v>
      </c>
      <c r="AP68" s="112">
        <f t="shared" ca="1" si="381"/>
        <v>-26.755601888312</v>
      </c>
      <c r="AQ68" s="112">
        <f t="shared" ca="1" si="381"/>
        <v>-26.413430778308033</v>
      </c>
      <c r="AR68" s="112">
        <f t="shared" ca="1" si="381"/>
        <v>-25.978145451485069</v>
      </c>
      <c r="AS68" s="112">
        <f t="shared" ca="1" si="381"/>
        <v>-25.869370359080428</v>
      </c>
      <c r="AT68" s="112">
        <f t="shared" ca="1" si="381"/>
        <v>-25.856902831517857</v>
      </c>
      <c r="AU68" s="112">
        <f t="shared" ca="1" si="381"/>
        <v>-25.492903232347246</v>
      </c>
      <c r="AV68" s="112">
        <f t="shared" ca="1" si="381"/>
        <v>-25.028137463504617</v>
      </c>
      <c r="AW68" s="112">
        <f t="shared" ca="1" si="381"/>
        <v>-24.89499625480137</v>
      </c>
      <c r="AX68" s="112">
        <f t="shared" ca="1" si="381"/>
        <v>-24.861474026662275</v>
      </c>
      <c r="AY68" s="112">
        <f t="shared" ca="1" si="381"/>
        <v>-24.466626070720039</v>
      </c>
      <c r="AZ68" s="112">
        <f t="shared" ca="1" si="381"/>
        <v>-23.968368547311307</v>
      </c>
      <c r="BA68" s="112">
        <f t="shared" ca="1" si="381"/>
        <v>-23.80901058916222</v>
      </c>
      <c r="BB68" s="112">
        <f t="shared" ca="1" si="381"/>
        <v>-23.751217048982117</v>
      </c>
      <c r="BC68" s="112">
        <f t="shared" ca="1" si="381"/>
        <v>-23.323459421201974</v>
      </c>
      <c r="BD68" s="112">
        <f t="shared" ca="1" si="381"/>
        <v>-22.804320657655822</v>
      </c>
      <c r="BE68" s="112">
        <f t="shared" ca="1" si="381"/>
        <v>-22.631445720130735</v>
      </c>
      <c r="BF68" s="112">
        <f t="shared" ca="1" si="381"/>
        <v>-22.560715443162984</v>
      </c>
      <c r="BG68" s="112">
        <f t="shared" ca="1" si="381"/>
        <v>-22.117275696781007</v>
      </c>
      <c r="BH68" s="112">
        <f t="shared" ca="1" si="381"/>
        <v>-21.566814682075009</v>
      </c>
      <c r="BI68" s="112">
        <f t="shared" ca="1" si="381"/>
        <v>-21.364974945800427</v>
      </c>
      <c r="BJ68" s="112">
        <f t="shared" ca="1" si="381"/>
        <v>-21.267255896705681</v>
      </c>
      <c r="BK68" s="112">
        <f t="shared" ca="1" si="381"/>
        <v>-20.787899972023837</v>
      </c>
      <c r="BL68" s="112">
        <f t="shared" ca="1" si="381"/>
        <v>-20.198687302571948</v>
      </c>
      <c r="BM68" s="112">
        <f t="shared" ca="1" si="381"/>
        <v>-19.965711731806138</v>
      </c>
      <c r="BN68" s="112">
        <f t="shared" ca="1" si="381"/>
        <v>-19.838855593595817</v>
      </c>
      <c r="BO68" s="112">
        <f t="shared" ca="1" si="381"/>
        <v>-19.321207314913085</v>
      </c>
      <c r="BP68" s="112">
        <f t="shared" ca="1" si="381"/>
        <v>-18.690778417152515</v>
      </c>
      <c r="BQ68" s="112">
        <f t="shared" ca="1" si="381"/>
        <v>-18.424353543459318</v>
      </c>
      <c r="BR68" s="112">
        <f t="shared" ca="1" si="381"/>
        <v>-18.266068681268337</v>
      </c>
      <c r="BS68" s="112">
        <f t="shared" ca="1" si="381"/>
        <v>-17.707601897568718</v>
      </c>
      <c r="BT68" s="112">
        <f t="shared" ref="BT68:EE68" ca="1" si="382">-BT194</f>
        <v>-17.033338743975907</v>
      </c>
      <c r="BU68" s="112">
        <f t="shared" ca="1" si="382"/>
        <v>-16.730999640737071</v>
      </c>
      <c r="BV68" s="112">
        <f t="shared" ca="1" si="382"/>
        <v>-16.538841968005045</v>
      </c>
      <c r="BW68" s="112">
        <f t="shared" ca="1" si="382"/>
        <v>-15.936871176982471</v>
      </c>
      <c r="BX68" s="112">
        <f t="shared" ca="1" si="382"/>
        <v>-15.215992739522388</v>
      </c>
      <c r="BY68" s="112">
        <f t="shared" ca="1" si="382"/>
        <v>-14.875113429055347</v>
      </c>
      <c r="BZ68" s="112">
        <f t="shared" ca="1" si="382"/>
        <v>-14.646476698293313</v>
      </c>
      <c r="CA68" s="112">
        <f t="shared" ca="1" si="382"/>
        <v>-13.998147083785623</v>
      </c>
      <c r="CB68" s="112">
        <f t="shared" ca="1" si="382"/>
        <v>-13.227699191149629</v>
      </c>
      <c r="CC68" s="112">
        <f t="shared" ca="1" si="382"/>
        <v>-12.845482448756982</v>
      </c>
      <c r="CD68" s="112">
        <f t="shared" ca="1" si="382"/>
        <v>-12.577587930692562</v>
      </c>
      <c r="CE68" s="112">
        <f t="shared" ca="1" si="382"/>
        <v>-11.879864776706158</v>
      </c>
      <c r="CF68" s="112">
        <f t="shared" ca="1" si="382"/>
        <v>-11.079445657650151</v>
      </c>
      <c r="CG68" s="112">
        <f t="shared" ca="1" si="382"/>
        <v>-10.675560520055249</v>
      </c>
      <c r="CH68" s="112">
        <f t="shared" ca="1" si="382"/>
        <v>-10.385953860864818</v>
      </c>
      <c r="CI68" s="112">
        <f t="shared" ca="1" si="382"/>
        <v>-9.6655393932941003</v>
      </c>
      <c r="CJ68" s="112">
        <f t="shared" ca="1" si="382"/>
        <v>-8.8192318294452345</v>
      </c>
      <c r="CK68" s="112">
        <f t="shared" ca="1" si="382"/>
        <v>-8.3699766432088758</v>
      </c>
      <c r="CL68" s="112">
        <f t="shared" ca="1" si="382"/>
        <v>-8.0370875397626147</v>
      </c>
      <c r="CM68" s="112">
        <f t="shared" ca="1" si="382"/>
        <v>-7.2629604353014408</v>
      </c>
      <c r="CN68" s="112">
        <f t="shared" ca="1" si="382"/>
        <v>-6.3594996450558039</v>
      </c>
      <c r="CO68" s="112">
        <f t="shared" ca="1" si="382"/>
        <v>-5.8616439273719365</v>
      </c>
      <c r="CP68" s="112">
        <f t="shared" ca="1" si="382"/>
        <v>-5.4822567962264896</v>
      </c>
      <c r="CQ68" s="112">
        <f t="shared" ca="1" si="382"/>
        <v>-4.6509285848536717</v>
      </c>
      <c r="CR68" s="112">
        <f t="shared" ca="1" si="382"/>
        <v>-3.6867131128103683</v>
      </c>
      <c r="CS68" s="112">
        <f t="shared" ca="1" si="382"/>
        <v>-3.136817150769911</v>
      </c>
      <c r="CT68" s="112">
        <f t="shared" ca="1" si="382"/>
        <v>-2.7075054636799596</v>
      </c>
      <c r="CU68" s="261">
        <f t="shared" ca="1" si="382"/>
        <v>-1.8152683796897389</v>
      </c>
      <c r="CV68" s="112">
        <f t="shared" si="382"/>
        <v>0</v>
      </c>
      <c r="CW68" s="112">
        <f t="shared" ca="1" si="382"/>
        <v>0</v>
      </c>
      <c r="CX68" s="112">
        <f t="shared" ca="1" si="382"/>
        <v>0</v>
      </c>
      <c r="CY68" s="112">
        <f t="shared" ca="1" si="382"/>
        <v>0</v>
      </c>
      <c r="CZ68" s="112">
        <f t="shared" ca="1" si="382"/>
        <v>0</v>
      </c>
      <c r="DA68" s="112">
        <f t="shared" ca="1" si="382"/>
        <v>0</v>
      </c>
      <c r="DB68" s="112">
        <f t="shared" ca="1" si="382"/>
        <v>0</v>
      </c>
      <c r="DC68" s="112">
        <f t="shared" ca="1" si="382"/>
        <v>0</v>
      </c>
      <c r="DD68" s="112">
        <f t="shared" ca="1" si="382"/>
        <v>0</v>
      </c>
      <c r="DE68" s="112">
        <f t="shared" ca="1" si="382"/>
        <v>0</v>
      </c>
      <c r="DF68" s="112">
        <f t="shared" ca="1" si="382"/>
        <v>0</v>
      </c>
      <c r="DG68" s="112">
        <f t="shared" ca="1" si="382"/>
        <v>0</v>
      </c>
      <c r="DH68" s="112">
        <f t="shared" ca="1" si="382"/>
        <v>0</v>
      </c>
      <c r="DI68" s="112">
        <f t="shared" ca="1" si="382"/>
        <v>0</v>
      </c>
      <c r="DJ68" s="112">
        <f t="shared" ca="1" si="382"/>
        <v>0</v>
      </c>
      <c r="DK68" s="112">
        <f t="shared" ca="1" si="382"/>
        <v>0</v>
      </c>
      <c r="DL68" s="112">
        <f t="shared" ca="1" si="382"/>
        <v>0</v>
      </c>
      <c r="DM68" s="112">
        <f t="shared" ca="1" si="382"/>
        <v>0</v>
      </c>
      <c r="DN68" s="112">
        <f t="shared" ca="1" si="382"/>
        <v>0</v>
      </c>
      <c r="DO68" s="112">
        <f t="shared" ca="1" si="382"/>
        <v>0</v>
      </c>
      <c r="DP68" s="112">
        <f t="shared" ca="1" si="382"/>
        <v>0</v>
      </c>
      <c r="DQ68" s="112">
        <f t="shared" ca="1" si="382"/>
        <v>0</v>
      </c>
      <c r="DR68" s="112">
        <f t="shared" ca="1" si="382"/>
        <v>0</v>
      </c>
      <c r="DS68" s="112">
        <f t="shared" ca="1" si="382"/>
        <v>0</v>
      </c>
      <c r="DT68" s="112">
        <f t="shared" ca="1" si="382"/>
        <v>0</v>
      </c>
      <c r="DU68" s="112">
        <f t="shared" ca="1" si="382"/>
        <v>0</v>
      </c>
      <c r="DV68" s="112">
        <f t="shared" ca="1" si="382"/>
        <v>0</v>
      </c>
      <c r="DW68" s="112">
        <f t="shared" ca="1" si="382"/>
        <v>0</v>
      </c>
      <c r="DX68" s="112">
        <f t="shared" ca="1" si="382"/>
        <v>0</v>
      </c>
      <c r="DY68" s="112">
        <f t="shared" ca="1" si="382"/>
        <v>0</v>
      </c>
      <c r="DZ68" s="112">
        <f t="shared" ca="1" si="382"/>
        <v>0</v>
      </c>
      <c r="EA68" s="112">
        <f t="shared" ca="1" si="382"/>
        <v>0</v>
      </c>
      <c r="EB68" s="112">
        <f t="shared" ca="1" si="382"/>
        <v>0</v>
      </c>
      <c r="EC68" s="112">
        <f t="shared" ca="1" si="382"/>
        <v>0</v>
      </c>
      <c r="ED68" s="112">
        <f t="shared" ca="1" si="382"/>
        <v>0</v>
      </c>
      <c r="EE68" s="112">
        <f t="shared" ca="1" si="382"/>
        <v>0</v>
      </c>
      <c r="EF68" s="112">
        <f t="shared" ref="EF68:FA68" ca="1" si="383">-EF194</f>
        <v>0</v>
      </c>
      <c r="EG68" s="112">
        <f t="shared" ca="1" si="383"/>
        <v>0</v>
      </c>
      <c r="EH68" s="112">
        <f t="shared" ca="1" si="383"/>
        <v>0</v>
      </c>
      <c r="EI68" s="112">
        <f t="shared" ca="1" si="383"/>
        <v>0</v>
      </c>
      <c r="EJ68" s="112">
        <f t="shared" ca="1" si="383"/>
        <v>0</v>
      </c>
      <c r="EK68" s="112">
        <f t="shared" ca="1" si="383"/>
        <v>0</v>
      </c>
      <c r="EL68" s="112">
        <f t="shared" ca="1" si="383"/>
        <v>0</v>
      </c>
      <c r="EM68" s="112">
        <f t="shared" ca="1" si="383"/>
        <v>0</v>
      </c>
      <c r="EN68" s="112">
        <f t="shared" ca="1" si="383"/>
        <v>0</v>
      </c>
      <c r="EO68" s="112">
        <f t="shared" ca="1" si="383"/>
        <v>0</v>
      </c>
      <c r="EP68" s="112">
        <f t="shared" ca="1" si="383"/>
        <v>0</v>
      </c>
      <c r="EQ68" s="112">
        <f t="shared" ca="1" si="383"/>
        <v>0</v>
      </c>
      <c r="ER68" s="112">
        <f t="shared" ca="1" si="383"/>
        <v>0</v>
      </c>
      <c r="ES68" s="112">
        <f t="shared" ca="1" si="383"/>
        <v>0</v>
      </c>
      <c r="ET68" s="112">
        <f t="shared" ca="1" si="383"/>
        <v>0</v>
      </c>
      <c r="EU68" s="112">
        <f t="shared" ca="1" si="383"/>
        <v>0</v>
      </c>
      <c r="EV68" s="112">
        <f t="shared" ca="1" si="383"/>
        <v>0</v>
      </c>
      <c r="EW68" s="112">
        <f t="shared" ca="1" si="383"/>
        <v>0</v>
      </c>
      <c r="EX68" s="112">
        <f t="shared" ca="1" si="383"/>
        <v>0</v>
      </c>
      <c r="EY68" s="112">
        <f t="shared" ca="1" si="383"/>
        <v>0</v>
      </c>
      <c r="EZ68" s="112">
        <f t="shared" ca="1" si="383"/>
        <v>0</v>
      </c>
      <c r="FA68" s="112">
        <f t="shared" ca="1" si="383"/>
        <v>0</v>
      </c>
    </row>
    <row r="69" spans="2:157" outlineLevel="1" x14ac:dyDescent="0.2">
      <c r="C69" s="39" t="s">
        <v>56</v>
      </c>
      <c r="D69" s="21" t="s">
        <v>126</v>
      </c>
      <c r="E69" s="5"/>
      <c r="F69" s="21"/>
      <c r="G69" s="106">
        <f>SUM(G64:G68)</f>
        <v>0</v>
      </c>
      <c r="H69" s="106">
        <f t="shared" ref="H69:BS69" ca="1" si="384">SUM(H64:H68)</f>
        <v>0</v>
      </c>
      <c r="I69" s="106">
        <f t="shared" ca="1" si="384"/>
        <v>0</v>
      </c>
      <c r="J69" s="106">
        <f t="shared" ca="1" si="384"/>
        <v>0</v>
      </c>
      <c r="K69" s="106">
        <f t="shared" ca="1" si="384"/>
        <v>0</v>
      </c>
      <c r="L69" s="106">
        <f t="shared" ca="1" si="384"/>
        <v>0</v>
      </c>
      <c r="M69" s="106">
        <f t="shared" ca="1" si="384"/>
        <v>-3.9458900099312837</v>
      </c>
      <c r="N69" s="106">
        <f t="shared" ca="1" si="384"/>
        <v>4.4420772435581455</v>
      </c>
      <c r="O69" s="106">
        <f t="shared" ca="1" si="384"/>
        <v>5.2412412097773515</v>
      </c>
      <c r="P69" s="106">
        <f t="shared" ca="1" si="384"/>
        <v>-6.6906948505075636</v>
      </c>
      <c r="Q69" s="106">
        <f t="shared" ca="1" si="384"/>
        <v>-5.6359895644313527</v>
      </c>
      <c r="R69" s="106">
        <f t="shared" ca="1" si="384"/>
        <v>27.594877733346294</v>
      </c>
      <c r="S69" s="106">
        <f t="shared" ca="1" si="384"/>
        <v>27.468944420867636</v>
      </c>
      <c r="T69" s="106">
        <f t="shared" ca="1" si="384"/>
        <v>-5.3601200203823893</v>
      </c>
      <c r="U69" s="106">
        <f t="shared" ca="1" si="384"/>
        <v>-3.9414705161656656</v>
      </c>
      <c r="V69" s="106">
        <f t="shared" ca="1" si="384"/>
        <v>32.041000038100442</v>
      </c>
      <c r="W69" s="106">
        <f t="shared" ca="1" si="384"/>
        <v>29.84156033852631</v>
      </c>
      <c r="X69" s="106">
        <f t="shared" ca="1" si="384"/>
        <v>-33.11416612782439</v>
      </c>
      <c r="Y69" s="106">
        <f t="shared" ca="1" si="384"/>
        <v>-31.356003220211512</v>
      </c>
      <c r="Z69" s="106">
        <f t="shared" ca="1" si="384"/>
        <v>5.7318882661088395</v>
      </c>
      <c r="AA69" s="106">
        <f t="shared" ca="1" si="384"/>
        <v>3.9492082628564731</v>
      </c>
      <c r="AB69" s="106">
        <f t="shared" ca="1" si="384"/>
        <v>-29.804847518691538</v>
      </c>
      <c r="AC69" s="106">
        <f t="shared" ca="1" si="384"/>
        <v>-28.033311822817051</v>
      </c>
      <c r="AD69" s="106">
        <f t="shared" ca="1" si="384"/>
        <v>9.8612782458551607</v>
      </c>
      <c r="AE69" s="106">
        <f t="shared" ca="1" si="384"/>
        <v>8.0123061936933269</v>
      </c>
      <c r="AF69" s="106">
        <f t="shared" ca="1" si="384"/>
        <v>-26.540859827973971</v>
      </c>
      <c r="AG69" s="106">
        <f t="shared" ca="1" si="384"/>
        <v>-24.752203282884683</v>
      </c>
      <c r="AH69" s="106">
        <f t="shared" ca="1" si="384"/>
        <v>13.970197225487603</v>
      </c>
      <c r="AI69" s="106">
        <f t="shared" ca="1" si="384"/>
        <v>11.036703567205763</v>
      </c>
      <c r="AJ69" s="106">
        <f t="shared" ca="1" si="384"/>
        <v>-23.970043641453728</v>
      </c>
      <c r="AK69" s="106">
        <f t="shared" ca="1" si="384"/>
        <v>-22.184620360439514</v>
      </c>
      <c r="AL69" s="106">
        <f t="shared" ca="1" si="384"/>
        <v>16.983577057987983</v>
      </c>
      <c r="AM69" s="106">
        <f t="shared" ca="1" si="384"/>
        <v>15.021920950598108</v>
      </c>
      <c r="AN69" s="106">
        <f t="shared" ca="1" si="384"/>
        <v>-20.809734747553478</v>
      </c>
      <c r="AO69" s="106">
        <f t="shared" ca="1" si="384"/>
        <v>-19.000848024469651</v>
      </c>
      <c r="AP69" s="106">
        <f t="shared" ca="1" si="384"/>
        <v>21.032634420308781</v>
      </c>
      <c r="AQ69" s="106">
        <f t="shared" ca="1" si="384"/>
        <v>18.337991315142219</v>
      </c>
      <c r="AR69" s="106">
        <f t="shared" ca="1" si="384"/>
        <v>-18.093752453635503</v>
      </c>
      <c r="AS69" s="106">
        <f t="shared" ca="1" si="384"/>
        <v>-16.273583210433134</v>
      </c>
      <c r="AT69" s="106">
        <f t="shared" ca="1" si="384"/>
        <v>24.386811029628817</v>
      </c>
      <c r="AU69" s="106">
        <f t="shared" ca="1" si="384"/>
        <v>22.31424068877142</v>
      </c>
      <c r="AV69" s="106">
        <f t="shared" ca="1" si="384"/>
        <v>-14.968080509018412</v>
      </c>
      <c r="AW69" s="106">
        <f t="shared" ca="1" si="384"/>
        <v>-13.117726988215797</v>
      </c>
      <c r="AX69" s="106">
        <f t="shared" ca="1" si="384"/>
        <v>28.463626922731141</v>
      </c>
      <c r="AY69" s="106">
        <f t="shared" ca="1" si="384"/>
        <v>26.333506384644323</v>
      </c>
      <c r="AZ69" s="106">
        <f t="shared" ca="1" si="384"/>
        <v>-11.813619899899143</v>
      </c>
      <c r="BA69" s="106">
        <f t="shared" ca="1" si="384"/>
        <v>-9.9291702038890506</v>
      </c>
      <c r="BB69" s="106">
        <f t="shared" ca="1" si="384"/>
        <v>32.598910392080526</v>
      </c>
      <c r="BC69" s="106">
        <f t="shared" ca="1" si="384"/>
        <v>28.710372975275448</v>
      </c>
      <c r="BD69" s="106">
        <f t="shared" ca="1" si="384"/>
        <v>-9.7163876530459259</v>
      </c>
      <c r="BE69" s="106">
        <f t="shared" ca="1" si="384"/>
        <v>-7.8340240439308957</v>
      </c>
      <c r="BF69" s="106">
        <f t="shared" ca="1" si="384"/>
        <v>34.978938453666871</v>
      </c>
      <c r="BG69" s="106">
        <f t="shared" ca="1" si="384"/>
        <v>32.763310187967889</v>
      </c>
      <c r="BH69" s="106">
        <f t="shared" ca="1" si="384"/>
        <v>-6.5543730767205179</v>
      </c>
      <c r="BI69" s="106">
        <f t="shared" ca="1" si="384"/>
        <v>-4.631833686098016</v>
      </c>
      <c r="BJ69" s="106">
        <f t="shared" ca="1" si="384"/>
        <v>39.161438228830477</v>
      </c>
      <c r="BK69" s="106">
        <f t="shared" ca="1" si="384"/>
        <v>36.893488727037919</v>
      </c>
      <c r="BL69" s="106">
        <f t="shared" ca="1" si="384"/>
        <v>-3.327233136685809</v>
      </c>
      <c r="BM69" s="106">
        <f t="shared" ca="1" si="384"/>
        <v>-1.3604949599715148</v>
      </c>
      <c r="BN69" s="106">
        <f t="shared" ca="1" si="384"/>
        <v>43.438682984606331</v>
      </c>
      <c r="BO69" s="106">
        <f t="shared" ca="1" si="384"/>
        <v>41.120308250910867</v>
      </c>
      <c r="BP69" s="106">
        <f t="shared" ca="1" si="384"/>
        <v>-2.1081181815567618E-2</v>
      </c>
      <c r="BQ69" s="106">
        <f t="shared" ca="1" si="384"/>
        <v>1.993965621835244</v>
      </c>
      <c r="BR69" s="106">
        <f t="shared" ca="1" si="384"/>
        <v>47.825231054190681</v>
      </c>
      <c r="BS69" s="106">
        <f t="shared" ca="1" si="384"/>
        <v>45.45837090342161</v>
      </c>
      <c r="BT69" s="106">
        <f t="shared" ref="BT69:EE69" ca="1" si="385">SUM(BT64:BT68)</f>
        <v>3.3782835372085884</v>
      </c>
      <c r="BU69" s="106">
        <f t="shared" ca="1" si="385"/>
        <v>5.4458492127312574</v>
      </c>
      <c r="BV69" s="106">
        <f t="shared" ca="1" si="385"/>
        <v>52.335993432178128</v>
      </c>
      <c r="BW69" s="106">
        <f t="shared" ca="1" si="385"/>
        <v>49.922644069375416</v>
      </c>
      <c r="BX69" s="106">
        <f t="shared" ca="1" si="385"/>
        <v>6.8854293764684158</v>
      </c>
      <c r="BY69" s="106">
        <f t="shared" ca="1" si="385"/>
        <v>9.0098384613666518</v>
      </c>
      <c r="BZ69" s="106">
        <f t="shared" ca="1" si="385"/>
        <v>56.986288197597517</v>
      </c>
      <c r="CA69" s="106">
        <f t="shared" ca="1" si="385"/>
        <v>54.528515117369253</v>
      </c>
      <c r="CB69" s="106">
        <f t="shared" ca="1" si="385"/>
        <v>10.515347137926003</v>
      </c>
      <c r="CC69" s="106">
        <f t="shared" ca="1" si="385"/>
        <v>12.701052722414385</v>
      </c>
      <c r="CD69" s="106">
        <f t="shared" ca="1" si="385"/>
        <v>61.791896375824919</v>
      </c>
      <c r="CE69" s="106">
        <f t="shared" ca="1" si="385"/>
        <v>56.667624884952161</v>
      </c>
      <c r="CF69" s="106">
        <f t="shared" ca="1" si="385"/>
        <v>12.586757696084145</v>
      </c>
      <c r="CG69" s="106">
        <f t="shared" ca="1" si="385"/>
        <v>14.77644973558828</v>
      </c>
      <c r="CH69" s="106">
        <f t="shared" ca="1" si="385"/>
        <v>63.952049212817371</v>
      </c>
      <c r="CI69" s="106">
        <f t="shared" ca="1" si="385"/>
        <v>61.448770105786366</v>
      </c>
      <c r="CJ69" s="106">
        <f t="shared" ca="1" si="385"/>
        <v>16.364773382986314</v>
      </c>
      <c r="CK69" s="106">
        <f t="shared" ca="1" si="385"/>
        <v>18.622092400713672</v>
      </c>
      <c r="CL69" s="106">
        <f t="shared" ca="1" si="385"/>
        <v>68.944441385661605</v>
      </c>
      <c r="CM69" s="106">
        <f t="shared" ca="1" si="385"/>
        <v>66.402681355348108</v>
      </c>
      <c r="CN69" s="106">
        <f t="shared" ca="1" si="385"/>
        <v>20.303780136988095</v>
      </c>
      <c r="CO69" s="106">
        <f t="shared" ca="1" si="385"/>
        <v>22.633486003594388</v>
      </c>
      <c r="CP69" s="106">
        <f t="shared" ca="1" si="385"/>
        <v>74.132126862192607</v>
      </c>
      <c r="CQ69" s="106">
        <f t="shared" ca="1" si="385"/>
        <v>71.554244618114723</v>
      </c>
      <c r="CR69" s="106">
        <f t="shared" ca="1" si="385"/>
        <v>24.420406827340074</v>
      </c>
      <c r="CS69" s="106">
        <f t="shared" ca="1" si="385"/>
        <v>26.827439693625561</v>
      </c>
      <c r="CT69" s="106">
        <f t="shared" ca="1" si="385"/>
        <v>79.532666849215147</v>
      </c>
      <c r="CU69" s="259">
        <f t="shared" ca="1" si="385"/>
        <v>77.179649522277927</v>
      </c>
      <c r="CV69" s="106">
        <f t="shared" ca="1" si="385"/>
        <v>-15.162368183403663</v>
      </c>
      <c r="CW69" s="106">
        <f t="shared" ca="1" si="385"/>
        <v>-14.332361992339619</v>
      </c>
      <c r="CX69" s="106">
        <f t="shared" ca="1" si="385"/>
        <v>11.264745942114299</v>
      </c>
      <c r="CY69" s="106">
        <f t="shared" ca="1" si="385"/>
        <v>8.3882463745793938</v>
      </c>
      <c r="CZ69" s="106">
        <f t="shared" ca="1" si="385"/>
        <v>-15.493635653580936</v>
      </c>
      <c r="DA69" s="106">
        <f t="shared" ca="1" si="385"/>
        <v>-14.675584338396494</v>
      </c>
      <c r="DB69" s="106">
        <f t="shared" ca="1" si="385"/>
        <v>11.071646854110934</v>
      </c>
      <c r="DC69" s="106">
        <f t="shared" ca="1" si="385"/>
        <v>9.2344505281666347</v>
      </c>
      <c r="DD69" s="106">
        <f t="shared" ca="1" si="385"/>
        <v>-15.209950265762215</v>
      </c>
      <c r="DE69" s="106">
        <f t="shared" ca="1" si="385"/>
        <v>-14.387363066917491</v>
      </c>
      <c r="DF69" s="106">
        <f t="shared" ca="1" si="385"/>
        <v>11.936716722551605</v>
      </c>
      <c r="DG69" s="106">
        <f t="shared" ca="1" si="385"/>
        <v>10.043491319865144</v>
      </c>
      <c r="DH69" s="106">
        <f t="shared" ca="1" si="385"/>
        <v>-14.975592006692359</v>
      </c>
      <c r="DI69" s="106">
        <f t="shared" ca="1" si="385"/>
        <v>-14.147631085215371</v>
      </c>
      <c r="DJ69" s="106">
        <f t="shared" ca="1" si="385"/>
        <v>12.767257601497978</v>
      </c>
      <c r="DK69" s="106">
        <f t="shared" ca="1" si="385"/>
        <v>10.817426944344701</v>
      </c>
      <c r="DL69" s="106">
        <f t="shared" ca="1" si="385"/>
        <v>-14.7888299475152</v>
      </c>
      <c r="DM69" s="106">
        <f t="shared" ca="1" si="385"/>
        <v>-13.95468562866092</v>
      </c>
      <c r="DN69" s="106">
        <f t="shared" ca="1" si="385"/>
        <v>13.565245955436382</v>
      </c>
      <c r="DO69" s="106">
        <f t="shared" ca="1" si="385"/>
        <v>11.558174646410038</v>
      </c>
      <c r="DP69" s="106">
        <f t="shared" ca="1" si="385"/>
        <v>-14.648078827195908</v>
      </c>
      <c r="DQ69" s="106">
        <f t="shared" ca="1" si="385"/>
        <v>-13.80696749755521</v>
      </c>
      <c r="DR69" s="106">
        <f t="shared" ca="1" si="385"/>
        <v>14.33252367172463</v>
      </c>
      <c r="DS69" s="106">
        <f t="shared" ca="1" si="385"/>
        <v>12.26751839881867</v>
      </c>
      <c r="DT69" s="106">
        <f t="shared" ca="1" si="385"/>
        <v>-14.551891653174808</v>
      </c>
      <c r="DU69" s="106">
        <f t="shared" ca="1" si="385"/>
        <v>-13.703053777122514</v>
      </c>
      <c r="DV69" s="106">
        <f t="shared" ca="1" si="385"/>
        <v>15.070805381822273</v>
      </c>
      <c r="DW69" s="106">
        <f t="shared" ca="1" si="385"/>
        <v>12.947116090930614</v>
      </c>
      <c r="DX69" s="106">
        <f t="shared" ca="1" si="385"/>
        <v>-14.49895278744232</v>
      </c>
      <c r="DY69" s="106">
        <f t="shared" ca="1" si="385"/>
        <v>-13.641651035681841</v>
      </c>
      <c r="DZ69" s="106">
        <f t="shared" ca="1" si="385"/>
        <v>15.78168531511613</v>
      </c>
      <c r="EA69" s="106">
        <f t="shared" ca="1" si="385"/>
        <v>13.59850625658679</v>
      </c>
      <c r="EB69" s="106">
        <f t="shared" ca="1" si="385"/>
        <v>-14.488071490162485</v>
      </c>
      <c r="EC69" s="106">
        <f t="shared" ca="1" si="385"/>
        <v>-13.621588973558785</v>
      </c>
      <c r="ED69" s="106">
        <f t="shared" ca="1" si="385"/>
        <v>16.466643712435207</v>
      </c>
      <c r="EE69" s="106">
        <f t="shared" ca="1" si="385"/>
        <v>14.223114367880692</v>
      </c>
      <c r="EF69" s="106">
        <f t="shared" ref="EF69:FA69" ca="1" si="386">SUM(EF64:EF68)</f>
        <v>-14.518175894680658</v>
      </c>
      <c r="EG69" s="106">
        <f t="shared" ca="1" si="386"/>
        <v>-13.641814496982224</v>
      </c>
      <c r="EH69" s="106">
        <f t="shared" ca="1" si="386"/>
        <v>17.127052824693475</v>
      </c>
      <c r="EI69" s="106">
        <f t="shared" ca="1" si="386"/>
        <v>14.822258719855405</v>
      </c>
      <c r="EJ69" s="106">
        <f t="shared" ca="1" si="386"/>
        <v>0</v>
      </c>
      <c r="EK69" s="106">
        <f t="shared" ca="1" si="386"/>
        <v>0</v>
      </c>
      <c r="EL69" s="106">
        <f t="shared" ca="1" si="386"/>
        <v>0</v>
      </c>
      <c r="EM69" s="106">
        <f t="shared" ca="1" si="386"/>
        <v>0</v>
      </c>
      <c r="EN69" s="106">
        <f t="shared" ca="1" si="386"/>
        <v>0</v>
      </c>
      <c r="EO69" s="106">
        <f t="shared" ca="1" si="386"/>
        <v>0</v>
      </c>
      <c r="EP69" s="106">
        <f t="shared" ca="1" si="386"/>
        <v>0</v>
      </c>
      <c r="EQ69" s="106">
        <f t="shared" ca="1" si="386"/>
        <v>0</v>
      </c>
      <c r="ER69" s="106">
        <f t="shared" ca="1" si="386"/>
        <v>0</v>
      </c>
      <c r="ES69" s="106">
        <f t="shared" ca="1" si="386"/>
        <v>0</v>
      </c>
      <c r="ET69" s="106">
        <f t="shared" ca="1" si="386"/>
        <v>0</v>
      </c>
      <c r="EU69" s="106">
        <f t="shared" ca="1" si="386"/>
        <v>0</v>
      </c>
      <c r="EV69" s="106">
        <f t="shared" ca="1" si="386"/>
        <v>0</v>
      </c>
      <c r="EW69" s="106">
        <f t="shared" ca="1" si="386"/>
        <v>0</v>
      </c>
      <c r="EX69" s="106">
        <f t="shared" ca="1" si="386"/>
        <v>0</v>
      </c>
      <c r="EY69" s="106">
        <f t="shared" ca="1" si="386"/>
        <v>0</v>
      </c>
      <c r="EZ69" s="106">
        <f t="shared" ca="1" si="386"/>
        <v>0</v>
      </c>
      <c r="FA69" s="106">
        <f t="shared" ca="1" si="386"/>
        <v>0</v>
      </c>
    </row>
    <row r="70" spans="2:157" outlineLevel="1" x14ac:dyDescent="0.2">
      <c r="C70" s="59" t="s">
        <v>55</v>
      </c>
      <c r="D70" s="32" t="s">
        <v>126</v>
      </c>
      <c r="E70" s="43"/>
      <c r="F70" s="32"/>
      <c r="G70" s="112">
        <f t="shared" ref="G70:AL70" si="387">-MAX(G69,0)*Tax_Rate</f>
        <v>0</v>
      </c>
      <c r="H70" s="112">
        <f t="shared" ca="1" si="387"/>
        <v>0</v>
      </c>
      <c r="I70" s="112">
        <f t="shared" ca="1" si="387"/>
        <v>0</v>
      </c>
      <c r="J70" s="112">
        <f t="shared" ca="1" si="387"/>
        <v>0</v>
      </c>
      <c r="K70" s="112">
        <f t="shared" ca="1" si="387"/>
        <v>0</v>
      </c>
      <c r="L70" s="112">
        <f t="shared" ca="1" si="387"/>
        <v>0</v>
      </c>
      <c r="M70" s="112">
        <f t="shared" ca="1" si="387"/>
        <v>0</v>
      </c>
      <c r="N70" s="112">
        <f t="shared" ca="1" si="387"/>
        <v>-1.1105193108895364</v>
      </c>
      <c r="O70" s="112">
        <f t="shared" ca="1" si="387"/>
        <v>-1.3103103024443379</v>
      </c>
      <c r="P70" s="112">
        <f t="shared" ca="1" si="387"/>
        <v>0</v>
      </c>
      <c r="Q70" s="112">
        <f t="shared" ca="1" si="387"/>
        <v>0</v>
      </c>
      <c r="R70" s="112">
        <f t="shared" ca="1" si="387"/>
        <v>-6.8987194333365736</v>
      </c>
      <c r="S70" s="112">
        <f t="shared" ca="1" si="387"/>
        <v>-6.8672361052169091</v>
      </c>
      <c r="T70" s="112">
        <f t="shared" ca="1" si="387"/>
        <v>0</v>
      </c>
      <c r="U70" s="112">
        <f t="shared" ca="1" si="387"/>
        <v>0</v>
      </c>
      <c r="V70" s="112">
        <f t="shared" ca="1" si="387"/>
        <v>-8.0102500095251106</v>
      </c>
      <c r="W70" s="112">
        <f t="shared" ca="1" si="387"/>
        <v>-7.4603900846315776</v>
      </c>
      <c r="X70" s="112">
        <f t="shared" ca="1" si="387"/>
        <v>0</v>
      </c>
      <c r="Y70" s="112">
        <f t="shared" ca="1" si="387"/>
        <v>0</v>
      </c>
      <c r="Z70" s="112">
        <f t="shared" ca="1" si="387"/>
        <v>-1.4329720665272099</v>
      </c>
      <c r="AA70" s="112">
        <f t="shared" ca="1" si="387"/>
        <v>-0.98730206571411827</v>
      </c>
      <c r="AB70" s="112">
        <f t="shared" ca="1" si="387"/>
        <v>0</v>
      </c>
      <c r="AC70" s="112">
        <f t="shared" ca="1" si="387"/>
        <v>0</v>
      </c>
      <c r="AD70" s="112">
        <f t="shared" ca="1" si="387"/>
        <v>-2.4653195614637902</v>
      </c>
      <c r="AE70" s="112">
        <f t="shared" ca="1" si="387"/>
        <v>-2.0030765484233317</v>
      </c>
      <c r="AF70" s="112">
        <f t="shared" ca="1" si="387"/>
        <v>0</v>
      </c>
      <c r="AG70" s="112">
        <f t="shared" ca="1" si="387"/>
        <v>0</v>
      </c>
      <c r="AH70" s="112">
        <f t="shared" ca="1" si="387"/>
        <v>-3.4925493063719006</v>
      </c>
      <c r="AI70" s="112">
        <f t="shared" ca="1" si="387"/>
        <v>-2.7591758918014406</v>
      </c>
      <c r="AJ70" s="112">
        <f t="shared" ca="1" si="387"/>
        <v>0</v>
      </c>
      <c r="AK70" s="112">
        <f t="shared" ca="1" si="387"/>
        <v>0</v>
      </c>
      <c r="AL70" s="112">
        <f t="shared" ca="1" si="387"/>
        <v>-4.2458942644969957</v>
      </c>
      <c r="AM70" s="112">
        <f t="shared" ref="AM70:BR70" ca="1" si="388">-MAX(AM69,0)*Tax_Rate</f>
        <v>-3.7554802376495271</v>
      </c>
      <c r="AN70" s="112">
        <f t="shared" ca="1" si="388"/>
        <v>0</v>
      </c>
      <c r="AO70" s="112">
        <f t="shared" ca="1" si="388"/>
        <v>0</v>
      </c>
      <c r="AP70" s="112">
        <f t="shared" ca="1" si="388"/>
        <v>-5.2581586050771953</v>
      </c>
      <c r="AQ70" s="112">
        <f t="shared" ca="1" si="388"/>
        <v>-4.5844978287855547</v>
      </c>
      <c r="AR70" s="112">
        <f t="shared" ca="1" si="388"/>
        <v>0</v>
      </c>
      <c r="AS70" s="112">
        <f t="shared" ca="1" si="388"/>
        <v>0</v>
      </c>
      <c r="AT70" s="112">
        <f t="shared" ca="1" si="388"/>
        <v>-6.0967027574072041</v>
      </c>
      <c r="AU70" s="112">
        <f t="shared" ca="1" si="388"/>
        <v>-5.578560172192855</v>
      </c>
      <c r="AV70" s="112">
        <f t="shared" ca="1" si="388"/>
        <v>0</v>
      </c>
      <c r="AW70" s="112">
        <f t="shared" ca="1" si="388"/>
        <v>0</v>
      </c>
      <c r="AX70" s="112">
        <f t="shared" ca="1" si="388"/>
        <v>-7.1159067306827852</v>
      </c>
      <c r="AY70" s="112">
        <f t="shared" ca="1" si="388"/>
        <v>-6.5833765961610808</v>
      </c>
      <c r="AZ70" s="112">
        <f t="shared" ca="1" si="388"/>
        <v>0</v>
      </c>
      <c r="BA70" s="112">
        <f t="shared" ca="1" si="388"/>
        <v>0</v>
      </c>
      <c r="BB70" s="112">
        <f t="shared" ca="1" si="388"/>
        <v>-8.1497275980201316</v>
      </c>
      <c r="BC70" s="112">
        <f t="shared" ca="1" si="388"/>
        <v>-7.1775932438188619</v>
      </c>
      <c r="BD70" s="112">
        <f t="shared" ca="1" si="388"/>
        <v>0</v>
      </c>
      <c r="BE70" s="112">
        <f t="shared" ca="1" si="388"/>
        <v>0</v>
      </c>
      <c r="BF70" s="112">
        <f t="shared" ca="1" si="388"/>
        <v>-8.7447346134167177</v>
      </c>
      <c r="BG70" s="112">
        <f t="shared" ca="1" si="388"/>
        <v>-8.1908275469919722</v>
      </c>
      <c r="BH70" s="112">
        <f t="shared" ca="1" si="388"/>
        <v>0</v>
      </c>
      <c r="BI70" s="112">
        <f t="shared" ca="1" si="388"/>
        <v>0</v>
      </c>
      <c r="BJ70" s="112">
        <f t="shared" ca="1" si="388"/>
        <v>-9.7903595572076192</v>
      </c>
      <c r="BK70" s="112">
        <f t="shared" ca="1" si="388"/>
        <v>-9.2233721817594798</v>
      </c>
      <c r="BL70" s="112">
        <f t="shared" ca="1" si="388"/>
        <v>0</v>
      </c>
      <c r="BM70" s="112">
        <f t="shared" ca="1" si="388"/>
        <v>0</v>
      </c>
      <c r="BN70" s="112">
        <f t="shared" ca="1" si="388"/>
        <v>-10.859670746151583</v>
      </c>
      <c r="BO70" s="112">
        <f t="shared" ca="1" si="388"/>
        <v>-10.280077062727717</v>
      </c>
      <c r="BP70" s="112">
        <f t="shared" ca="1" si="388"/>
        <v>0</v>
      </c>
      <c r="BQ70" s="112">
        <f t="shared" ca="1" si="388"/>
        <v>-0.49849140545881099</v>
      </c>
      <c r="BR70" s="112">
        <f t="shared" ca="1" si="388"/>
        <v>-11.95630776354767</v>
      </c>
      <c r="BS70" s="112">
        <f t="shared" ref="BS70:CX70" ca="1" si="389">-MAX(BS69,0)*Tax_Rate</f>
        <v>-11.364592725855402</v>
      </c>
      <c r="BT70" s="112">
        <f t="shared" ca="1" si="389"/>
        <v>-0.84457088430214711</v>
      </c>
      <c r="BU70" s="112">
        <f t="shared" ca="1" si="389"/>
        <v>-1.3614623031828144</v>
      </c>
      <c r="BV70" s="112">
        <f t="shared" ca="1" si="389"/>
        <v>-13.083998358044532</v>
      </c>
      <c r="BW70" s="112">
        <f t="shared" ca="1" si="389"/>
        <v>-12.480661017343854</v>
      </c>
      <c r="BX70" s="112">
        <f t="shared" ca="1" si="389"/>
        <v>-1.7213573441171039</v>
      </c>
      <c r="BY70" s="112">
        <f t="shared" ca="1" si="389"/>
        <v>-2.2524596153416629</v>
      </c>
      <c r="BZ70" s="112">
        <f t="shared" ca="1" si="389"/>
        <v>-14.246572049399379</v>
      </c>
      <c r="CA70" s="112">
        <f t="shared" ca="1" si="389"/>
        <v>-13.632128779342313</v>
      </c>
      <c r="CB70" s="112">
        <f t="shared" ca="1" si="389"/>
        <v>-2.6288367844815008</v>
      </c>
      <c r="CC70" s="112">
        <f t="shared" ca="1" si="389"/>
        <v>-3.1752631806035962</v>
      </c>
      <c r="CD70" s="112">
        <f t="shared" ca="1" si="389"/>
        <v>-15.44797409395623</v>
      </c>
      <c r="CE70" s="112">
        <f t="shared" ca="1" si="389"/>
        <v>-14.16690622123804</v>
      </c>
      <c r="CF70" s="112">
        <f t="shared" ca="1" si="389"/>
        <v>-3.1466894240210364</v>
      </c>
      <c r="CG70" s="112">
        <f t="shared" ca="1" si="389"/>
        <v>-3.6941124338970699</v>
      </c>
      <c r="CH70" s="112">
        <f t="shared" ca="1" si="389"/>
        <v>-15.988012303204343</v>
      </c>
      <c r="CI70" s="112">
        <f t="shared" ca="1" si="389"/>
        <v>-15.362192526446592</v>
      </c>
      <c r="CJ70" s="112">
        <f t="shared" ca="1" si="389"/>
        <v>-4.0911933457465786</v>
      </c>
      <c r="CK70" s="112">
        <f t="shared" ca="1" si="389"/>
        <v>-4.6555231001784181</v>
      </c>
      <c r="CL70" s="112">
        <f t="shared" ca="1" si="389"/>
        <v>-17.236110346415401</v>
      </c>
      <c r="CM70" s="112">
        <f t="shared" ca="1" si="389"/>
        <v>-16.600670338837027</v>
      </c>
      <c r="CN70" s="112">
        <f t="shared" ca="1" si="389"/>
        <v>-5.0759450342470238</v>
      </c>
      <c r="CO70" s="112">
        <f t="shared" ca="1" si="389"/>
        <v>-5.6583715008985971</v>
      </c>
      <c r="CP70" s="112">
        <f t="shared" ca="1" si="389"/>
        <v>-18.533031715548152</v>
      </c>
      <c r="CQ70" s="112">
        <f t="shared" ca="1" si="389"/>
        <v>-17.888561154528681</v>
      </c>
      <c r="CR70" s="112">
        <f t="shared" ca="1" si="389"/>
        <v>-6.1051017068350184</v>
      </c>
      <c r="CS70" s="112">
        <f t="shared" ca="1" si="389"/>
        <v>-6.7068599234063901</v>
      </c>
      <c r="CT70" s="112">
        <f t="shared" ca="1" si="389"/>
        <v>-19.883166712303787</v>
      </c>
      <c r="CU70" s="261">
        <f t="shared" ca="1" si="389"/>
        <v>-19.294912380569482</v>
      </c>
      <c r="CV70" s="112">
        <f t="shared" ca="1" si="389"/>
        <v>0</v>
      </c>
      <c r="CW70" s="112">
        <f t="shared" ca="1" si="389"/>
        <v>0</v>
      </c>
      <c r="CX70" s="112">
        <f t="shared" ca="1" si="389"/>
        <v>-2.8161864855285748</v>
      </c>
      <c r="CY70" s="112">
        <f t="shared" ref="CY70:ED70" ca="1" si="390">-MAX(CY69,0)*Tax_Rate</f>
        <v>-2.0970615936448485</v>
      </c>
      <c r="CZ70" s="112">
        <f t="shared" ca="1" si="390"/>
        <v>0</v>
      </c>
      <c r="DA70" s="112">
        <f t="shared" ca="1" si="390"/>
        <v>0</v>
      </c>
      <c r="DB70" s="112">
        <f t="shared" ca="1" si="390"/>
        <v>-2.7679117135277336</v>
      </c>
      <c r="DC70" s="112">
        <f t="shared" ca="1" si="390"/>
        <v>-2.3086126320416587</v>
      </c>
      <c r="DD70" s="112">
        <f t="shared" ca="1" si="390"/>
        <v>0</v>
      </c>
      <c r="DE70" s="112">
        <f t="shared" ca="1" si="390"/>
        <v>0</v>
      </c>
      <c r="DF70" s="112">
        <f t="shared" ca="1" si="390"/>
        <v>-2.9841791806379012</v>
      </c>
      <c r="DG70" s="112">
        <f t="shared" ca="1" si="390"/>
        <v>-2.5108728299662859</v>
      </c>
      <c r="DH70" s="112">
        <f t="shared" ca="1" si="390"/>
        <v>0</v>
      </c>
      <c r="DI70" s="112">
        <f t="shared" ca="1" si="390"/>
        <v>0</v>
      </c>
      <c r="DJ70" s="112">
        <f t="shared" ca="1" si="390"/>
        <v>-3.1918144003744944</v>
      </c>
      <c r="DK70" s="112">
        <f t="shared" ca="1" si="390"/>
        <v>-2.7043567360861753</v>
      </c>
      <c r="DL70" s="112">
        <f t="shared" ca="1" si="390"/>
        <v>0</v>
      </c>
      <c r="DM70" s="112">
        <f t="shared" ca="1" si="390"/>
        <v>0</v>
      </c>
      <c r="DN70" s="112">
        <f t="shared" ca="1" si="390"/>
        <v>-3.3913114888590954</v>
      </c>
      <c r="DO70" s="112">
        <f t="shared" ca="1" si="390"/>
        <v>-2.8895436616025094</v>
      </c>
      <c r="DP70" s="112">
        <f t="shared" ca="1" si="390"/>
        <v>0</v>
      </c>
      <c r="DQ70" s="112">
        <f t="shared" ca="1" si="390"/>
        <v>0</v>
      </c>
      <c r="DR70" s="112">
        <f t="shared" ca="1" si="390"/>
        <v>-3.5831309179311575</v>
      </c>
      <c r="DS70" s="112">
        <f t="shared" ca="1" si="390"/>
        <v>-3.0668795997046674</v>
      </c>
      <c r="DT70" s="112">
        <f t="shared" ca="1" si="390"/>
        <v>0</v>
      </c>
      <c r="DU70" s="112">
        <f t="shared" ca="1" si="390"/>
        <v>0</v>
      </c>
      <c r="DV70" s="112">
        <f t="shared" ca="1" si="390"/>
        <v>-3.7677013454555683</v>
      </c>
      <c r="DW70" s="112">
        <f t="shared" ca="1" si="390"/>
        <v>-3.2367790227326534</v>
      </c>
      <c r="DX70" s="112">
        <f t="shared" ca="1" si="390"/>
        <v>0</v>
      </c>
      <c r="DY70" s="112">
        <f t="shared" ca="1" si="390"/>
        <v>0</v>
      </c>
      <c r="DZ70" s="112">
        <f t="shared" ca="1" si="390"/>
        <v>-3.9454213287790325</v>
      </c>
      <c r="EA70" s="112">
        <f t="shared" ca="1" si="390"/>
        <v>-3.3996265641466974</v>
      </c>
      <c r="EB70" s="112">
        <f t="shared" ca="1" si="390"/>
        <v>0</v>
      </c>
      <c r="EC70" s="112">
        <f t="shared" ca="1" si="390"/>
        <v>0</v>
      </c>
      <c r="ED70" s="112">
        <f t="shared" ca="1" si="390"/>
        <v>-4.1166609281088018</v>
      </c>
      <c r="EE70" s="112">
        <f t="shared" ref="EE70:FA70" ca="1" si="391">-MAX(EE69,0)*Tax_Rate</f>
        <v>-3.555778591970173</v>
      </c>
      <c r="EF70" s="112">
        <f t="shared" ca="1" si="391"/>
        <v>0</v>
      </c>
      <c r="EG70" s="112">
        <f t="shared" ca="1" si="391"/>
        <v>0</v>
      </c>
      <c r="EH70" s="112">
        <f t="shared" ca="1" si="391"/>
        <v>-4.2817632061733688</v>
      </c>
      <c r="EI70" s="112">
        <f t="shared" ca="1" si="391"/>
        <v>-3.7055646799638513</v>
      </c>
      <c r="EJ70" s="112">
        <f t="shared" ca="1" si="391"/>
        <v>0</v>
      </c>
      <c r="EK70" s="112">
        <f t="shared" ca="1" si="391"/>
        <v>0</v>
      </c>
      <c r="EL70" s="112">
        <f t="shared" ca="1" si="391"/>
        <v>0</v>
      </c>
      <c r="EM70" s="112">
        <f t="shared" ca="1" si="391"/>
        <v>0</v>
      </c>
      <c r="EN70" s="112">
        <f t="shared" ca="1" si="391"/>
        <v>0</v>
      </c>
      <c r="EO70" s="112">
        <f t="shared" ca="1" si="391"/>
        <v>0</v>
      </c>
      <c r="EP70" s="112">
        <f t="shared" ca="1" si="391"/>
        <v>0</v>
      </c>
      <c r="EQ70" s="112">
        <f t="shared" ca="1" si="391"/>
        <v>0</v>
      </c>
      <c r="ER70" s="112">
        <f t="shared" ca="1" si="391"/>
        <v>0</v>
      </c>
      <c r="ES70" s="112">
        <f t="shared" ca="1" si="391"/>
        <v>0</v>
      </c>
      <c r="ET70" s="112">
        <f t="shared" ca="1" si="391"/>
        <v>0</v>
      </c>
      <c r="EU70" s="112">
        <f t="shared" ca="1" si="391"/>
        <v>0</v>
      </c>
      <c r="EV70" s="112">
        <f t="shared" ca="1" si="391"/>
        <v>0</v>
      </c>
      <c r="EW70" s="112">
        <f t="shared" ca="1" si="391"/>
        <v>0</v>
      </c>
      <c r="EX70" s="112">
        <f t="shared" ca="1" si="391"/>
        <v>0</v>
      </c>
      <c r="EY70" s="112">
        <f t="shared" ca="1" si="391"/>
        <v>0</v>
      </c>
      <c r="EZ70" s="112">
        <f t="shared" ca="1" si="391"/>
        <v>0</v>
      </c>
      <c r="FA70" s="112">
        <f t="shared" ca="1" si="391"/>
        <v>0</v>
      </c>
    </row>
    <row r="71" spans="2:157" s="2" customFormat="1" outlineLevel="1" x14ac:dyDescent="0.2">
      <c r="C71" s="39" t="s">
        <v>42</v>
      </c>
      <c r="D71" s="31" t="s">
        <v>126</v>
      </c>
      <c r="E71" s="214"/>
      <c r="F71" s="31"/>
      <c r="G71" s="106">
        <f>SUM(G69:G70)</f>
        <v>0</v>
      </c>
      <c r="H71" s="106">
        <f t="shared" ref="H71:BS71" ca="1" si="392">SUM(H69:H70)</f>
        <v>0</v>
      </c>
      <c r="I71" s="106">
        <f t="shared" ca="1" si="392"/>
        <v>0</v>
      </c>
      <c r="J71" s="106">
        <f t="shared" ca="1" si="392"/>
        <v>0</v>
      </c>
      <c r="K71" s="106">
        <f t="shared" ca="1" si="392"/>
        <v>0</v>
      </c>
      <c r="L71" s="106">
        <f t="shared" ca="1" si="392"/>
        <v>0</v>
      </c>
      <c r="M71" s="106">
        <f t="shared" ca="1" si="392"/>
        <v>-3.9458900099312837</v>
      </c>
      <c r="N71" s="106">
        <f t="shared" ca="1" si="392"/>
        <v>3.3315579326686091</v>
      </c>
      <c r="O71" s="106">
        <f t="shared" ca="1" si="392"/>
        <v>3.9309309073330136</v>
      </c>
      <c r="P71" s="106">
        <f t="shared" ca="1" si="392"/>
        <v>-6.6906948505075636</v>
      </c>
      <c r="Q71" s="106">
        <f t="shared" ca="1" si="392"/>
        <v>-5.6359895644313527</v>
      </c>
      <c r="R71" s="106">
        <f t="shared" ca="1" si="392"/>
        <v>20.696158300009721</v>
      </c>
      <c r="S71" s="106">
        <f t="shared" ca="1" si="392"/>
        <v>20.601708315650725</v>
      </c>
      <c r="T71" s="106">
        <f t="shared" ca="1" si="392"/>
        <v>-5.3601200203823893</v>
      </c>
      <c r="U71" s="106">
        <f t="shared" ca="1" si="392"/>
        <v>-3.9414705161656656</v>
      </c>
      <c r="V71" s="106">
        <f t="shared" ca="1" si="392"/>
        <v>24.030750028575333</v>
      </c>
      <c r="W71" s="106">
        <f t="shared" ca="1" si="392"/>
        <v>22.381170253894734</v>
      </c>
      <c r="X71" s="106">
        <f t="shared" ca="1" si="392"/>
        <v>-33.11416612782439</v>
      </c>
      <c r="Y71" s="106">
        <f t="shared" ca="1" si="392"/>
        <v>-31.356003220211512</v>
      </c>
      <c r="Z71" s="106">
        <f t="shared" ca="1" si="392"/>
        <v>4.2989161995816296</v>
      </c>
      <c r="AA71" s="106">
        <f t="shared" ca="1" si="392"/>
        <v>2.9619061971423548</v>
      </c>
      <c r="AB71" s="106">
        <f t="shared" ca="1" si="392"/>
        <v>-29.804847518691538</v>
      </c>
      <c r="AC71" s="106">
        <f t="shared" ca="1" si="392"/>
        <v>-28.033311822817051</v>
      </c>
      <c r="AD71" s="106">
        <f t="shared" ca="1" si="392"/>
        <v>7.3959586843913705</v>
      </c>
      <c r="AE71" s="106">
        <f t="shared" ca="1" si="392"/>
        <v>6.0092296452699951</v>
      </c>
      <c r="AF71" s="106">
        <f t="shared" ca="1" si="392"/>
        <v>-26.540859827973971</v>
      </c>
      <c r="AG71" s="106">
        <f t="shared" ca="1" si="392"/>
        <v>-24.752203282884683</v>
      </c>
      <c r="AH71" s="106">
        <f t="shared" ca="1" si="392"/>
        <v>10.477647919115702</v>
      </c>
      <c r="AI71" s="106">
        <f t="shared" ca="1" si="392"/>
        <v>8.2775276754043219</v>
      </c>
      <c r="AJ71" s="106">
        <f t="shared" ca="1" si="392"/>
        <v>-23.970043641453728</v>
      </c>
      <c r="AK71" s="106">
        <f t="shared" ca="1" si="392"/>
        <v>-22.184620360439514</v>
      </c>
      <c r="AL71" s="106">
        <f t="shared" ca="1" si="392"/>
        <v>12.737682793490986</v>
      </c>
      <c r="AM71" s="106">
        <f t="shared" ca="1" si="392"/>
        <v>11.266440712948581</v>
      </c>
      <c r="AN71" s="106">
        <f t="shared" ca="1" si="392"/>
        <v>-20.809734747553478</v>
      </c>
      <c r="AO71" s="106">
        <f t="shared" ca="1" si="392"/>
        <v>-19.000848024469651</v>
      </c>
      <c r="AP71" s="106">
        <f t="shared" ca="1" si="392"/>
        <v>15.774475815231586</v>
      </c>
      <c r="AQ71" s="106">
        <f t="shared" ca="1" si="392"/>
        <v>13.753493486356664</v>
      </c>
      <c r="AR71" s="106">
        <f t="shared" ca="1" si="392"/>
        <v>-18.093752453635503</v>
      </c>
      <c r="AS71" s="106">
        <f t="shared" ca="1" si="392"/>
        <v>-16.273583210433134</v>
      </c>
      <c r="AT71" s="106">
        <f t="shared" ca="1" si="392"/>
        <v>18.290108272221612</v>
      </c>
      <c r="AU71" s="106">
        <f t="shared" ca="1" si="392"/>
        <v>16.735680516578565</v>
      </c>
      <c r="AV71" s="106">
        <f t="shared" ca="1" si="392"/>
        <v>-14.968080509018412</v>
      </c>
      <c r="AW71" s="106">
        <f t="shared" ca="1" si="392"/>
        <v>-13.117726988215797</v>
      </c>
      <c r="AX71" s="106">
        <f t="shared" ca="1" si="392"/>
        <v>21.347720192048357</v>
      </c>
      <c r="AY71" s="106">
        <f t="shared" ca="1" si="392"/>
        <v>19.750129788483243</v>
      </c>
      <c r="AZ71" s="106">
        <f t="shared" ca="1" si="392"/>
        <v>-11.813619899899143</v>
      </c>
      <c r="BA71" s="106">
        <f t="shared" ca="1" si="392"/>
        <v>-9.9291702038890506</v>
      </c>
      <c r="BB71" s="106">
        <f t="shared" ca="1" si="392"/>
        <v>24.449182794060395</v>
      </c>
      <c r="BC71" s="106">
        <f t="shared" ca="1" si="392"/>
        <v>21.532779731456586</v>
      </c>
      <c r="BD71" s="106">
        <f t="shared" ca="1" si="392"/>
        <v>-9.7163876530459259</v>
      </c>
      <c r="BE71" s="106">
        <f t="shared" ca="1" si="392"/>
        <v>-7.8340240439308957</v>
      </c>
      <c r="BF71" s="106">
        <f t="shared" ca="1" si="392"/>
        <v>26.234203840250153</v>
      </c>
      <c r="BG71" s="106">
        <f t="shared" ca="1" si="392"/>
        <v>24.572482640975917</v>
      </c>
      <c r="BH71" s="106">
        <f t="shared" ca="1" si="392"/>
        <v>-6.5543730767205179</v>
      </c>
      <c r="BI71" s="106">
        <f t="shared" ca="1" si="392"/>
        <v>-4.631833686098016</v>
      </c>
      <c r="BJ71" s="106">
        <f t="shared" ca="1" si="392"/>
        <v>29.371078671622858</v>
      </c>
      <c r="BK71" s="106">
        <f t="shared" ca="1" si="392"/>
        <v>27.670116545278439</v>
      </c>
      <c r="BL71" s="106">
        <f t="shared" ca="1" si="392"/>
        <v>-3.327233136685809</v>
      </c>
      <c r="BM71" s="106">
        <f t="shared" ca="1" si="392"/>
        <v>-1.3604949599715148</v>
      </c>
      <c r="BN71" s="106">
        <f t="shared" ca="1" si="392"/>
        <v>32.579012238454752</v>
      </c>
      <c r="BO71" s="106">
        <f t="shared" ca="1" si="392"/>
        <v>30.84023118818315</v>
      </c>
      <c r="BP71" s="106">
        <f t="shared" ca="1" si="392"/>
        <v>-2.1081181815567618E-2</v>
      </c>
      <c r="BQ71" s="106">
        <f t="shared" ca="1" si="392"/>
        <v>1.495474216376433</v>
      </c>
      <c r="BR71" s="106">
        <f t="shared" ca="1" si="392"/>
        <v>35.868923290643011</v>
      </c>
      <c r="BS71" s="106">
        <f t="shared" ca="1" si="392"/>
        <v>34.093778177566207</v>
      </c>
      <c r="BT71" s="106">
        <f t="shared" ref="BT71:EE71" ca="1" si="393">SUM(BT69:BT70)</f>
        <v>2.5337126529064413</v>
      </c>
      <c r="BU71" s="106">
        <f t="shared" ca="1" si="393"/>
        <v>4.0843869095484431</v>
      </c>
      <c r="BV71" s="106">
        <f t="shared" ca="1" si="393"/>
        <v>39.251995074133596</v>
      </c>
      <c r="BW71" s="106">
        <f t="shared" ca="1" si="393"/>
        <v>37.44198305203156</v>
      </c>
      <c r="BX71" s="106">
        <f t="shared" ca="1" si="393"/>
        <v>5.1640720323513118</v>
      </c>
      <c r="BY71" s="106">
        <f t="shared" ca="1" si="393"/>
        <v>6.7573788460249888</v>
      </c>
      <c r="BZ71" s="106">
        <f t="shared" ca="1" si="393"/>
        <v>42.739716148198141</v>
      </c>
      <c r="CA71" s="106">
        <f t="shared" ca="1" si="393"/>
        <v>40.896386338026943</v>
      </c>
      <c r="CB71" s="106">
        <f t="shared" ca="1" si="393"/>
        <v>7.8865103534445025</v>
      </c>
      <c r="CC71" s="106">
        <f t="shared" ca="1" si="393"/>
        <v>9.5257895418107879</v>
      </c>
      <c r="CD71" s="106">
        <f t="shared" ca="1" si="393"/>
        <v>46.343922281868686</v>
      </c>
      <c r="CE71" s="106">
        <f t="shared" ca="1" si="393"/>
        <v>42.500718663714125</v>
      </c>
      <c r="CF71" s="106">
        <f t="shared" ca="1" si="393"/>
        <v>9.4400682720631082</v>
      </c>
      <c r="CG71" s="106">
        <f t="shared" ca="1" si="393"/>
        <v>11.08233730169121</v>
      </c>
      <c r="CH71" s="106">
        <f t="shared" ca="1" si="393"/>
        <v>47.964036909613029</v>
      </c>
      <c r="CI71" s="106">
        <f t="shared" ca="1" si="393"/>
        <v>46.086577579339775</v>
      </c>
      <c r="CJ71" s="106">
        <f t="shared" ca="1" si="393"/>
        <v>12.273580037239736</v>
      </c>
      <c r="CK71" s="106">
        <f t="shared" ca="1" si="393"/>
        <v>13.966569300535255</v>
      </c>
      <c r="CL71" s="106">
        <f t="shared" ca="1" si="393"/>
        <v>51.708331039246204</v>
      </c>
      <c r="CM71" s="106">
        <f t="shared" ca="1" si="393"/>
        <v>49.802011016511081</v>
      </c>
      <c r="CN71" s="106">
        <f t="shared" ca="1" si="393"/>
        <v>15.227835102741071</v>
      </c>
      <c r="CO71" s="106">
        <f t="shared" ca="1" si="393"/>
        <v>16.975114502695792</v>
      </c>
      <c r="CP71" s="106">
        <f t="shared" ca="1" si="393"/>
        <v>55.599095146644459</v>
      </c>
      <c r="CQ71" s="106">
        <f t="shared" ca="1" si="393"/>
        <v>53.665683463586042</v>
      </c>
      <c r="CR71" s="106">
        <f t="shared" ca="1" si="393"/>
        <v>18.315305120505055</v>
      </c>
      <c r="CS71" s="106">
        <f t="shared" ca="1" si="393"/>
        <v>20.12057977021917</v>
      </c>
      <c r="CT71" s="106">
        <f t="shared" ca="1" si="393"/>
        <v>59.649500136911357</v>
      </c>
      <c r="CU71" s="259">
        <f t="shared" ca="1" si="393"/>
        <v>57.884737141708442</v>
      </c>
      <c r="CV71" s="106">
        <f t="shared" ca="1" si="393"/>
        <v>-15.162368183403663</v>
      </c>
      <c r="CW71" s="106">
        <f t="shared" ca="1" si="393"/>
        <v>-14.332361992339619</v>
      </c>
      <c r="CX71" s="106">
        <f t="shared" ca="1" si="393"/>
        <v>8.4485594565857234</v>
      </c>
      <c r="CY71" s="106">
        <f t="shared" ca="1" si="393"/>
        <v>6.2911847809345449</v>
      </c>
      <c r="CZ71" s="106">
        <f t="shared" ca="1" si="393"/>
        <v>-15.493635653580936</v>
      </c>
      <c r="DA71" s="106">
        <f t="shared" ca="1" si="393"/>
        <v>-14.675584338396494</v>
      </c>
      <c r="DB71" s="106">
        <f t="shared" ca="1" si="393"/>
        <v>8.3037351405831998</v>
      </c>
      <c r="DC71" s="106">
        <f t="shared" ca="1" si="393"/>
        <v>6.9258378961249765</v>
      </c>
      <c r="DD71" s="106">
        <f t="shared" ca="1" si="393"/>
        <v>-15.209950265762215</v>
      </c>
      <c r="DE71" s="106">
        <f t="shared" ca="1" si="393"/>
        <v>-14.387363066917491</v>
      </c>
      <c r="DF71" s="106">
        <f t="shared" ca="1" si="393"/>
        <v>8.9525375419137028</v>
      </c>
      <c r="DG71" s="106">
        <f t="shared" ca="1" si="393"/>
        <v>7.5326184898988577</v>
      </c>
      <c r="DH71" s="106">
        <f t="shared" ca="1" si="393"/>
        <v>-14.975592006692359</v>
      </c>
      <c r="DI71" s="106">
        <f t="shared" ca="1" si="393"/>
        <v>-14.147631085215371</v>
      </c>
      <c r="DJ71" s="106">
        <f t="shared" ca="1" si="393"/>
        <v>9.575443201123484</v>
      </c>
      <c r="DK71" s="106">
        <f t="shared" ca="1" si="393"/>
        <v>8.1130702082585255</v>
      </c>
      <c r="DL71" s="106">
        <f t="shared" ca="1" si="393"/>
        <v>-14.7888299475152</v>
      </c>
      <c r="DM71" s="106">
        <f t="shared" ca="1" si="393"/>
        <v>-13.95468562866092</v>
      </c>
      <c r="DN71" s="106">
        <f t="shared" ca="1" si="393"/>
        <v>10.173934466577286</v>
      </c>
      <c r="DO71" s="106">
        <f t="shared" ca="1" si="393"/>
        <v>8.6686309848075283</v>
      </c>
      <c r="DP71" s="106">
        <f t="shared" ca="1" si="393"/>
        <v>-14.648078827195908</v>
      </c>
      <c r="DQ71" s="106">
        <f t="shared" ca="1" si="393"/>
        <v>-13.80696749755521</v>
      </c>
      <c r="DR71" s="106">
        <f t="shared" ca="1" si="393"/>
        <v>10.749392753793472</v>
      </c>
      <c r="DS71" s="106">
        <f t="shared" ca="1" si="393"/>
        <v>9.2006387991140031</v>
      </c>
      <c r="DT71" s="106">
        <f t="shared" ca="1" si="393"/>
        <v>-14.551891653174808</v>
      </c>
      <c r="DU71" s="106">
        <f t="shared" ca="1" si="393"/>
        <v>-13.703053777122514</v>
      </c>
      <c r="DV71" s="106">
        <f t="shared" ca="1" si="393"/>
        <v>11.303104036366705</v>
      </c>
      <c r="DW71" s="106">
        <f t="shared" ca="1" si="393"/>
        <v>9.7103370681979602</v>
      </c>
      <c r="DX71" s="106">
        <f t="shared" ca="1" si="393"/>
        <v>-14.49895278744232</v>
      </c>
      <c r="DY71" s="106">
        <f t="shared" ca="1" si="393"/>
        <v>-13.641651035681841</v>
      </c>
      <c r="DZ71" s="106">
        <f t="shared" ca="1" si="393"/>
        <v>11.836263986337098</v>
      </c>
      <c r="EA71" s="106">
        <f t="shared" ca="1" si="393"/>
        <v>10.198879692440093</v>
      </c>
      <c r="EB71" s="106">
        <f t="shared" ca="1" si="393"/>
        <v>-14.488071490162485</v>
      </c>
      <c r="EC71" s="106">
        <f t="shared" ca="1" si="393"/>
        <v>-13.621588973558785</v>
      </c>
      <c r="ED71" s="106">
        <f t="shared" ca="1" si="393"/>
        <v>12.349982784326405</v>
      </c>
      <c r="EE71" s="106">
        <f t="shared" ca="1" si="393"/>
        <v>10.667335775910519</v>
      </c>
      <c r="EF71" s="106">
        <f t="shared" ref="EF71:FA71" ca="1" si="394">SUM(EF69:EF70)</f>
        <v>-14.518175894680658</v>
      </c>
      <c r="EG71" s="106">
        <f t="shared" ca="1" si="394"/>
        <v>-13.641814496982224</v>
      </c>
      <c r="EH71" s="106">
        <f t="shared" ca="1" si="394"/>
        <v>12.845289618520106</v>
      </c>
      <c r="EI71" s="106">
        <f t="shared" ca="1" si="394"/>
        <v>11.116694039891554</v>
      </c>
      <c r="EJ71" s="106">
        <f t="shared" ca="1" si="394"/>
        <v>0</v>
      </c>
      <c r="EK71" s="106">
        <f t="shared" ca="1" si="394"/>
        <v>0</v>
      </c>
      <c r="EL71" s="106">
        <f t="shared" ca="1" si="394"/>
        <v>0</v>
      </c>
      <c r="EM71" s="106">
        <f t="shared" ca="1" si="394"/>
        <v>0</v>
      </c>
      <c r="EN71" s="106">
        <f t="shared" ca="1" si="394"/>
        <v>0</v>
      </c>
      <c r="EO71" s="106">
        <f t="shared" ca="1" si="394"/>
        <v>0</v>
      </c>
      <c r="EP71" s="106">
        <f t="shared" ca="1" si="394"/>
        <v>0</v>
      </c>
      <c r="EQ71" s="106">
        <f t="shared" ca="1" si="394"/>
        <v>0</v>
      </c>
      <c r="ER71" s="106">
        <f t="shared" ca="1" si="394"/>
        <v>0</v>
      </c>
      <c r="ES71" s="106">
        <f t="shared" ca="1" si="394"/>
        <v>0</v>
      </c>
      <c r="ET71" s="106">
        <f t="shared" ca="1" si="394"/>
        <v>0</v>
      </c>
      <c r="EU71" s="106">
        <f t="shared" ca="1" si="394"/>
        <v>0</v>
      </c>
      <c r="EV71" s="106">
        <f t="shared" ca="1" si="394"/>
        <v>0</v>
      </c>
      <c r="EW71" s="106">
        <f t="shared" ca="1" si="394"/>
        <v>0</v>
      </c>
      <c r="EX71" s="106">
        <f t="shared" ca="1" si="394"/>
        <v>0</v>
      </c>
      <c r="EY71" s="106">
        <f t="shared" ca="1" si="394"/>
        <v>0</v>
      </c>
      <c r="EZ71" s="106">
        <f t="shared" ca="1" si="394"/>
        <v>0</v>
      </c>
      <c r="FA71" s="106">
        <f t="shared" ca="1" si="394"/>
        <v>0</v>
      </c>
    </row>
    <row r="72" spans="2:157" s="2" customFormat="1" outlineLevel="1" x14ac:dyDescent="0.2">
      <c r="C72" s="39"/>
      <c r="D72" s="31"/>
      <c r="E72" s="214"/>
      <c r="F72" s="31"/>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262"/>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c r="EU72" s="13"/>
      <c r="EV72" s="13"/>
      <c r="EW72" s="13"/>
      <c r="EX72" s="13"/>
      <c r="EY72" s="13"/>
      <c r="EZ72" s="13"/>
      <c r="FA72" s="13"/>
    </row>
    <row r="73" spans="2:157" s="2" customFormat="1" outlineLevel="1" x14ac:dyDescent="0.2">
      <c r="C73" s="97" t="s">
        <v>121</v>
      </c>
      <c r="D73" s="21" t="s">
        <v>126</v>
      </c>
      <c r="E73" s="214"/>
      <c r="F73" s="31"/>
      <c r="G73" s="107">
        <f>F76</f>
        <v>0</v>
      </c>
      <c r="H73" s="107">
        <f t="shared" ref="H73:P73" si="395">G76</f>
        <v>0</v>
      </c>
      <c r="I73" s="107">
        <f t="shared" ca="1" si="395"/>
        <v>0</v>
      </c>
      <c r="J73" s="107">
        <f t="shared" ca="1" si="395"/>
        <v>0</v>
      </c>
      <c r="K73" s="107">
        <f t="shared" ca="1" si="395"/>
        <v>0</v>
      </c>
      <c r="L73" s="107">
        <f t="shared" ca="1" si="395"/>
        <v>0</v>
      </c>
      <c r="M73" s="107">
        <f t="shared" ca="1" si="395"/>
        <v>0</v>
      </c>
      <c r="N73" s="107">
        <f t="shared" ca="1" si="395"/>
        <v>3.9458900099312837</v>
      </c>
      <c r="O73" s="107">
        <f t="shared" ca="1" si="395"/>
        <v>0</v>
      </c>
      <c r="P73" s="107">
        <f t="shared" ca="1" si="395"/>
        <v>0</v>
      </c>
      <c r="Q73" s="107">
        <f t="shared" ref="Q73:CB73" ca="1" si="396">P76</f>
        <v>6.6906948505075636</v>
      </c>
      <c r="R73" s="107">
        <f t="shared" ca="1" si="396"/>
        <v>12.326684414938917</v>
      </c>
      <c r="S73" s="107">
        <f t="shared" ca="1" si="396"/>
        <v>0</v>
      </c>
      <c r="T73" s="107">
        <f t="shared" ca="1" si="396"/>
        <v>0</v>
      </c>
      <c r="U73" s="107">
        <f t="shared" ca="1" si="396"/>
        <v>5.3601200203823893</v>
      </c>
      <c r="V73" s="107">
        <f t="shared" ca="1" si="396"/>
        <v>9.3015905365480549</v>
      </c>
      <c r="W73" s="107">
        <f t="shared" ca="1" si="396"/>
        <v>0</v>
      </c>
      <c r="X73" s="107">
        <f t="shared" ca="1" si="396"/>
        <v>0</v>
      </c>
      <c r="Y73" s="107">
        <f t="shared" ca="1" si="396"/>
        <v>33.11416612782439</v>
      </c>
      <c r="Z73" s="107">
        <f t="shared" ca="1" si="396"/>
        <v>64.47016934803591</v>
      </c>
      <c r="AA73" s="107">
        <f t="shared" ca="1" si="396"/>
        <v>58.73828108192707</v>
      </c>
      <c r="AB73" s="107">
        <f t="shared" ca="1" si="396"/>
        <v>54.789072819070597</v>
      </c>
      <c r="AC73" s="107">
        <f t="shared" ca="1" si="396"/>
        <v>84.593920337762142</v>
      </c>
      <c r="AD73" s="107">
        <f t="shared" ca="1" si="396"/>
        <v>112.6272321605792</v>
      </c>
      <c r="AE73" s="107">
        <f t="shared" ca="1" si="396"/>
        <v>102.76595391472404</v>
      </c>
      <c r="AF73" s="107">
        <f t="shared" ca="1" si="396"/>
        <v>94.753647721030717</v>
      </c>
      <c r="AG73" s="107">
        <f t="shared" ca="1" si="396"/>
        <v>121.29450754900469</v>
      </c>
      <c r="AH73" s="107">
        <f t="shared" ca="1" si="396"/>
        <v>146.04671083188938</v>
      </c>
      <c r="AI73" s="107">
        <f t="shared" ca="1" si="396"/>
        <v>132.07651360640179</v>
      </c>
      <c r="AJ73" s="107">
        <f t="shared" ca="1" si="396"/>
        <v>121.03981003919603</v>
      </c>
      <c r="AK73" s="107">
        <f t="shared" ca="1" si="396"/>
        <v>145.00985368064977</v>
      </c>
      <c r="AL73" s="107">
        <f t="shared" ca="1" si="396"/>
        <v>167.19447404108928</v>
      </c>
      <c r="AM73" s="107">
        <f t="shared" ca="1" si="396"/>
        <v>150.21089698310129</v>
      </c>
      <c r="AN73" s="107">
        <f t="shared" ca="1" si="396"/>
        <v>135.18897603250318</v>
      </c>
      <c r="AO73" s="107">
        <f t="shared" ca="1" si="396"/>
        <v>155.99871078005665</v>
      </c>
      <c r="AP73" s="107">
        <f t="shared" ca="1" si="396"/>
        <v>174.99955880452632</v>
      </c>
      <c r="AQ73" s="107">
        <f t="shared" ca="1" si="396"/>
        <v>153.96692438421752</v>
      </c>
      <c r="AR73" s="107">
        <f t="shared" ca="1" si="396"/>
        <v>135.62893306907529</v>
      </c>
      <c r="AS73" s="107">
        <f t="shared" ca="1" si="396"/>
        <v>153.72268552271078</v>
      </c>
      <c r="AT73" s="107">
        <f t="shared" ca="1" si="396"/>
        <v>169.99626873314392</v>
      </c>
      <c r="AU73" s="107">
        <f t="shared" ca="1" si="396"/>
        <v>145.60945770351509</v>
      </c>
      <c r="AV73" s="107">
        <f t="shared" ca="1" si="396"/>
        <v>123.29521701474367</v>
      </c>
      <c r="AW73" s="107">
        <f t="shared" ca="1" si="396"/>
        <v>138.26329752376208</v>
      </c>
      <c r="AX73" s="107">
        <f t="shared" ca="1" si="396"/>
        <v>151.38102451197787</v>
      </c>
      <c r="AY73" s="107">
        <f t="shared" ca="1" si="396"/>
        <v>122.91739758924673</v>
      </c>
      <c r="AZ73" s="107">
        <f t="shared" ca="1" si="396"/>
        <v>96.583891204602409</v>
      </c>
      <c r="BA73" s="107">
        <f t="shared" ca="1" si="396"/>
        <v>108.39751110450155</v>
      </c>
      <c r="BB73" s="107">
        <f t="shared" ca="1" si="396"/>
        <v>118.32668130839059</v>
      </c>
      <c r="BC73" s="107">
        <f t="shared" ca="1" si="396"/>
        <v>85.727770916310064</v>
      </c>
      <c r="BD73" s="107">
        <f t="shared" ca="1" si="396"/>
        <v>57.017397941034616</v>
      </c>
      <c r="BE73" s="107">
        <f t="shared" ca="1" si="396"/>
        <v>66.733785594080544</v>
      </c>
      <c r="BF73" s="107">
        <f t="shared" ca="1" si="396"/>
        <v>74.56780963801144</v>
      </c>
      <c r="BG73" s="107">
        <f t="shared" ca="1" si="396"/>
        <v>39.588871184344569</v>
      </c>
      <c r="BH73" s="107">
        <f t="shared" ca="1" si="396"/>
        <v>6.8255609963766801</v>
      </c>
      <c r="BI73" s="107">
        <f t="shared" ca="1" si="396"/>
        <v>13.379934073097198</v>
      </c>
      <c r="BJ73" s="107">
        <f t="shared" ca="1" si="396"/>
        <v>18.011767759195216</v>
      </c>
      <c r="BK73" s="107">
        <f t="shared" ca="1" si="396"/>
        <v>0</v>
      </c>
      <c r="BL73" s="107">
        <f t="shared" ca="1" si="396"/>
        <v>0</v>
      </c>
      <c r="BM73" s="107">
        <f t="shared" ca="1" si="396"/>
        <v>3.327233136685809</v>
      </c>
      <c r="BN73" s="107">
        <f t="shared" ca="1" si="396"/>
        <v>4.6877280966573238</v>
      </c>
      <c r="BO73" s="107">
        <f t="shared" ca="1" si="396"/>
        <v>0</v>
      </c>
      <c r="BP73" s="107">
        <f t="shared" ca="1" si="396"/>
        <v>0</v>
      </c>
      <c r="BQ73" s="107">
        <f t="shared" ca="1" si="396"/>
        <v>2.1081181815567618E-2</v>
      </c>
      <c r="BR73" s="107">
        <f t="shared" ca="1" si="396"/>
        <v>0</v>
      </c>
      <c r="BS73" s="107">
        <f t="shared" ca="1" si="396"/>
        <v>0</v>
      </c>
      <c r="BT73" s="107">
        <f t="shared" ca="1" si="396"/>
        <v>0</v>
      </c>
      <c r="BU73" s="107">
        <f t="shared" ca="1" si="396"/>
        <v>0</v>
      </c>
      <c r="BV73" s="107">
        <f t="shared" ca="1" si="396"/>
        <v>0</v>
      </c>
      <c r="BW73" s="107">
        <f t="shared" ca="1" si="396"/>
        <v>0</v>
      </c>
      <c r="BX73" s="107">
        <f t="shared" ca="1" si="396"/>
        <v>0</v>
      </c>
      <c r="BY73" s="107">
        <f t="shared" ca="1" si="396"/>
        <v>0</v>
      </c>
      <c r="BZ73" s="107">
        <f t="shared" ca="1" si="396"/>
        <v>0</v>
      </c>
      <c r="CA73" s="107">
        <f t="shared" ca="1" si="396"/>
        <v>0</v>
      </c>
      <c r="CB73" s="107">
        <f t="shared" ca="1" si="396"/>
        <v>0</v>
      </c>
      <c r="CC73" s="107">
        <f t="shared" ref="CC73:EN73" ca="1" si="397">CB76</f>
        <v>0</v>
      </c>
      <c r="CD73" s="107">
        <f t="shared" ca="1" si="397"/>
        <v>0</v>
      </c>
      <c r="CE73" s="107">
        <f t="shared" ca="1" si="397"/>
        <v>0</v>
      </c>
      <c r="CF73" s="107">
        <f t="shared" ca="1" si="397"/>
        <v>0</v>
      </c>
      <c r="CG73" s="107">
        <f t="shared" ca="1" si="397"/>
        <v>0</v>
      </c>
      <c r="CH73" s="107">
        <f t="shared" ca="1" si="397"/>
        <v>0</v>
      </c>
      <c r="CI73" s="107">
        <f t="shared" ca="1" si="397"/>
        <v>0</v>
      </c>
      <c r="CJ73" s="107">
        <f t="shared" ca="1" si="397"/>
        <v>0</v>
      </c>
      <c r="CK73" s="107">
        <f t="shared" ca="1" si="397"/>
        <v>0</v>
      </c>
      <c r="CL73" s="107">
        <f t="shared" ca="1" si="397"/>
        <v>0</v>
      </c>
      <c r="CM73" s="107">
        <f t="shared" ca="1" si="397"/>
        <v>0</v>
      </c>
      <c r="CN73" s="107">
        <f t="shared" ca="1" si="397"/>
        <v>0</v>
      </c>
      <c r="CO73" s="107">
        <f t="shared" ca="1" si="397"/>
        <v>0</v>
      </c>
      <c r="CP73" s="107">
        <f t="shared" ca="1" si="397"/>
        <v>0</v>
      </c>
      <c r="CQ73" s="107">
        <f t="shared" ca="1" si="397"/>
        <v>0</v>
      </c>
      <c r="CR73" s="107">
        <f t="shared" ca="1" si="397"/>
        <v>0</v>
      </c>
      <c r="CS73" s="107">
        <f t="shared" ca="1" si="397"/>
        <v>0</v>
      </c>
      <c r="CT73" s="107">
        <f t="shared" ca="1" si="397"/>
        <v>0</v>
      </c>
      <c r="CU73" s="263">
        <f t="shared" ca="1" si="397"/>
        <v>0</v>
      </c>
      <c r="CV73" s="107">
        <f t="shared" ca="1" si="397"/>
        <v>0</v>
      </c>
      <c r="CW73" s="107">
        <f t="shared" ca="1" si="397"/>
        <v>15.162368183403663</v>
      </c>
      <c r="CX73" s="107">
        <f t="shared" ca="1" si="397"/>
        <v>29.494730175743282</v>
      </c>
      <c r="CY73" s="107">
        <f t="shared" ca="1" si="397"/>
        <v>18.229984233628983</v>
      </c>
      <c r="CZ73" s="107">
        <f t="shared" ca="1" si="397"/>
        <v>9.841737859049589</v>
      </c>
      <c r="DA73" s="107">
        <f t="shared" ca="1" si="397"/>
        <v>25.335373512630525</v>
      </c>
      <c r="DB73" s="107">
        <f t="shared" ca="1" si="397"/>
        <v>40.010957851027015</v>
      </c>
      <c r="DC73" s="107">
        <f t="shared" ca="1" si="397"/>
        <v>28.939310996916081</v>
      </c>
      <c r="DD73" s="107">
        <f t="shared" ca="1" si="397"/>
        <v>19.704860468749445</v>
      </c>
      <c r="DE73" s="107">
        <f t="shared" ca="1" si="397"/>
        <v>34.914810734511661</v>
      </c>
      <c r="DF73" s="107">
        <f t="shared" ca="1" si="397"/>
        <v>49.302173801429149</v>
      </c>
      <c r="DG73" s="107">
        <f t="shared" ca="1" si="397"/>
        <v>37.36545707887754</v>
      </c>
      <c r="DH73" s="107">
        <f t="shared" ca="1" si="397"/>
        <v>27.321965759012397</v>
      </c>
      <c r="DI73" s="107">
        <f t="shared" ca="1" si="397"/>
        <v>42.297557765704752</v>
      </c>
      <c r="DJ73" s="107">
        <f t="shared" ca="1" si="397"/>
        <v>56.445188850920125</v>
      </c>
      <c r="DK73" s="107">
        <f t="shared" ca="1" si="397"/>
        <v>43.677931249422144</v>
      </c>
      <c r="DL73" s="107">
        <f t="shared" ca="1" si="397"/>
        <v>32.860504305077441</v>
      </c>
      <c r="DM73" s="107">
        <f t="shared" ca="1" si="397"/>
        <v>47.649334252592638</v>
      </c>
      <c r="DN73" s="107">
        <f t="shared" ca="1" si="397"/>
        <v>61.604019881253556</v>
      </c>
      <c r="DO73" s="107">
        <f t="shared" ca="1" si="397"/>
        <v>48.038773925817175</v>
      </c>
      <c r="DP73" s="107">
        <f t="shared" ca="1" si="397"/>
        <v>36.480599279407137</v>
      </c>
      <c r="DQ73" s="107">
        <f t="shared" ca="1" si="397"/>
        <v>51.128678106603047</v>
      </c>
      <c r="DR73" s="107">
        <f t="shared" ca="1" si="397"/>
        <v>64.935645604158253</v>
      </c>
      <c r="DS73" s="107">
        <f t="shared" ca="1" si="397"/>
        <v>50.603121932433623</v>
      </c>
      <c r="DT73" s="107">
        <f t="shared" ca="1" si="397"/>
        <v>38.335603533614957</v>
      </c>
      <c r="DU73" s="107">
        <f t="shared" ca="1" si="397"/>
        <v>52.887495186789764</v>
      </c>
      <c r="DV73" s="107">
        <f t="shared" ca="1" si="397"/>
        <v>66.590548963912283</v>
      </c>
      <c r="DW73" s="107">
        <f t="shared" ca="1" si="397"/>
        <v>51.519743582090008</v>
      </c>
      <c r="DX73" s="107">
        <f t="shared" ca="1" si="397"/>
        <v>38.572627491159395</v>
      </c>
      <c r="DY73" s="107">
        <f t="shared" ca="1" si="397"/>
        <v>53.071580278601715</v>
      </c>
      <c r="DZ73" s="107">
        <f t="shared" ca="1" si="397"/>
        <v>66.713231314283561</v>
      </c>
      <c r="EA73" s="107">
        <f t="shared" ca="1" si="397"/>
        <v>50.931545999167433</v>
      </c>
      <c r="EB73" s="107">
        <f t="shared" ca="1" si="397"/>
        <v>37.333039742580645</v>
      </c>
      <c r="EC73" s="107">
        <f t="shared" ca="1" si="397"/>
        <v>51.821111232743128</v>
      </c>
      <c r="ED73" s="107">
        <f t="shared" ca="1" si="397"/>
        <v>65.442700206301907</v>
      </c>
      <c r="EE73" s="107">
        <f t="shared" ca="1" si="397"/>
        <v>48.9760564938667</v>
      </c>
      <c r="EF73" s="107">
        <f t="shared" ca="1" si="397"/>
        <v>34.75294212598601</v>
      </c>
      <c r="EG73" s="107">
        <f t="shared" ca="1" si="397"/>
        <v>49.27111802066667</v>
      </c>
      <c r="EH73" s="107">
        <f t="shared" ca="1" si="397"/>
        <v>62.912932517648898</v>
      </c>
      <c r="EI73" s="107">
        <f t="shared" ca="1" si="397"/>
        <v>45.785879692955419</v>
      </c>
      <c r="EJ73" s="107">
        <f t="shared" ca="1" si="397"/>
        <v>30.963620973100014</v>
      </c>
      <c r="EK73" s="107">
        <f t="shared" ca="1" si="397"/>
        <v>30.963620973100014</v>
      </c>
      <c r="EL73" s="107">
        <f t="shared" ca="1" si="397"/>
        <v>30.963620973100014</v>
      </c>
      <c r="EM73" s="107">
        <f t="shared" ca="1" si="397"/>
        <v>30.963620973100014</v>
      </c>
      <c r="EN73" s="107">
        <f t="shared" ca="1" si="397"/>
        <v>30.963620973100014</v>
      </c>
      <c r="EO73" s="107">
        <f t="shared" ref="EO73:FA73" ca="1" si="398">EN76</f>
        <v>30.963620973100014</v>
      </c>
      <c r="EP73" s="107">
        <f t="shared" ca="1" si="398"/>
        <v>30.963620973100014</v>
      </c>
      <c r="EQ73" s="107">
        <f t="shared" ca="1" si="398"/>
        <v>30.963620973100014</v>
      </c>
      <c r="ER73" s="107">
        <f t="shared" ca="1" si="398"/>
        <v>30.963620973100014</v>
      </c>
      <c r="ES73" s="107">
        <f t="shared" ca="1" si="398"/>
        <v>30.963620973100014</v>
      </c>
      <c r="ET73" s="107">
        <f t="shared" ca="1" si="398"/>
        <v>30.963620973100014</v>
      </c>
      <c r="EU73" s="107">
        <f t="shared" ca="1" si="398"/>
        <v>30.963620973100014</v>
      </c>
      <c r="EV73" s="107">
        <f t="shared" ca="1" si="398"/>
        <v>30.963620973100014</v>
      </c>
      <c r="EW73" s="107">
        <f t="shared" ca="1" si="398"/>
        <v>30.963620973100014</v>
      </c>
      <c r="EX73" s="107">
        <f t="shared" ca="1" si="398"/>
        <v>30.963620973100014</v>
      </c>
      <c r="EY73" s="107">
        <f t="shared" ca="1" si="398"/>
        <v>30.963620973100014</v>
      </c>
      <c r="EZ73" s="107">
        <f t="shared" ca="1" si="398"/>
        <v>30.963620973100014</v>
      </c>
      <c r="FA73" s="107">
        <f t="shared" ca="1" si="398"/>
        <v>30.963620973100014</v>
      </c>
    </row>
    <row r="74" spans="2:157" s="2" customFormat="1" outlineLevel="1" x14ac:dyDescent="0.2">
      <c r="C74" s="98" t="s">
        <v>122</v>
      </c>
      <c r="D74" s="21" t="s">
        <v>126</v>
      </c>
      <c r="E74" s="214"/>
      <c r="F74" s="31"/>
      <c r="G74" s="107">
        <f>MAX(-G69,0)</f>
        <v>0</v>
      </c>
      <c r="H74" s="107">
        <f t="shared" ref="H74:P74" ca="1" si="399">MAX(-H69,0)</f>
        <v>0</v>
      </c>
      <c r="I74" s="107">
        <f t="shared" ca="1" si="399"/>
        <v>0</v>
      </c>
      <c r="J74" s="107">
        <f t="shared" ca="1" si="399"/>
        <v>0</v>
      </c>
      <c r="K74" s="107">
        <f t="shared" ca="1" si="399"/>
        <v>0</v>
      </c>
      <c r="L74" s="107">
        <f t="shared" ca="1" si="399"/>
        <v>0</v>
      </c>
      <c r="M74" s="107">
        <f t="shared" ca="1" si="399"/>
        <v>3.9458900099312837</v>
      </c>
      <c r="N74" s="107">
        <f t="shared" ca="1" si="399"/>
        <v>0</v>
      </c>
      <c r="O74" s="107">
        <f t="shared" ca="1" si="399"/>
        <v>0</v>
      </c>
      <c r="P74" s="107">
        <f t="shared" ca="1" si="399"/>
        <v>6.6906948505075636</v>
      </c>
      <c r="Q74" s="107">
        <f t="shared" ref="Q74:CB74" ca="1" si="400">MAX(-Q69,0)</f>
        <v>5.6359895644313527</v>
      </c>
      <c r="R74" s="107">
        <f t="shared" ca="1" si="400"/>
        <v>0</v>
      </c>
      <c r="S74" s="107">
        <f t="shared" ca="1" si="400"/>
        <v>0</v>
      </c>
      <c r="T74" s="107">
        <f t="shared" ca="1" si="400"/>
        <v>5.3601200203823893</v>
      </c>
      <c r="U74" s="107">
        <f t="shared" ca="1" si="400"/>
        <v>3.9414705161656656</v>
      </c>
      <c r="V74" s="107">
        <f t="shared" ca="1" si="400"/>
        <v>0</v>
      </c>
      <c r="W74" s="107">
        <f t="shared" ca="1" si="400"/>
        <v>0</v>
      </c>
      <c r="X74" s="107">
        <f t="shared" ca="1" si="400"/>
        <v>33.11416612782439</v>
      </c>
      <c r="Y74" s="107">
        <f t="shared" ca="1" si="400"/>
        <v>31.356003220211512</v>
      </c>
      <c r="Z74" s="107">
        <f t="shared" ca="1" si="400"/>
        <v>0</v>
      </c>
      <c r="AA74" s="107">
        <f t="shared" ca="1" si="400"/>
        <v>0</v>
      </c>
      <c r="AB74" s="107">
        <f t="shared" ca="1" si="400"/>
        <v>29.804847518691538</v>
      </c>
      <c r="AC74" s="107">
        <f t="shared" ca="1" si="400"/>
        <v>28.033311822817051</v>
      </c>
      <c r="AD74" s="107">
        <f t="shared" ca="1" si="400"/>
        <v>0</v>
      </c>
      <c r="AE74" s="107">
        <f t="shared" ca="1" si="400"/>
        <v>0</v>
      </c>
      <c r="AF74" s="107">
        <f t="shared" ca="1" si="400"/>
        <v>26.540859827973971</v>
      </c>
      <c r="AG74" s="107">
        <f t="shared" ca="1" si="400"/>
        <v>24.752203282884683</v>
      </c>
      <c r="AH74" s="107">
        <f t="shared" ca="1" si="400"/>
        <v>0</v>
      </c>
      <c r="AI74" s="107">
        <f t="shared" ca="1" si="400"/>
        <v>0</v>
      </c>
      <c r="AJ74" s="107">
        <f t="shared" ca="1" si="400"/>
        <v>23.970043641453728</v>
      </c>
      <c r="AK74" s="107">
        <f t="shared" ca="1" si="400"/>
        <v>22.184620360439514</v>
      </c>
      <c r="AL74" s="107">
        <f t="shared" ca="1" si="400"/>
        <v>0</v>
      </c>
      <c r="AM74" s="107">
        <f t="shared" ca="1" si="400"/>
        <v>0</v>
      </c>
      <c r="AN74" s="107">
        <f t="shared" ca="1" si="400"/>
        <v>20.809734747553478</v>
      </c>
      <c r="AO74" s="107">
        <f t="shared" ca="1" si="400"/>
        <v>19.000848024469651</v>
      </c>
      <c r="AP74" s="107">
        <f t="shared" ca="1" si="400"/>
        <v>0</v>
      </c>
      <c r="AQ74" s="107">
        <f t="shared" ca="1" si="400"/>
        <v>0</v>
      </c>
      <c r="AR74" s="107">
        <f t="shared" ca="1" si="400"/>
        <v>18.093752453635503</v>
      </c>
      <c r="AS74" s="107">
        <f t="shared" ca="1" si="400"/>
        <v>16.273583210433134</v>
      </c>
      <c r="AT74" s="107">
        <f t="shared" ca="1" si="400"/>
        <v>0</v>
      </c>
      <c r="AU74" s="107">
        <f t="shared" ca="1" si="400"/>
        <v>0</v>
      </c>
      <c r="AV74" s="107">
        <f t="shared" ca="1" si="400"/>
        <v>14.968080509018412</v>
      </c>
      <c r="AW74" s="107">
        <f t="shared" ca="1" si="400"/>
        <v>13.117726988215797</v>
      </c>
      <c r="AX74" s="107">
        <f t="shared" ca="1" si="400"/>
        <v>0</v>
      </c>
      <c r="AY74" s="107">
        <f t="shared" ca="1" si="400"/>
        <v>0</v>
      </c>
      <c r="AZ74" s="107">
        <f t="shared" ca="1" si="400"/>
        <v>11.813619899899143</v>
      </c>
      <c r="BA74" s="107">
        <f t="shared" ca="1" si="400"/>
        <v>9.9291702038890506</v>
      </c>
      <c r="BB74" s="107">
        <f t="shared" ca="1" si="400"/>
        <v>0</v>
      </c>
      <c r="BC74" s="107">
        <f t="shared" ca="1" si="400"/>
        <v>0</v>
      </c>
      <c r="BD74" s="107">
        <f t="shared" ca="1" si="400"/>
        <v>9.7163876530459259</v>
      </c>
      <c r="BE74" s="107">
        <f t="shared" ca="1" si="400"/>
        <v>7.8340240439308957</v>
      </c>
      <c r="BF74" s="107">
        <f t="shared" ca="1" si="400"/>
        <v>0</v>
      </c>
      <c r="BG74" s="107">
        <f t="shared" ca="1" si="400"/>
        <v>0</v>
      </c>
      <c r="BH74" s="107">
        <f t="shared" ca="1" si="400"/>
        <v>6.5543730767205179</v>
      </c>
      <c r="BI74" s="107">
        <f t="shared" ca="1" si="400"/>
        <v>4.631833686098016</v>
      </c>
      <c r="BJ74" s="107">
        <f t="shared" ca="1" si="400"/>
        <v>0</v>
      </c>
      <c r="BK74" s="107">
        <f t="shared" ca="1" si="400"/>
        <v>0</v>
      </c>
      <c r="BL74" s="107">
        <f t="shared" ca="1" si="400"/>
        <v>3.327233136685809</v>
      </c>
      <c r="BM74" s="107">
        <f t="shared" ca="1" si="400"/>
        <v>1.3604949599715148</v>
      </c>
      <c r="BN74" s="107">
        <f t="shared" ca="1" si="400"/>
        <v>0</v>
      </c>
      <c r="BO74" s="107">
        <f t="shared" ca="1" si="400"/>
        <v>0</v>
      </c>
      <c r="BP74" s="107">
        <f t="shared" ca="1" si="400"/>
        <v>2.1081181815567618E-2</v>
      </c>
      <c r="BQ74" s="107">
        <f t="shared" ca="1" si="400"/>
        <v>0</v>
      </c>
      <c r="BR74" s="107">
        <f t="shared" ca="1" si="400"/>
        <v>0</v>
      </c>
      <c r="BS74" s="107">
        <f t="shared" ca="1" si="400"/>
        <v>0</v>
      </c>
      <c r="BT74" s="107">
        <f t="shared" ca="1" si="400"/>
        <v>0</v>
      </c>
      <c r="BU74" s="107">
        <f t="shared" ca="1" si="400"/>
        <v>0</v>
      </c>
      <c r="BV74" s="107">
        <f t="shared" ca="1" si="400"/>
        <v>0</v>
      </c>
      <c r="BW74" s="107">
        <f t="shared" ca="1" si="400"/>
        <v>0</v>
      </c>
      <c r="BX74" s="107">
        <f t="shared" ca="1" si="400"/>
        <v>0</v>
      </c>
      <c r="BY74" s="107">
        <f t="shared" ca="1" si="400"/>
        <v>0</v>
      </c>
      <c r="BZ74" s="107">
        <f t="shared" ca="1" si="400"/>
        <v>0</v>
      </c>
      <c r="CA74" s="107">
        <f t="shared" ca="1" si="400"/>
        <v>0</v>
      </c>
      <c r="CB74" s="107">
        <f t="shared" ca="1" si="400"/>
        <v>0</v>
      </c>
      <c r="CC74" s="107">
        <f t="shared" ref="CC74:EN74" ca="1" si="401">MAX(-CC69,0)</f>
        <v>0</v>
      </c>
      <c r="CD74" s="107">
        <f t="shared" ca="1" si="401"/>
        <v>0</v>
      </c>
      <c r="CE74" s="107">
        <f t="shared" ca="1" si="401"/>
        <v>0</v>
      </c>
      <c r="CF74" s="107">
        <f t="shared" ca="1" si="401"/>
        <v>0</v>
      </c>
      <c r="CG74" s="107">
        <f t="shared" ca="1" si="401"/>
        <v>0</v>
      </c>
      <c r="CH74" s="107">
        <f t="shared" ca="1" si="401"/>
        <v>0</v>
      </c>
      <c r="CI74" s="107">
        <f t="shared" ca="1" si="401"/>
        <v>0</v>
      </c>
      <c r="CJ74" s="107">
        <f t="shared" ca="1" si="401"/>
        <v>0</v>
      </c>
      <c r="CK74" s="107">
        <f t="shared" ca="1" si="401"/>
        <v>0</v>
      </c>
      <c r="CL74" s="107">
        <f t="shared" ca="1" si="401"/>
        <v>0</v>
      </c>
      <c r="CM74" s="107">
        <f t="shared" ca="1" si="401"/>
        <v>0</v>
      </c>
      <c r="CN74" s="107">
        <f t="shared" ca="1" si="401"/>
        <v>0</v>
      </c>
      <c r="CO74" s="107">
        <f t="shared" ca="1" si="401"/>
        <v>0</v>
      </c>
      <c r="CP74" s="107">
        <f t="shared" ca="1" si="401"/>
        <v>0</v>
      </c>
      <c r="CQ74" s="107">
        <f t="shared" ca="1" si="401"/>
        <v>0</v>
      </c>
      <c r="CR74" s="107">
        <f t="shared" ca="1" si="401"/>
        <v>0</v>
      </c>
      <c r="CS74" s="107">
        <f t="shared" ca="1" si="401"/>
        <v>0</v>
      </c>
      <c r="CT74" s="107">
        <f t="shared" ca="1" si="401"/>
        <v>0</v>
      </c>
      <c r="CU74" s="263">
        <f t="shared" ca="1" si="401"/>
        <v>0</v>
      </c>
      <c r="CV74" s="107">
        <f t="shared" ca="1" si="401"/>
        <v>15.162368183403663</v>
      </c>
      <c r="CW74" s="107">
        <f t="shared" ca="1" si="401"/>
        <v>14.332361992339619</v>
      </c>
      <c r="CX74" s="107">
        <f t="shared" ca="1" si="401"/>
        <v>0</v>
      </c>
      <c r="CY74" s="107">
        <f t="shared" ca="1" si="401"/>
        <v>0</v>
      </c>
      <c r="CZ74" s="107">
        <f t="shared" ca="1" si="401"/>
        <v>15.493635653580936</v>
      </c>
      <c r="DA74" s="107">
        <f t="shared" ca="1" si="401"/>
        <v>14.675584338396494</v>
      </c>
      <c r="DB74" s="107">
        <f t="shared" ca="1" si="401"/>
        <v>0</v>
      </c>
      <c r="DC74" s="107">
        <f t="shared" ca="1" si="401"/>
        <v>0</v>
      </c>
      <c r="DD74" s="107">
        <f t="shared" ca="1" si="401"/>
        <v>15.209950265762215</v>
      </c>
      <c r="DE74" s="107">
        <f t="shared" ca="1" si="401"/>
        <v>14.387363066917491</v>
      </c>
      <c r="DF74" s="107">
        <f t="shared" ca="1" si="401"/>
        <v>0</v>
      </c>
      <c r="DG74" s="107">
        <f t="shared" ca="1" si="401"/>
        <v>0</v>
      </c>
      <c r="DH74" s="107">
        <f t="shared" ca="1" si="401"/>
        <v>14.975592006692359</v>
      </c>
      <c r="DI74" s="107">
        <f t="shared" ca="1" si="401"/>
        <v>14.147631085215371</v>
      </c>
      <c r="DJ74" s="107">
        <f t="shared" ca="1" si="401"/>
        <v>0</v>
      </c>
      <c r="DK74" s="107">
        <f t="shared" ca="1" si="401"/>
        <v>0</v>
      </c>
      <c r="DL74" s="107">
        <f t="shared" ca="1" si="401"/>
        <v>14.7888299475152</v>
      </c>
      <c r="DM74" s="107">
        <f t="shared" ca="1" si="401"/>
        <v>13.95468562866092</v>
      </c>
      <c r="DN74" s="107">
        <f t="shared" ca="1" si="401"/>
        <v>0</v>
      </c>
      <c r="DO74" s="107">
        <f t="shared" ca="1" si="401"/>
        <v>0</v>
      </c>
      <c r="DP74" s="107">
        <f t="shared" ca="1" si="401"/>
        <v>14.648078827195908</v>
      </c>
      <c r="DQ74" s="107">
        <f t="shared" ca="1" si="401"/>
        <v>13.80696749755521</v>
      </c>
      <c r="DR74" s="107">
        <f t="shared" ca="1" si="401"/>
        <v>0</v>
      </c>
      <c r="DS74" s="107">
        <f t="shared" ca="1" si="401"/>
        <v>0</v>
      </c>
      <c r="DT74" s="107">
        <f t="shared" ca="1" si="401"/>
        <v>14.551891653174808</v>
      </c>
      <c r="DU74" s="107">
        <f t="shared" ca="1" si="401"/>
        <v>13.703053777122514</v>
      </c>
      <c r="DV74" s="107">
        <f t="shared" ca="1" si="401"/>
        <v>0</v>
      </c>
      <c r="DW74" s="107">
        <f t="shared" ca="1" si="401"/>
        <v>0</v>
      </c>
      <c r="DX74" s="107">
        <f t="shared" ca="1" si="401"/>
        <v>14.49895278744232</v>
      </c>
      <c r="DY74" s="107">
        <f t="shared" ca="1" si="401"/>
        <v>13.641651035681841</v>
      </c>
      <c r="DZ74" s="107">
        <f t="shared" ca="1" si="401"/>
        <v>0</v>
      </c>
      <c r="EA74" s="107">
        <f t="shared" ca="1" si="401"/>
        <v>0</v>
      </c>
      <c r="EB74" s="107">
        <f t="shared" ca="1" si="401"/>
        <v>14.488071490162485</v>
      </c>
      <c r="EC74" s="107">
        <f t="shared" ca="1" si="401"/>
        <v>13.621588973558785</v>
      </c>
      <c r="ED74" s="107">
        <f t="shared" ca="1" si="401"/>
        <v>0</v>
      </c>
      <c r="EE74" s="107">
        <f t="shared" ca="1" si="401"/>
        <v>0</v>
      </c>
      <c r="EF74" s="107">
        <f t="shared" ca="1" si="401"/>
        <v>14.518175894680658</v>
      </c>
      <c r="EG74" s="107">
        <f t="shared" ca="1" si="401"/>
        <v>13.641814496982224</v>
      </c>
      <c r="EH74" s="107">
        <f t="shared" ca="1" si="401"/>
        <v>0</v>
      </c>
      <c r="EI74" s="107">
        <f t="shared" ca="1" si="401"/>
        <v>0</v>
      </c>
      <c r="EJ74" s="107">
        <f t="shared" ca="1" si="401"/>
        <v>0</v>
      </c>
      <c r="EK74" s="107">
        <f t="shared" ca="1" si="401"/>
        <v>0</v>
      </c>
      <c r="EL74" s="107">
        <f t="shared" ca="1" si="401"/>
        <v>0</v>
      </c>
      <c r="EM74" s="107">
        <f t="shared" ca="1" si="401"/>
        <v>0</v>
      </c>
      <c r="EN74" s="107">
        <f t="shared" ca="1" si="401"/>
        <v>0</v>
      </c>
      <c r="EO74" s="107">
        <f t="shared" ref="EO74:FA74" ca="1" si="402">MAX(-EO69,0)</f>
        <v>0</v>
      </c>
      <c r="EP74" s="107">
        <f t="shared" ca="1" si="402"/>
        <v>0</v>
      </c>
      <c r="EQ74" s="107">
        <f t="shared" ca="1" si="402"/>
        <v>0</v>
      </c>
      <c r="ER74" s="107">
        <f t="shared" ca="1" si="402"/>
        <v>0</v>
      </c>
      <c r="ES74" s="107">
        <f t="shared" ca="1" si="402"/>
        <v>0</v>
      </c>
      <c r="ET74" s="107">
        <f t="shared" ca="1" si="402"/>
        <v>0</v>
      </c>
      <c r="EU74" s="107">
        <f t="shared" ca="1" si="402"/>
        <v>0</v>
      </c>
      <c r="EV74" s="107">
        <f t="shared" ca="1" si="402"/>
        <v>0</v>
      </c>
      <c r="EW74" s="107">
        <f t="shared" ca="1" si="402"/>
        <v>0</v>
      </c>
      <c r="EX74" s="107">
        <f t="shared" ca="1" si="402"/>
        <v>0</v>
      </c>
      <c r="EY74" s="107">
        <f t="shared" ca="1" si="402"/>
        <v>0</v>
      </c>
      <c r="EZ74" s="107">
        <f t="shared" ca="1" si="402"/>
        <v>0</v>
      </c>
      <c r="FA74" s="107">
        <f t="shared" ca="1" si="402"/>
        <v>0</v>
      </c>
    </row>
    <row r="75" spans="2:157" s="2" customFormat="1" outlineLevel="1" x14ac:dyDescent="0.2">
      <c r="C75" s="99" t="s">
        <v>123</v>
      </c>
      <c r="D75" s="32" t="s">
        <v>126</v>
      </c>
      <c r="E75" s="215"/>
      <c r="F75" s="101"/>
      <c r="G75" s="115">
        <f>-MIN(G73+G74,MAX(G69,0))</f>
        <v>0</v>
      </c>
      <c r="H75" s="115">
        <f t="shared" ref="H75:P75" ca="1" si="403">-MIN(H73+H74,MAX(H69,0))</f>
        <v>0</v>
      </c>
      <c r="I75" s="115">
        <f t="shared" ca="1" si="403"/>
        <v>0</v>
      </c>
      <c r="J75" s="115">
        <f t="shared" ca="1" si="403"/>
        <v>0</v>
      </c>
      <c r="K75" s="115">
        <f t="shared" ca="1" si="403"/>
        <v>0</v>
      </c>
      <c r="L75" s="115">
        <f t="shared" ca="1" si="403"/>
        <v>0</v>
      </c>
      <c r="M75" s="115">
        <f t="shared" ca="1" si="403"/>
        <v>0</v>
      </c>
      <c r="N75" s="115">
        <f t="shared" ca="1" si="403"/>
        <v>-3.9458900099312837</v>
      </c>
      <c r="O75" s="115">
        <f t="shared" ca="1" si="403"/>
        <v>0</v>
      </c>
      <c r="P75" s="115">
        <f t="shared" ca="1" si="403"/>
        <v>0</v>
      </c>
      <c r="Q75" s="115">
        <f t="shared" ref="Q75" ca="1" si="404">-MIN(Q73+Q74,MAX(Q69,0))</f>
        <v>0</v>
      </c>
      <c r="R75" s="115">
        <f t="shared" ref="R75" ca="1" si="405">-MIN(R73+R74,MAX(R69,0))</f>
        <v>-12.326684414938917</v>
      </c>
      <c r="S75" s="115">
        <f t="shared" ref="S75" ca="1" si="406">-MIN(S73+S74,MAX(S69,0))</f>
        <v>0</v>
      </c>
      <c r="T75" s="115">
        <f t="shared" ref="T75" ca="1" si="407">-MIN(T73+T74,MAX(T69,0))</f>
        <v>0</v>
      </c>
      <c r="U75" s="115">
        <f t="shared" ref="U75" ca="1" si="408">-MIN(U73+U74,MAX(U69,0))</f>
        <v>0</v>
      </c>
      <c r="V75" s="115">
        <f t="shared" ref="V75" ca="1" si="409">-MIN(V73+V74,MAX(V69,0))</f>
        <v>-9.3015905365480549</v>
      </c>
      <c r="W75" s="115">
        <f t="shared" ref="W75" ca="1" si="410">-MIN(W73+W74,MAX(W69,0))</f>
        <v>0</v>
      </c>
      <c r="X75" s="115">
        <f t="shared" ref="X75" ca="1" si="411">-MIN(X73+X74,MAX(X69,0))</f>
        <v>0</v>
      </c>
      <c r="Y75" s="115">
        <f t="shared" ref="Y75" ca="1" si="412">-MIN(Y73+Y74,MAX(Y69,0))</f>
        <v>0</v>
      </c>
      <c r="Z75" s="115">
        <f t="shared" ref="Z75" ca="1" si="413">-MIN(Z73+Z74,MAX(Z69,0))</f>
        <v>-5.7318882661088395</v>
      </c>
      <c r="AA75" s="115">
        <f t="shared" ref="AA75" ca="1" si="414">-MIN(AA73+AA74,MAX(AA69,0))</f>
        <v>-3.9492082628564731</v>
      </c>
      <c r="AB75" s="115">
        <f t="shared" ref="AB75" ca="1" si="415">-MIN(AB73+AB74,MAX(AB69,0))</f>
        <v>0</v>
      </c>
      <c r="AC75" s="115">
        <f t="shared" ref="AC75" ca="1" si="416">-MIN(AC73+AC74,MAX(AC69,0))</f>
        <v>0</v>
      </c>
      <c r="AD75" s="115">
        <f t="shared" ref="AD75" ca="1" si="417">-MIN(AD73+AD74,MAX(AD69,0))</f>
        <v>-9.8612782458551607</v>
      </c>
      <c r="AE75" s="115">
        <f t="shared" ref="AE75" ca="1" si="418">-MIN(AE73+AE74,MAX(AE69,0))</f>
        <v>-8.0123061936933269</v>
      </c>
      <c r="AF75" s="115">
        <f t="shared" ref="AF75" ca="1" si="419">-MIN(AF73+AF74,MAX(AF69,0))</f>
        <v>0</v>
      </c>
      <c r="AG75" s="115">
        <f t="shared" ref="AG75" ca="1" si="420">-MIN(AG73+AG74,MAX(AG69,0))</f>
        <v>0</v>
      </c>
      <c r="AH75" s="115">
        <f t="shared" ref="AH75" ca="1" si="421">-MIN(AH73+AH74,MAX(AH69,0))</f>
        <v>-13.970197225487603</v>
      </c>
      <c r="AI75" s="115">
        <f t="shared" ref="AI75" ca="1" si="422">-MIN(AI73+AI74,MAX(AI69,0))</f>
        <v>-11.036703567205763</v>
      </c>
      <c r="AJ75" s="115">
        <f t="shared" ref="AJ75" ca="1" si="423">-MIN(AJ73+AJ74,MAX(AJ69,0))</f>
        <v>0</v>
      </c>
      <c r="AK75" s="115">
        <f t="shared" ref="AK75" ca="1" si="424">-MIN(AK73+AK74,MAX(AK69,0))</f>
        <v>0</v>
      </c>
      <c r="AL75" s="115">
        <f t="shared" ref="AL75" ca="1" si="425">-MIN(AL73+AL74,MAX(AL69,0))</f>
        <v>-16.983577057987983</v>
      </c>
      <c r="AM75" s="115">
        <f t="shared" ref="AM75" ca="1" si="426">-MIN(AM73+AM74,MAX(AM69,0))</f>
        <v>-15.021920950598108</v>
      </c>
      <c r="AN75" s="115">
        <f t="shared" ref="AN75" ca="1" si="427">-MIN(AN73+AN74,MAX(AN69,0))</f>
        <v>0</v>
      </c>
      <c r="AO75" s="115">
        <f t="shared" ref="AO75" ca="1" si="428">-MIN(AO73+AO74,MAX(AO69,0))</f>
        <v>0</v>
      </c>
      <c r="AP75" s="115">
        <f t="shared" ref="AP75" ca="1" si="429">-MIN(AP73+AP74,MAX(AP69,0))</f>
        <v>-21.032634420308781</v>
      </c>
      <c r="AQ75" s="115">
        <f t="shared" ref="AQ75" ca="1" si="430">-MIN(AQ73+AQ74,MAX(AQ69,0))</f>
        <v>-18.337991315142219</v>
      </c>
      <c r="AR75" s="115">
        <f t="shared" ref="AR75" ca="1" si="431">-MIN(AR73+AR74,MAX(AR69,0))</f>
        <v>0</v>
      </c>
      <c r="AS75" s="115">
        <f t="shared" ref="AS75" ca="1" si="432">-MIN(AS73+AS74,MAX(AS69,0))</f>
        <v>0</v>
      </c>
      <c r="AT75" s="115">
        <f t="shared" ref="AT75" ca="1" si="433">-MIN(AT73+AT74,MAX(AT69,0))</f>
        <v>-24.386811029628817</v>
      </c>
      <c r="AU75" s="115">
        <f t="shared" ref="AU75" ca="1" si="434">-MIN(AU73+AU74,MAX(AU69,0))</f>
        <v>-22.31424068877142</v>
      </c>
      <c r="AV75" s="115">
        <f t="shared" ref="AV75" ca="1" si="435">-MIN(AV73+AV74,MAX(AV69,0))</f>
        <v>0</v>
      </c>
      <c r="AW75" s="115">
        <f t="shared" ref="AW75" ca="1" si="436">-MIN(AW73+AW74,MAX(AW69,0))</f>
        <v>0</v>
      </c>
      <c r="AX75" s="115">
        <f t="shared" ref="AX75" ca="1" si="437">-MIN(AX73+AX74,MAX(AX69,0))</f>
        <v>-28.463626922731141</v>
      </c>
      <c r="AY75" s="115">
        <f t="shared" ref="AY75" ca="1" si="438">-MIN(AY73+AY74,MAX(AY69,0))</f>
        <v>-26.333506384644323</v>
      </c>
      <c r="AZ75" s="115">
        <f t="shared" ref="AZ75" ca="1" si="439">-MIN(AZ73+AZ74,MAX(AZ69,0))</f>
        <v>0</v>
      </c>
      <c r="BA75" s="115">
        <f t="shared" ref="BA75" ca="1" si="440">-MIN(BA73+BA74,MAX(BA69,0))</f>
        <v>0</v>
      </c>
      <c r="BB75" s="115">
        <f t="shared" ref="BB75" ca="1" si="441">-MIN(BB73+BB74,MAX(BB69,0))</f>
        <v>-32.598910392080526</v>
      </c>
      <c r="BC75" s="115">
        <f t="shared" ref="BC75" ca="1" si="442">-MIN(BC73+BC74,MAX(BC69,0))</f>
        <v>-28.710372975275448</v>
      </c>
      <c r="BD75" s="115">
        <f t="shared" ref="BD75" ca="1" si="443">-MIN(BD73+BD74,MAX(BD69,0))</f>
        <v>0</v>
      </c>
      <c r="BE75" s="115">
        <f t="shared" ref="BE75" ca="1" si="444">-MIN(BE73+BE74,MAX(BE69,0))</f>
        <v>0</v>
      </c>
      <c r="BF75" s="115">
        <f t="shared" ref="BF75" ca="1" si="445">-MIN(BF73+BF74,MAX(BF69,0))</f>
        <v>-34.978938453666871</v>
      </c>
      <c r="BG75" s="115">
        <f t="shared" ref="BG75" ca="1" si="446">-MIN(BG73+BG74,MAX(BG69,0))</f>
        <v>-32.763310187967889</v>
      </c>
      <c r="BH75" s="115">
        <f t="shared" ref="BH75" ca="1" si="447">-MIN(BH73+BH74,MAX(BH69,0))</f>
        <v>0</v>
      </c>
      <c r="BI75" s="115">
        <f t="shared" ref="BI75" ca="1" si="448">-MIN(BI73+BI74,MAX(BI69,0))</f>
        <v>0</v>
      </c>
      <c r="BJ75" s="115">
        <f t="shared" ref="BJ75" ca="1" si="449">-MIN(BJ73+BJ74,MAX(BJ69,0))</f>
        <v>-18.011767759195216</v>
      </c>
      <c r="BK75" s="115">
        <f t="shared" ref="BK75" ca="1" si="450">-MIN(BK73+BK74,MAX(BK69,0))</f>
        <v>0</v>
      </c>
      <c r="BL75" s="115">
        <f t="shared" ref="BL75" ca="1" si="451">-MIN(BL73+BL74,MAX(BL69,0))</f>
        <v>0</v>
      </c>
      <c r="BM75" s="115">
        <f t="shared" ref="BM75" ca="1" si="452">-MIN(BM73+BM74,MAX(BM69,0))</f>
        <v>0</v>
      </c>
      <c r="BN75" s="115">
        <f t="shared" ref="BN75" ca="1" si="453">-MIN(BN73+BN74,MAX(BN69,0))</f>
        <v>-4.6877280966573238</v>
      </c>
      <c r="BO75" s="115">
        <f t="shared" ref="BO75" ca="1" si="454">-MIN(BO73+BO74,MAX(BO69,0))</f>
        <v>0</v>
      </c>
      <c r="BP75" s="115">
        <f t="shared" ref="BP75" ca="1" si="455">-MIN(BP73+BP74,MAX(BP69,0))</f>
        <v>0</v>
      </c>
      <c r="BQ75" s="115">
        <f t="shared" ref="BQ75" ca="1" si="456">-MIN(BQ73+BQ74,MAX(BQ69,0))</f>
        <v>-2.1081181815567618E-2</v>
      </c>
      <c r="BR75" s="115">
        <f t="shared" ref="BR75" ca="1" si="457">-MIN(BR73+BR74,MAX(BR69,0))</f>
        <v>0</v>
      </c>
      <c r="BS75" s="115">
        <f t="shared" ref="BS75" ca="1" si="458">-MIN(BS73+BS74,MAX(BS69,0))</f>
        <v>0</v>
      </c>
      <c r="BT75" s="115">
        <f t="shared" ref="BT75" ca="1" si="459">-MIN(BT73+BT74,MAX(BT69,0))</f>
        <v>0</v>
      </c>
      <c r="BU75" s="115">
        <f t="shared" ref="BU75" ca="1" si="460">-MIN(BU73+BU74,MAX(BU69,0))</f>
        <v>0</v>
      </c>
      <c r="BV75" s="115">
        <f t="shared" ref="BV75" ca="1" si="461">-MIN(BV73+BV74,MAX(BV69,0))</f>
        <v>0</v>
      </c>
      <c r="BW75" s="115">
        <f t="shared" ref="BW75" ca="1" si="462">-MIN(BW73+BW74,MAX(BW69,0))</f>
        <v>0</v>
      </c>
      <c r="BX75" s="115">
        <f t="shared" ref="BX75" ca="1" si="463">-MIN(BX73+BX74,MAX(BX69,0))</f>
        <v>0</v>
      </c>
      <c r="BY75" s="115">
        <f t="shared" ref="BY75" ca="1" si="464">-MIN(BY73+BY74,MAX(BY69,0))</f>
        <v>0</v>
      </c>
      <c r="BZ75" s="115">
        <f t="shared" ref="BZ75" ca="1" si="465">-MIN(BZ73+BZ74,MAX(BZ69,0))</f>
        <v>0</v>
      </c>
      <c r="CA75" s="115">
        <f t="shared" ref="CA75" ca="1" si="466">-MIN(CA73+CA74,MAX(CA69,0))</f>
        <v>0</v>
      </c>
      <c r="CB75" s="115">
        <f t="shared" ref="CB75" ca="1" si="467">-MIN(CB73+CB74,MAX(CB69,0))</f>
        <v>0</v>
      </c>
      <c r="CC75" s="115">
        <f t="shared" ref="CC75" ca="1" si="468">-MIN(CC73+CC74,MAX(CC69,0))</f>
        <v>0</v>
      </c>
      <c r="CD75" s="115">
        <f t="shared" ref="CD75" ca="1" si="469">-MIN(CD73+CD74,MAX(CD69,0))</f>
        <v>0</v>
      </c>
      <c r="CE75" s="115">
        <f t="shared" ref="CE75" ca="1" si="470">-MIN(CE73+CE74,MAX(CE69,0))</f>
        <v>0</v>
      </c>
      <c r="CF75" s="115">
        <f t="shared" ref="CF75" ca="1" si="471">-MIN(CF73+CF74,MAX(CF69,0))</f>
        <v>0</v>
      </c>
      <c r="CG75" s="115">
        <f t="shared" ref="CG75" ca="1" si="472">-MIN(CG73+CG74,MAX(CG69,0))</f>
        <v>0</v>
      </c>
      <c r="CH75" s="115">
        <f t="shared" ref="CH75" ca="1" si="473">-MIN(CH73+CH74,MAX(CH69,0))</f>
        <v>0</v>
      </c>
      <c r="CI75" s="115">
        <f t="shared" ref="CI75" ca="1" si="474">-MIN(CI73+CI74,MAX(CI69,0))</f>
        <v>0</v>
      </c>
      <c r="CJ75" s="115">
        <f t="shared" ref="CJ75" ca="1" si="475">-MIN(CJ73+CJ74,MAX(CJ69,0))</f>
        <v>0</v>
      </c>
      <c r="CK75" s="115">
        <f t="shared" ref="CK75" ca="1" si="476">-MIN(CK73+CK74,MAX(CK69,0))</f>
        <v>0</v>
      </c>
      <c r="CL75" s="115">
        <f t="shared" ref="CL75" ca="1" si="477">-MIN(CL73+CL74,MAX(CL69,0))</f>
        <v>0</v>
      </c>
      <c r="CM75" s="115">
        <f t="shared" ref="CM75" ca="1" si="478">-MIN(CM73+CM74,MAX(CM69,0))</f>
        <v>0</v>
      </c>
      <c r="CN75" s="115">
        <f t="shared" ref="CN75" ca="1" si="479">-MIN(CN73+CN74,MAX(CN69,0))</f>
        <v>0</v>
      </c>
      <c r="CO75" s="115">
        <f t="shared" ref="CO75" ca="1" si="480">-MIN(CO73+CO74,MAX(CO69,0))</f>
        <v>0</v>
      </c>
      <c r="CP75" s="115">
        <f t="shared" ref="CP75" ca="1" si="481">-MIN(CP73+CP74,MAX(CP69,0))</f>
        <v>0</v>
      </c>
      <c r="CQ75" s="115">
        <f t="shared" ref="CQ75" ca="1" si="482">-MIN(CQ73+CQ74,MAX(CQ69,0))</f>
        <v>0</v>
      </c>
      <c r="CR75" s="115">
        <f t="shared" ref="CR75" ca="1" si="483">-MIN(CR73+CR74,MAX(CR69,0))</f>
        <v>0</v>
      </c>
      <c r="CS75" s="115">
        <f t="shared" ref="CS75" ca="1" si="484">-MIN(CS73+CS74,MAX(CS69,0))</f>
        <v>0</v>
      </c>
      <c r="CT75" s="115">
        <f t="shared" ref="CT75" ca="1" si="485">-MIN(CT73+CT74,MAX(CT69,0))</f>
        <v>0</v>
      </c>
      <c r="CU75" s="264">
        <f t="shared" ref="CU75" ca="1" si="486">-MIN(CU73+CU74,MAX(CU69,0))</f>
        <v>0</v>
      </c>
      <c r="CV75" s="115">
        <f t="shared" ref="CV75" ca="1" si="487">-MIN(CV73+CV74,MAX(CV69,0))</f>
        <v>0</v>
      </c>
      <c r="CW75" s="115">
        <f t="shared" ref="CW75" ca="1" si="488">-MIN(CW73+CW74,MAX(CW69,0))</f>
        <v>0</v>
      </c>
      <c r="CX75" s="115">
        <f t="shared" ref="CX75" ca="1" si="489">-MIN(CX73+CX74,MAX(CX69,0))</f>
        <v>-11.264745942114299</v>
      </c>
      <c r="CY75" s="115">
        <f t="shared" ref="CY75" ca="1" si="490">-MIN(CY73+CY74,MAX(CY69,0))</f>
        <v>-8.3882463745793938</v>
      </c>
      <c r="CZ75" s="115">
        <f t="shared" ref="CZ75" ca="1" si="491">-MIN(CZ73+CZ74,MAX(CZ69,0))</f>
        <v>0</v>
      </c>
      <c r="DA75" s="115">
        <f t="shared" ref="DA75" ca="1" si="492">-MIN(DA73+DA74,MAX(DA69,0))</f>
        <v>0</v>
      </c>
      <c r="DB75" s="115">
        <f t="shared" ref="DB75" ca="1" si="493">-MIN(DB73+DB74,MAX(DB69,0))</f>
        <v>-11.071646854110934</v>
      </c>
      <c r="DC75" s="115">
        <f t="shared" ref="DC75" ca="1" si="494">-MIN(DC73+DC74,MAX(DC69,0))</f>
        <v>-9.2344505281666347</v>
      </c>
      <c r="DD75" s="115">
        <f t="shared" ref="DD75" ca="1" si="495">-MIN(DD73+DD74,MAX(DD69,0))</f>
        <v>0</v>
      </c>
      <c r="DE75" s="115">
        <f t="shared" ref="DE75" ca="1" si="496">-MIN(DE73+DE74,MAX(DE69,0))</f>
        <v>0</v>
      </c>
      <c r="DF75" s="115">
        <f t="shared" ref="DF75" ca="1" si="497">-MIN(DF73+DF74,MAX(DF69,0))</f>
        <v>-11.936716722551605</v>
      </c>
      <c r="DG75" s="115">
        <f t="shared" ref="DG75" ca="1" si="498">-MIN(DG73+DG74,MAX(DG69,0))</f>
        <v>-10.043491319865144</v>
      </c>
      <c r="DH75" s="115">
        <f t="shared" ref="DH75" ca="1" si="499">-MIN(DH73+DH74,MAX(DH69,0))</f>
        <v>0</v>
      </c>
      <c r="DI75" s="115">
        <f t="shared" ref="DI75" ca="1" si="500">-MIN(DI73+DI74,MAX(DI69,0))</f>
        <v>0</v>
      </c>
      <c r="DJ75" s="115">
        <f t="shared" ref="DJ75" ca="1" si="501">-MIN(DJ73+DJ74,MAX(DJ69,0))</f>
        <v>-12.767257601497978</v>
      </c>
      <c r="DK75" s="115">
        <f t="shared" ref="DK75" ca="1" si="502">-MIN(DK73+DK74,MAX(DK69,0))</f>
        <v>-10.817426944344701</v>
      </c>
      <c r="DL75" s="115">
        <f t="shared" ref="DL75" ca="1" si="503">-MIN(DL73+DL74,MAX(DL69,0))</f>
        <v>0</v>
      </c>
      <c r="DM75" s="115">
        <f t="shared" ref="DM75" ca="1" si="504">-MIN(DM73+DM74,MAX(DM69,0))</f>
        <v>0</v>
      </c>
      <c r="DN75" s="115">
        <f t="shared" ref="DN75" ca="1" si="505">-MIN(DN73+DN74,MAX(DN69,0))</f>
        <v>-13.565245955436382</v>
      </c>
      <c r="DO75" s="115">
        <f t="shared" ref="DO75" ca="1" si="506">-MIN(DO73+DO74,MAX(DO69,0))</f>
        <v>-11.558174646410038</v>
      </c>
      <c r="DP75" s="115">
        <f t="shared" ref="DP75" ca="1" si="507">-MIN(DP73+DP74,MAX(DP69,0))</f>
        <v>0</v>
      </c>
      <c r="DQ75" s="115">
        <f t="shared" ref="DQ75" ca="1" si="508">-MIN(DQ73+DQ74,MAX(DQ69,0))</f>
        <v>0</v>
      </c>
      <c r="DR75" s="115">
        <f t="shared" ref="DR75" ca="1" si="509">-MIN(DR73+DR74,MAX(DR69,0))</f>
        <v>-14.33252367172463</v>
      </c>
      <c r="DS75" s="115">
        <f t="shared" ref="DS75" ca="1" si="510">-MIN(DS73+DS74,MAX(DS69,0))</f>
        <v>-12.26751839881867</v>
      </c>
      <c r="DT75" s="115">
        <f t="shared" ref="DT75" ca="1" si="511">-MIN(DT73+DT74,MAX(DT69,0))</f>
        <v>0</v>
      </c>
      <c r="DU75" s="115">
        <f t="shared" ref="DU75" ca="1" si="512">-MIN(DU73+DU74,MAX(DU69,0))</f>
        <v>0</v>
      </c>
      <c r="DV75" s="115">
        <f t="shared" ref="DV75" ca="1" si="513">-MIN(DV73+DV74,MAX(DV69,0))</f>
        <v>-15.070805381822273</v>
      </c>
      <c r="DW75" s="115">
        <f t="shared" ref="DW75" ca="1" si="514">-MIN(DW73+DW74,MAX(DW69,0))</f>
        <v>-12.947116090930614</v>
      </c>
      <c r="DX75" s="115">
        <f t="shared" ref="DX75" ca="1" si="515">-MIN(DX73+DX74,MAX(DX69,0))</f>
        <v>0</v>
      </c>
      <c r="DY75" s="115">
        <f t="shared" ref="DY75" ca="1" si="516">-MIN(DY73+DY74,MAX(DY69,0))</f>
        <v>0</v>
      </c>
      <c r="DZ75" s="115">
        <f t="shared" ref="DZ75" ca="1" si="517">-MIN(DZ73+DZ74,MAX(DZ69,0))</f>
        <v>-15.78168531511613</v>
      </c>
      <c r="EA75" s="115">
        <f t="shared" ref="EA75" ca="1" si="518">-MIN(EA73+EA74,MAX(EA69,0))</f>
        <v>-13.59850625658679</v>
      </c>
      <c r="EB75" s="115">
        <f t="shared" ref="EB75" ca="1" si="519">-MIN(EB73+EB74,MAX(EB69,0))</f>
        <v>0</v>
      </c>
      <c r="EC75" s="115">
        <f t="shared" ref="EC75" ca="1" si="520">-MIN(EC73+EC74,MAX(EC69,0))</f>
        <v>0</v>
      </c>
      <c r="ED75" s="115">
        <f t="shared" ref="ED75" ca="1" si="521">-MIN(ED73+ED74,MAX(ED69,0))</f>
        <v>-16.466643712435207</v>
      </c>
      <c r="EE75" s="115">
        <f t="shared" ref="EE75" ca="1" si="522">-MIN(EE73+EE74,MAX(EE69,0))</f>
        <v>-14.223114367880692</v>
      </c>
      <c r="EF75" s="115">
        <f t="shared" ref="EF75" ca="1" si="523">-MIN(EF73+EF74,MAX(EF69,0))</f>
        <v>0</v>
      </c>
      <c r="EG75" s="115">
        <f t="shared" ref="EG75" ca="1" si="524">-MIN(EG73+EG74,MAX(EG69,0))</f>
        <v>0</v>
      </c>
      <c r="EH75" s="115">
        <f t="shared" ref="EH75" ca="1" si="525">-MIN(EH73+EH74,MAX(EH69,0))</f>
        <v>-17.127052824693475</v>
      </c>
      <c r="EI75" s="115">
        <f t="shared" ref="EI75" ca="1" si="526">-MIN(EI73+EI74,MAX(EI69,0))</f>
        <v>-14.822258719855405</v>
      </c>
      <c r="EJ75" s="115">
        <f t="shared" ref="EJ75" ca="1" si="527">-MIN(EJ73+EJ74,MAX(EJ69,0))</f>
        <v>0</v>
      </c>
      <c r="EK75" s="115">
        <f t="shared" ref="EK75" ca="1" si="528">-MIN(EK73+EK74,MAX(EK69,0))</f>
        <v>0</v>
      </c>
      <c r="EL75" s="115">
        <f t="shared" ref="EL75" ca="1" si="529">-MIN(EL73+EL74,MAX(EL69,0))</f>
        <v>0</v>
      </c>
      <c r="EM75" s="115">
        <f t="shared" ref="EM75" ca="1" si="530">-MIN(EM73+EM74,MAX(EM69,0))</f>
        <v>0</v>
      </c>
      <c r="EN75" s="115">
        <f t="shared" ref="EN75" ca="1" si="531">-MIN(EN73+EN74,MAX(EN69,0))</f>
        <v>0</v>
      </c>
      <c r="EO75" s="115">
        <f t="shared" ref="EO75" ca="1" si="532">-MIN(EO73+EO74,MAX(EO69,0))</f>
        <v>0</v>
      </c>
      <c r="EP75" s="115">
        <f t="shared" ref="EP75" ca="1" si="533">-MIN(EP73+EP74,MAX(EP69,0))</f>
        <v>0</v>
      </c>
      <c r="EQ75" s="115">
        <f t="shared" ref="EQ75" ca="1" si="534">-MIN(EQ73+EQ74,MAX(EQ69,0))</f>
        <v>0</v>
      </c>
      <c r="ER75" s="115">
        <f t="shared" ref="ER75" ca="1" si="535">-MIN(ER73+ER74,MAX(ER69,0))</f>
        <v>0</v>
      </c>
      <c r="ES75" s="115">
        <f t="shared" ref="ES75" ca="1" si="536">-MIN(ES73+ES74,MAX(ES69,0))</f>
        <v>0</v>
      </c>
      <c r="ET75" s="115">
        <f t="shared" ref="ET75" ca="1" si="537">-MIN(ET73+ET74,MAX(ET69,0))</f>
        <v>0</v>
      </c>
      <c r="EU75" s="115">
        <f t="shared" ref="EU75" ca="1" si="538">-MIN(EU73+EU74,MAX(EU69,0))</f>
        <v>0</v>
      </c>
      <c r="EV75" s="115">
        <f t="shared" ref="EV75" ca="1" si="539">-MIN(EV73+EV74,MAX(EV69,0))</f>
        <v>0</v>
      </c>
      <c r="EW75" s="115">
        <f t="shared" ref="EW75" ca="1" si="540">-MIN(EW73+EW74,MAX(EW69,0))</f>
        <v>0</v>
      </c>
      <c r="EX75" s="115">
        <f t="shared" ref="EX75" ca="1" si="541">-MIN(EX73+EX74,MAX(EX69,0))</f>
        <v>0</v>
      </c>
      <c r="EY75" s="115">
        <f t="shared" ref="EY75" ca="1" si="542">-MIN(EY73+EY74,MAX(EY69,0))</f>
        <v>0</v>
      </c>
      <c r="EZ75" s="115">
        <f t="shared" ref="EZ75" ca="1" si="543">-MIN(EZ73+EZ74,MAX(EZ69,0))</f>
        <v>0</v>
      </c>
      <c r="FA75" s="115">
        <f t="shared" ref="FA75" ca="1" si="544">-MIN(FA73+FA74,MAX(FA69,0))</f>
        <v>0</v>
      </c>
    </row>
    <row r="76" spans="2:157" s="2" customFormat="1" outlineLevel="1" x14ac:dyDescent="0.2">
      <c r="C76" s="100" t="s">
        <v>124</v>
      </c>
      <c r="D76" s="31" t="s">
        <v>126</v>
      </c>
      <c r="E76" s="214"/>
      <c r="F76" s="116">
        <v>0</v>
      </c>
      <c r="G76" s="113">
        <f>SUM(G73:G75)</f>
        <v>0</v>
      </c>
      <c r="H76" s="113">
        <f t="shared" ref="H76:P76" ca="1" si="545">SUM(H73:H75)</f>
        <v>0</v>
      </c>
      <c r="I76" s="113">
        <f t="shared" ca="1" si="545"/>
        <v>0</v>
      </c>
      <c r="J76" s="113">
        <f t="shared" ca="1" si="545"/>
        <v>0</v>
      </c>
      <c r="K76" s="113">
        <f t="shared" ca="1" si="545"/>
        <v>0</v>
      </c>
      <c r="L76" s="113">
        <f t="shared" ca="1" si="545"/>
        <v>0</v>
      </c>
      <c r="M76" s="113">
        <f t="shared" ca="1" si="545"/>
        <v>3.9458900099312837</v>
      </c>
      <c r="N76" s="113">
        <f t="shared" ca="1" si="545"/>
        <v>0</v>
      </c>
      <c r="O76" s="113">
        <f t="shared" ca="1" si="545"/>
        <v>0</v>
      </c>
      <c r="P76" s="113">
        <f t="shared" ca="1" si="545"/>
        <v>6.6906948505075636</v>
      </c>
      <c r="Q76" s="113">
        <f t="shared" ref="Q76" ca="1" si="546">SUM(Q73:Q75)</f>
        <v>12.326684414938917</v>
      </c>
      <c r="R76" s="113">
        <f t="shared" ref="R76" ca="1" si="547">SUM(R73:R75)</f>
        <v>0</v>
      </c>
      <c r="S76" s="113">
        <f t="shared" ref="S76" ca="1" si="548">SUM(S73:S75)</f>
        <v>0</v>
      </c>
      <c r="T76" s="113">
        <f t="shared" ref="T76" ca="1" si="549">SUM(T73:T75)</f>
        <v>5.3601200203823893</v>
      </c>
      <c r="U76" s="113">
        <f t="shared" ref="U76" ca="1" si="550">SUM(U73:U75)</f>
        <v>9.3015905365480549</v>
      </c>
      <c r="V76" s="113">
        <f t="shared" ref="V76" ca="1" si="551">SUM(V73:V75)</f>
        <v>0</v>
      </c>
      <c r="W76" s="113">
        <f t="shared" ref="W76" ca="1" si="552">SUM(W73:W75)</f>
        <v>0</v>
      </c>
      <c r="X76" s="113">
        <f t="shared" ref="X76" ca="1" si="553">SUM(X73:X75)</f>
        <v>33.11416612782439</v>
      </c>
      <c r="Y76" s="113">
        <f t="shared" ref="Y76" ca="1" si="554">SUM(Y73:Y75)</f>
        <v>64.47016934803591</v>
      </c>
      <c r="Z76" s="113">
        <f t="shared" ref="Z76" ca="1" si="555">SUM(Z73:Z75)</f>
        <v>58.73828108192707</v>
      </c>
      <c r="AA76" s="113">
        <f t="shared" ref="AA76" ca="1" si="556">SUM(AA73:AA75)</f>
        <v>54.789072819070597</v>
      </c>
      <c r="AB76" s="113">
        <f t="shared" ref="AB76" ca="1" si="557">SUM(AB73:AB75)</f>
        <v>84.593920337762142</v>
      </c>
      <c r="AC76" s="113">
        <f t="shared" ref="AC76" ca="1" si="558">SUM(AC73:AC75)</f>
        <v>112.6272321605792</v>
      </c>
      <c r="AD76" s="113">
        <f t="shared" ref="AD76" ca="1" si="559">SUM(AD73:AD75)</f>
        <v>102.76595391472404</v>
      </c>
      <c r="AE76" s="113">
        <f t="shared" ref="AE76" ca="1" si="560">SUM(AE73:AE75)</f>
        <v>94.753647721030717</v>
      </c>
      <c r="AF76" s="113">
        <f t="shared" ref="AF76" ca="1" si="561">SUM(AF73:AF75)</f>
        <v>121.29450754900469</v>
      </c>
      <c r="AG76" s="113">
        <f t="shared" ref="AG76" ca="1" si="562">SUM(AG73:AG75)</f>
        <v>146.04671083188938</v>
      </c>
      <c r="AH76" s="113">
        <f t="shared" ref="AH76" ca="1" si="563">SUM(AH73:AH75)</f>
        <v>132.07651360640179</v>
      </c>
      <c r="AI76" s="113">
        <f t="shared" ref="AI76" ca="1" si="564">SUM(AI73:AI75)</f>
        <v>121.03981003919603</v>
      </c>
      <c r="AJ76" s="113">
        <f t="shared" ref="AJ76" ca="1" si="565">SUM(AJ73:AJ75)</f>
        <v>145.00985368064977</v>
      </c>
      <c r="AK76" s="113">
        <f t="shared" ref="AK76" ca="1" si="566">SUM(AK73:AK75)</f>
        <v>167.19447404108928</v>
      </c>
      <c r="AL76" s="113">
        <f t="shared" ref="AL76" ca="1" si="567">SUM(AL73:AL75)</f>
        <v>150.21089698310129</v>
      </c>
      <c r="AM76" s="113">
        <f t="shared" ref="AM76" ca="1" si="568">SUM(AM73:AM75)</f>
        <v>135.18897603250318</v>
      </c>
      <c r="AN76" s="113">
        <f t="shared" ref="AN76" ca="1" si="569">SUM(AN73:AN75)</f>
        <v>155.99871078005665</v>
      </c>
      <c r="AO76" s="113">
        <f t="shared" ref="AO76" ca="1" si="570">SUM(AO73:AO75)</f>
        <v>174.99955880452632</v>
      </c>
      <c r="AP76" s="113">
        <f t="shared" ref="AP76" ca="1" si="571">SUM(AP73:AP75)</f>
        <v>153.96692438421752</v>
      </c>
      <c r="AQ76" s="113">
        <f t="shared" ref="AQ76" ca="1" si="572">SUM(AQ73:AQ75)</f>
        <v>135.62893306907529</v>
      </c>
      <c r="AR76" s="113">
        <f t="shared" ref="AR76" ca="1" si="573">SUM(AR73:AR75)</f>
        <v>153.72268552271078</v>
      </c>
      <c r="AS76" s="113">
        <f t="shared" ref="AS76" ca="1" si="574">SUM(AS73:AS75)</f>
        <v>169.99626873314392</v>
      </c>
      <c r="AT76" s="113">
        <f t="shared" ref="AT76" ca="1" si="575">SUM(AT73:AT75)</f>
        <v>145.60945770351509</v>
      </c>
      <c r="AU76" s="113">
        <f t="shared" ref="AU76" ca="1" si="576">SUM(AU73:AU75)</f>
        <v>123.29521701474367</v>
      </c>
      <c r="AV76" s="113">
        <f t="shared" ref="AV76" ca="1" si="577">SUM(AV73:AV75)</f>
        <v>138.26329752376208</v>
      </c>
      <c r="AW76" s="113">
        <f t="shared" ref="AW76" ca="1" si="578">SUM(AW73:AW75)</f>
        <v>151.38102451197787</v>
      </c>
      <c r="AX76" s="113">
        <f t="shared" ref="AX76" ca="1" si="579">SUM(AX73:AX75)</f>
        <v>122.91739758924673</v>
      </c>
      <c r="AY76" s="113">
        <f t="shared" ref="AY76" ca="1" si="580">SUM(AY73:AY75)</f>
        <v>96.583891204602409</v>
      </c>
      <c r="AZ76" s="113">
        <f t="shared" ref="AZ76" ca="1" si="581">SUM(AZ73:AZ75)</f>
        <v>108.39751110450155</v>
      </c>
      <c r="BA76" s="113">
        <f t="shared" ref="BA76" ca="1" si="582">SUM(BA73:BA75)</f>
        <v>118.32668130839059</v>
      </c>
      <c r="BB76" s="113">
        <f t="shared" ref="BB76" ca="1" si="583">SUM(BB73:BB75)</f>
        <v>85.727770916310064</v>
      </c>
      <c r="BC76" s="113">
        <f t="shared" ref="BC76" ca="1" si="584">SUM(BC73:BC75)</f>
        <v>57.017397941034616</v>
      </c>
      <c r="BD76" s="113">
        <f t="shared" ref="BD76" ca="1" si="585">SUM(BD73:BD75)</f>
        <v>66.733785594080544</v>
      </c>
      <c r="BE76" s="113">
        <f t="shared" ref="BE76" ca="1" si="586">SUM(BE73:BE75)</f>
        <v>74.56780963801144</v>
      </c>
      <c r="BF76" s="113">
        <f t="shared" ref="BF76" ca="1" si="587">SUM(BF73:BF75)</f>
        <v>39.588871184344569</v>
      </c>
      <c r="BG76" s="113">
        <f t="shared" ref="BG76" ca="1" si="588">SUM(BG73:BG75)</f>
        <v>6.8255609963766801</v>
      </c>
      <c r="BH76" s="113">
        <f t="shared" ref="BH76" ca="1" si="589">SUM(BH73:BH75)</f>
        <v>13.379934073097198</v>
      </c>
      <c r="BI76" s="113">
        <f t="shared" ref="BI76" ca="1" si="590">SUM(BI73:BI75)</f>
        <v>18.011767759195216</v>
      </c>
      <c r="BJ76" s="113">
        <f t="shared" ref="BJ76" ca="1" si="591">SUM(BJ73:BJ75)</f>
        <v>0</v>
      </c>
      <c r="BK76" s="113">
        <f t="shared" ref="BK76" ca="1" si="592">SUM(BK73:BK75)</f>
        <v>0</v>
      </c>
      <c r="BL76" s="113">
        <f t="shared" ref="BL76" ca="1" si="593">SUM(BL73:BL75)</f>
        <v>3.327233136685809</v>
      </c>
      <c r="BM76" s="113">
        <f t="shared" ref="BM76" ca="1" si="594">SUM(BM73:BM75)</f>
        <v>4.6877280966573238</v>
      </c>
      <c r="BN76" s="113">
        <f t="shared" ref="BN76" ca="1" si="595">SUM(BN73:BN75)</f>
        <v>0</v>
      </c>
      <c r="BO76" s="113">
        <f t="shared" ref="BO76" ca="1" si="596">SUM(BO73:BO75)</f>
        <v>0</v>
      </c>
      <c r="BP76" s="113">
        <f t="shared" ref="BP76" ca="1" si="597">SUM(BP73:BP75)</f>
        <v>2.1081181815567618E-2</v>
      </c>
      <c r="BQ76" s="113">
        <f t="shared" ref="BQ76" ca="1" si="598">SUM(BQ73:BQ75)</f>
        <v>0</v>
      </c>
      <c r="BR76" s="113">
        <f t="shared" ref="BR76" ca="1" si="599">SUM(BR73:BR75)</f>
        <v>0</v>
      </c>
      <c r="BS76" s="113">
        <f t="shared" ref="BS76" ca="1" si="600">SUM(BS73:BS75)</f>
        <v>0</v>
      </c>
      <c r="BT76" s="113">
        <f t="shared" ref="BT76" ca="1" si="601">SUM(BT73:BT75)</f>
        <v>0</v>
      </c>
      <c r="BU76" s="113">
        <f t="shared" ref="BU76" ca="1" si="602">SUM(BU73:BU75)</f>
        <v>0</v>
      </c>
      <c r="BV76" s="113">
        <f t="shared" ref="BV76" ca="1" si="603">SUM(BV73:BV75)</f>
        <v>0</v>
      </c>
      <c r="BW76" s="113">
        <f t="shared" ref="BW76" ca="1" si="604">SUM(BW73:BW75)</f>
        <v>0</v>
      </c>
      <c r="BX76" s="113">
        <f t="shared" ref="BX76" ca="1" si="605">SUM(BX73:BX75)</f>
        <v>0</v>
      </c>
      <c r="BY76" s="113">
        <f t="shared" ref="BY76" ca="1" si="606">SUM(BY73:BY75)</f>
        <v>0</v>
      </c>
      <c r="BZ76" s="113">
        <f t="shared" ref="BZ76" ca="1" si="607">SUM(BZ73:BZ75)</f>
        <v>0</v>
      </c>
      <c r="CA76" s="113">
        <f t="shared" ref="CA76" ca="1" si="608">SUM(CA73:CA75)</f>
        <v>0</v>
      </c>
      <c r="CB76" s="113">
        <f t="shared" ref="CB76" ca="1" si="609">SUM(CB73:CB75)</f>
        <v>0</v>
      </c>
      <c r="CC76" s="113">
        <f t="shared" ref="CC76" ca="1" si="610">SUM(CC73:CC75)</f>
        <v>0</v>
      </c>
      <c r="CD76" s="113">
        <f t="shared" ref="CD76" ca="1" si="611">SUM(CD73:CD75)</f>
        <v>0</v>
      </c>
      <c r="CE76" s="113">
        <f t="shared" ref="CE76" ca="1" si="612">SUM(CE73:CE75)</f>
        <v>0</v>
      </c>
      <c r="CF76" s="113">
        <f t="shared" ref="CF76" ca="1" si="613">SUM(CF73:CF75)</f>
        <v>0</v>
      </c>
      <c r="CG76" s="113">
        <f t="shared" ref="CG76" ca="1" si="614">SUM(CG73:CG75)</f>
        <v>0</v>
      </c>
      <c r="CH76" s="113">
        <f t="shared" ref="CH76" ca="1" si="615">SUM(CH73:CH75)</f>
        <v>0</v>
      </c>
      <c r="CI76" s="113">
        <f t="shared" ref="CI76" ca="1" si="616">SUM(CI73:CI75)</f>
        <v>0</v>
      </c>
      <c r="CJ76" s="113">
        <f t="shared" ref="CJ76" ca="1" si="617">SUM(CJ73:CJ75)</f>
        <v>0</v>
      </c>
      <c r="CK76" s="113">
        <f t="shared" ref="CK76" ca="1" si="618">SUM(CK73:CK75)</f>
        <v>0</v>
      </c>
      <c r="CL76" s="113">
        <f t="shared" ref="CL76" ca="1" si="619">SUM(CL73:CL75)</f>
        <v>0</v>
      </c>
      <c r="CM76" s="113">
        <f t="shared" ref="CM76" ca="1" si="620">SUM(CM73:CM75)</f>
        <v>0</v>
      </c>
      <c r="CN76" s="113">
        <f t="shared" ref="CN76" ca="1" si="621">SUM(CN73:CN75)</f>
        <v>0</v>
      </c>
      <c r="CO76" s="113">
        <f t="shared" ref="CO76" ca="1" si="622">SUM(CO73:CO75)</f>
        <v>0</v>
      </c>
      <c r="CP76" s="113">
        <f t="shared" ref="CP76" ca="1" si="623">SUM(CP73:CP75)</f>
        <v>0</v>
      </c>
      <c r="CQ76" s="113">
        <f t="shared" ref="CQ76" ca="1" si="624">SUM(CQ73:CQ75)</f>
        <v>0</v>
      </c>
      <c r="CR76" s="113">
        <f t="shared" ref="CR76" ca="1" si="625">SUM(CR73:CR75)</f>
        <v>0</v>
      </c>
      <c r="CS76" s="113">
        <f t="shared" ref="CS76" ca="1" si="626">SUM(CS73:CS75)</f>
        <v>0</v>
      </c>
      <c r="CT76" s="113">
        <f t="shared" ref="CT76" ca="1" si="627">SUM(CT73:CT75)</f>
        <v>0</v>
      </c>
      <c r="CU76" s="265">
        <f t="shared" ref="CU76" ca="1" si="628">SUM(CU73:CU75)</f>
        <v>0</v>
      </c>
      <c r="CV76" s="113">
        <f t="shared" ref="CV76" ca="1" si="629">SUM(CV73:CV75)</f>
        <v>15.162368183403663</v>
      </c>
      <c r="CW76" s="113">
        <f t="shared" ref="CW76" ca="1" si="630">SUM(CW73:CW75)</f>
        <v>29.494730175743282</v>
      </c>
      <c r="CX76" s="113">
        <f t="shared" ref="CX76" ca="1" si="631">SUM(CX73:CX75)</f>
        <v>18.229984233628983</v>
      </c>
      <c r="CY76" s="113">
        <f t="shared" ref="CY76" ca="1" si="632">SUM(CY73:CY75)</f>
        <v>9.841737859049589</v>
      </c>
      <c r="CZ76" s="113">
        <f t="shared" ref="CZ76" ca="1" si="633">SUM(CZ73:CZ75)</f>
        <v>25.335373512630525</v>
      </c>
      <c r="DA76" s="113">
        <f t="shared" ref="DA76" ca="1" si="634">SUM(DA73:DA75)</f>
        <v>40.010957851027015</v>
      </c>
      <c r="DB76" s="113">
        <f t="shared" ref="DB76" ca="1" si="635">SUM(DB73:DB75)</f>
        <v>28.939310996916081</v>
      </c>
      <c r="DC76" s="113">
        <f t="shared" ref="DC76" ca="1" si="636">SUM(DC73:DC75)</f>
        <v>19.704860468749445</v>
      </c>
      <c r="DD76" s="113">
        <f t="shared" ref="DD76" ca="1" si="637">SUM(DD73:DD75)</f>
        <v>34.914810734511661</v>
      </c>
      <c r="DE76" s="113">
        <f t="shared" ref="DE76" ca="1" si="638">SUM(DE73:DE75)</f>
        <v>49.302173801429149</v>
      </c>
      <c r="DF76" s="113">
        <f t="shared" ref="DF76" ca="1" si="639">SUM(DF73:DF75)</f>
        <v>37.36545707887754</v>
      </c>
      <c r="DG76" s="113">
        <f t="shared" ref="DG76" ca="1" si="640">SUM(DG73:DG75)</f>
        <v>27.321965759012397</v>
      </c>
      <c r="DH76" s="113">
        <f t="shared" ref="DH76" ca="1" si="641">SUM(DH73:DH75)</f>
        <v>42.297557765704752</v>
      </c>
      <c r="DI76" s="113">
        <f t="shared" ref="DI76" ca="1" si="642">SUM(DI73:DI75)</f>
        <v>56.445188850920125</v>
      </c>
      <c r="DJ76" s="113">
        <f t="shared" ref="DJ76" ca="1" si="643">SUM(DJ73:DJ75)</f>
        <v>43.677931249422144</v>
      </c>
      <c r="DK76" s="113">
        <f t="shared" ref="DK76" ca="1" si="644">SUM(DK73:DK75)</f>
        <v>32.860504305077441</v>
      </c>
      <c r="DL76" s="113">
        <f t="shared" ref="DL76" ca="1" si="645">SUM(DL73:DL75)</f>
        <v>47.649334252592638</v>
      </c>
      <c r="DM76" s="113">
        <f t="shared" ref="DM76" ca="1" si="646">SUM(DM73:DM75)</f>
        <v>61.604019881253556</v>
      </c>
      <c r="DN76" s="113">
        <f t="shared" ref="DN76" ca="1" si="647">SUM(DN73:DN75)</f>
        <v>48.038773925817175</v>
      </c>
      <c r="DO76" s="113">
        <f t="shared" ref="DO76" ca="1" si="648">SUM(DO73:DO75)</f>
        <v>36.480599279407137</v>
      </c>
      <c r="DP76" s="113">
        <f t="shared" ref="DP76" ca="1" si="649">SUM(DP73:DP75)</f>
        <v>51.128678106603047</v>
      </c>
      <c r="DQ76" s="113">
        <f t="shared" ref="DQ76" ca="1" si="650">SUM(DQ73:DQ75)</f>
        <v>64.935645604158253</v>
      </c>
      <c r="DR76" s="113">
        <f t="shared" ref="DR76" ca="1" si="651">SUM(DR73:DR75)</f>
        <v>50.603121932433623</v>
      </c>
      <c r="DS76" s="113">
        <f t="shared" ref="DS76" ca="1" si="652">SUM(DS73:DS75)</f>
        <v>38.335603533614957</v>
      </c>
      <c r="DT76" s="113">
        <f t="shared" ref="DT76" ca="1" si="653">SUM(DT73:DT75)</f>
        <v>52.887495186789764</v>
      </c>
      <c r="DU76" s="113">
        <f t="shared" ref="DU76" ca="1" si="654">SUM(DU73:DU75)</f>
        <v>66.590548963912283</v>
      </c>
      <c r="DV76" s="113">
        <f t="shared" ref="DV76" ca="1" si="655">SUM(DV73:DV75)</f>
        <v>51.519743582090008</v>
      </c>
      <c r="DW76" s="113">
        <f t="shared" ref="DW76" ca="1" si="656">SUM(DW73:DW75)</f>
        <v>38.572627491159395</v>
      </c>
      <c r="DX76" s="113">
        <f t="shared" ref="DX76" ca="1" si="657">SUM(DX73:DX75)</f>
        <v>53.071580278601715</v>
      </c>
      <c r="DY76" s="113">
        <f t="shared" ref="DY76" ca="1" si="658">SUM(DY73:DY75)</f>
        <v>66.713231314283561</v>
      </c>
      <c r="DZ76" s="113">
        <f t="shared" ref="DZ76" ca="1" si="659">SUM(DZ73:DZ75)</f>
        <v>50.931545999167433</v>
      </c>
      <c r="EA76" s="113">
        <f t="shared" ref="EA76" ca="1" si="660">SUM(EA73:EA75)</f>
        <v>37.333039742580645</v>
      </c>
      <c r="EB76" s="113">
        <f t="shared" ref="EB76" ca="1" si="661">SUM(EB73:EB75)</f>
        <v>51.821111232743128</v>
      </c>
      <c r="EC76" s="113">
        <f t="shared" ref="EC76" ca="1" si="662">SUM(EC73:EC75)</f>
        <v>65.442700206301907</v>
      </c>
      <c r="ED76" s="113">
        <f t="shared" ref="ED76" ca="1" si="663">SUM(ED73:ED75)</f>
        <v>48.9760564938667</v>
      </c>
      <c r="EE76" s="113">
        <f t="shared" ref="EE76" ca="1" si="664">SUM(EE73:EE75)</f>
        <v>34.75294212598601</v>
      </c>
      <c r="EF76" s="113">
        <f t="shared" ref="EF76" ca="1" si="665">SUM(EF73:EF75)</f>
        <v>49.27111802066667</v>
      </c>
      <c r="EG76" s="113">
        <f t="shared" ref="EG76" ca="1" si="666">SUM(EG73:EG75)</f>
        <v>62.912932517648898</v>
      </c>
      <c r="EH76" s="113">
        <f t="shared" ref="EH76" ca="1" si="667">SUM(EH73:EH75)</f>
        <v>45.785879692955419</v>
      </c>
      <c r="EI76" s="113">
        <f t="shared" ref="EI76" ca="1" si="668">SUM(EI73:EI75)</f>
        <v>30.963620973100014</v>
      </c>
      <c r="EJ76" s="113">
        <f t="shared" ref="EJ76" ca="1" si="669">SUM(EJ73:EJ75)</f>
        <v>30.963620973100014</v>
      </c>
      <c r="EK76" s="113">
        <f t="shared" ref="EK76" ca="1" si="670">SUM(EK73:EK75)</f>
        <v>30.963620973100014</v>
      </c>
      <c r="EL76" s="113">
        <f t="shared" ref="EL76" ca="1" si="671">SUM(EL73:EL75)</f>
        <v>30.963620973100014</v>
      </c>
      <c r="EM76" s="113">
        <f t="shared" ref="EM76" ca="1" si="672">SUM(EM73:EM75)</f>
        <v>30.963620973100014</v>
      </c>
      <c r="EN76" s="113">
        <f t="shared" ref="EN76" ca="1" si="673">SUM(EN73:EN75)</f>
        <v>30.963620973100014</v>
      </c>
      <c r="EO76" s="113">
        <f t="shared" ref="EO76" ca="1" si="674">SUM(EO73:EO75)</f>
        <v>30.963620973100014</v>
      </c>
      <c r="EP76" s="113">
        <f t="shared" ref="EP76" ca="1" si="675">SUM(EP73:EP75)</f>
        <v>30.963620973100014</v>
      </c>
      <c r="EQ76" s="113">
        <f t="shared" ref="EQ76" ca="1" si="676">SUM(EQ73:EQ75)</f>
        <v>30.963620973100014</v>
      </c>
      <c r="ER76" s="113">
        <f t="shared" ref="ER76" ca="1" si="677">SUM(ER73:ER75)</f>
        <v>30.963620973100014</v>
      </c>
      <c r="ES76" s="113">
        <f t="shared" ref="ES76" ca="1" si="678">SUM(ES73:ES75)</f>
        <v>30.963620973100014</v>
      </c>
      <c r="ET76" s="113">
        <f t="shared" ref="ET76" ca="1" si="679">SUM(ET73:ET75)</f>
        <v>30.963620973100014</v>
      </c>
      <c r="EU76" s="113">
        <f t="shared" ref="EU76" ca="1" si="680">SUM(EU73:EU75)</f>
        <v>30.963620973100014</v>
      </c>
      <c r="EV76" s="113">
        <f t="shared" ref="EV76" ca="1" si="681">SUM(EV73:EV75)</f>
        <v>30.963620973100014</v>
      </c>
      <c r="EW76" s="113">
        <f t="shared" ref="EW76" ca="1" si="682">SUM(EW73:EW75)</f>
        <v>30.963620973100014</v>
      </c>
      <c r="EX76" s="113">
        <f t="shared" ref="EX76" ca="1" si="683">SUM(EX73:EX75)</f>
        <v>30.963620973100014</v>
      </c>
      <c r="EY76" s="113">
        <f t="shared" ref="EY76" ca="1" si="684">SUM(EY73:EY75)</f>
        <v>30.963620973100014</v>
      </c>
      <c r="EZ76" s="113">
        <f t="shared" ref="EZ76" ca="1" si="685">SUM(EZ73:EZ75)</f>
        <v>30.963620973100014</v>
      </c>
      <c r="FA76" s="113">
        <f t="shared" ref="FA76" ca="1" si="686">SUM(FA73:FA75)</f>
        <v>30.963620973100014</v>
      </c>
    </row>
    <row r="77" spans="2:157" s="2" customFormat="1" outlineLevel="1" x14ac:dyDescent="0.2">
      <c r="C77" s="39"/>
      <c r="D77" s="31"/>
      <c r="E77" s="214"/>
      <c r="F77" s="31"/>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262"/>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3"/>
      <c r="EL77" s="13"/>
      <c r="EM77" s="13"/>
      <c r="EN77" s="13"/>
      <c r="EO77" s="13"/>
      <c r="EP77" s="13"/>
      <c r="EQ77" s="13"/>
      <c r="ER77" s="13"/>
      <c r="ES77" s="13"/>
      <c r="ET77" s="13"/>
      <c r="EU77" s="13"/>
      <c r="EV77" s="13"/>
      <c r="EW77" s="13"/>
      <c r="EX77" s="13"/>
      <c r="EY77" s="13"/>
      <c r="EZ77" s="13"/>
      <c r="FA77" s="13"/>
    </row>
    <row r="78" spans="2:157" outlineLevel="1" x14ac:dyDescent="0.2">
      <c r="B78" s="1"/>
      <c r="C78" s="27" t="s">
        <v>54</v>
      </c>
      <c r="D78" s="28"/>
      <c r="E78" s="211"/>
      <c r="F78" s="28"/>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c r="CE78" s="29"/>
      <c r="CF78" s="29"/>
      <c r="CG78" s="29"/>
      <c r="CH78" s="29"/>
      <c r="CI78" s="29"/>
      <c r="CJ78" s="29"/>
      <c r="CK78" s="29"/>
      <c r="CL78" s="29"/>
      <c r="CM78" s="29"/>
      <c r="CN78" s="29"/>
      <c r="CO78" s="29"/>
      <c r="CP78" s="29"/>
      <c r="CQ78" s="29"/>
      <c r="CR78" s="29"/>
      <c r="CS78" s="29"/>
      <c r="CT78" s="29"/>
      <c r="CU78" s="246"/>
      <c r="CV78" s="29"/>
      <c r="CW78" s="29"/>
      <c r="CX78" s="29"/>
      <c r="CY78" s="29"/>
      <c r="CZ78" s="29"/>
      <c r="DA78" s="29"/>
      <c r="DB78" s="29"/>
      <c r="DC78" s="29"/>
      <c r="DD78" s="29"/>
      <c r="DE78" s="29"/>
      <c r="DF78" s="29"/>
      <c r="DG78" s="29"/>
      <c r="DH78" s="29"/>
      <c r="DI78" s="29"/>
      <c r="DJ78" s="29"/>
      <c r="DK78" s="29"/>
      <c r="DL78" s="29"/>
      <c r="DM78" s="29"/>
      <c r="DN78" s="29"/>
      <c r="DO78" s="29"/>
      <c r="DP78" s="29"/>
      <c r="DQ78" s="29"/>
      <c r="DR78" s="29"/>
      <c r="DS78" s="29"/>
      <c r="DT78" s="29"/>
      <c r="DU78" s="29"/>
      <c r="DV78" s="29"/>
      <c r="DW78" s="29"/>
      <c r="DX78" s="29"/>
      <c r="DY78" s="29"/>
      <c r="DZ78" s="29"/>
      <c r="EA78" s="29"/>
      <c r="EB78" s="29"/>
      <c r="EC78" s="29"/>
      <c r="ED78" s="29"/>
      <c r="EE78" s="29"/>
      <c r="EF78" s="29"/>
      <c r="EG78" s="29"/>
      <c r="EH78" s="29"/>
      <c r="EI78" s="29"/>
      <c r="EJ78" s="29"/>
      <c r="EK78" s="29"/>
      <c r="EL78" s="29"/>
      <c r="EM78" s="29"/>
      <c r="EN78" s="29"/>
      <c r="EO78" s="29"/>
      <c r="EP78" s="29"/>
      <c r="EQ78" s="29"/>
      <c r="ER78" s="29"/>
      <c r="ES78" s="29"/>
      <c r="ET78" s="29"/>
      <c r="EU78" s="29"/>
      <c r="EV78" s="29"/>
      <c r="EW78" s="29"/>
      <c r="EX78" s="29"/>
      <c r="EY78" s="29"/>
      <c r="EZ78" s="29"/>
      <c r="FA78" s="29"/>
    </row>
    <row r="79" spans="2:157" outlineLevel="1" x14ac:dyDescent="0.2">
      <c r="C79" s="93" t="s">
        <v>30</v>
      </c>
      <c r="D79" s="21" t="s">
        <v>126</v>
      </c>
      <c r="E79" s="5"/>
      <c r="F79" s="5"/>
      <c r="G79" s="106">
        <f>G64</f>
        <v>0</v>
      </c>
      <c r="H79" s="106">
        <f t="shared" ref="H79:BS79" si="687">H64</f>
        <v>0</v>
      </c>
      <c r="I79" s="106">
        <f t="shared" si="687"/>
        <v>0</v>
      </c>
      <c r="J79" s="106">
        <f t="shared" si="687"/>
        <v>0</v>
      </c>
      <c r="K79" s="106">
        <f t="shared" si="687"/>
        <v>0</v>
      </c>
      <c r="L79" s="106">
        <f t="shared" si="687"/>
        <v>0</v>
      </c>
      <c r="M79" s="106">
        <f t="shared" si="687"/>
        <v>6.5925202962190168</v>
      </c>
      <c r="N79" s="106">
        <f t="shared" si="687"/>
        <v>18.926854976573768</v>
      </c>
      <c r="O79" s="106">
        <f t="shared" si="687"/>
        <v>22.505543957723116</v>
      </c>
      <c r="P79" s="106">
        <f t="shared" si="687"/>
        <v>17.710086922227855</v>
      </c>
      <c r="Q79" s="106">
        <f t="shared" si="687"/>
        <v>26.063347990485809</v>
      </c>
      <c r="R79" s="106">
        <f t="shared" si="687"/>
        <v>62.675576233805266</v>
      </c>
      <c r="S79" s="106">
        <f t="shared" si="687"/>
        <v>64.116637284630258</v>
      </c>
      <c r="T79" s="106">
        <f t="shared" si="687"/>
        <v>31.049236592090701</v>
      </c>
      <c r="U79" s="106">
        <f t="shared" si="687"/>
        <v>32.227608527270561</v>
      </c>
      <c r="V79" s="106">
        <f t="shared" si="687"/>
        <v>67.969510134053081</v>
      </c>
      <c r="W79" s="106">
        <f t="shared" si="687"/>
        <v>65.477071364776549</v>
      </c>
      <c r="X79" s="106">
        <f t="shared" si="687"/>
        <v>31.650009659330014</v>
      </c>
      <c r="Y79" s="106">
        <f t="shared" si="687"/>
        <v>32.854655791722514</v>
      </c>
      <c r="Z79" s="106">
        <f t="shared" si="687"/>
        <v>69.41605929354543</v>
      </c>
      <c r="AA79" s="106">
        <f t="shared" si="687"/>
        <v>66.865638962841572</v>
      </c>
      <c r="AB79" s="106">
        <f t="shared" si="687"/>
        <v>32.261460717789504</v>
      </c>
      <c r="AC79" s="106">
        <f t="shared" si="687"/>
        <v>33.492962586449984</v>
      </c>
      <c r="AD79" s="106">
        <f t="shared" si="687"/>
        <v>70.892653949694619</v>
      </c>
      <c r="AE79" s="106">
        <f t="shared" si="687"/>
        <v>68.282899629251858</v>
      </c>
      <c r="AF79" s="106">
        <f t="shared" si="687"/>
        <v>32.883748118131884</v>
      </c>
      <c r="AG79" s="106">
        <f t="shared" si="687"/>
        <v>34.142700008885271</v>
      </c>
      <c r="AH79" s="106">
        <f t="shared" si="687"/>
        <v>72.399895734155635</v>
      </c>
      <c r="AI79" s="106">
        <f t="shared" si="687"/>
        <v>68.709343717430784</v>
      </c>
      <c r="AJ79" s="106">
        <f t="shared" si="687"/>
        <v>32.86631456339758</v>
      </c>
      <c r="AK79" s="106">
        <f t="shared" si="687"/>
        <v>34.138063527793079</v>
      </c>
      <c r="AL79" s="106">
        <f t="shared" si="687"/>
        <v>72.868968450104759</v>
      </c>
      <c r="AM79" s="106">
        <f t="shared" si="687"/>
        <v>70.162300256784889</v>
      </c>
      <c r="AN79" s="106">
        <f t="shared" si="687"/>
        <v>33.49582055112127</v>
      </c>
      <c r="AO79" s="106">
        <f t="shared" si="687"/>
        <v>34.795897235525146</v>
      </c>
      <c r="AP79" s="106">
        <f t="shared" si="687"/>
        <v>74.414811580193273</v>
      </c>
      <c r="AQ79" s="106">
        <f t="shared" si="687"/>
        <v>70.97325203925655</v>
      </c>
      <c r="AR79" s="106">
        <f t="shared" si="687"/>
        <v>33.707690386914514</v>
      </c>
      <c r="AS79" s="106">
        <f t="shared" si="687"/>
        <v>35.026669385092198</v>
      </c>
      <c r="AT79" s="106">
        <f t="shared" si="687"/>
        <v>75.288204448023649</v>
      </c>
      <c r="AU79" s="106">
        <f t="shared" si="687"/>
        <v>72.471173901775416</v>
      </c>
      <c r="AV79" s="106">
        <f t="shared" si="687"/>
        <v>34.349466331806084</v>
      </c>
      <c r="AW79" s="106">
        <f t="shared" si="687"/>
        <v>35.697808400442611</v>
      </c>
      <c r="AX79" s="106">
        <f t="shared" si="687"/>
        <v>76.882431932656601</v>
      </c>
      <c r="AY79" s="106">
        <f t="shared" si="687"/>
        <v>73.99983046878053</v>
      </c>
      <c r="AZ79" s="106">
        <f t="shared" si="687"/>
        <v>35.002303293691682</v>
      </c>
      <c r="BA79" s="106">
        <f t="shared" si="687"/>
        <v>36.380657002697617</v>
      </c>
      <c r="BB79" s="106">
        <f t="shared" si="687"/>
        <v>78.509528396928872</v>
      </c>
      <c r="BC79" s="106">
        <f t="shared" si="687"/>
        <v>73.857058360687446</v>
      </c>
      <c r="BD79" s="106">
        <f t="shared" si="687"/>
        <v>34.58014420371147</v>
      </c>
      <c r="BE79" s="106">
        <f t="shared" si="687"/>
        <v>35.963699128177645</v>
      </c>
      <c r="BF79" s="106">
        <f t="shared" si="687"/>
        <v>78.38500062694294</v>
      </c>
      <c r="BG79" s="106">
        <f t="shared" si="687"/>
        <v>75.409928122705153</v>
      </c>
      <c r="BH79" s="106">
        <f t="shared" si="687"/>
        <v>35.2306299641088</v>
      </c>
      <c r="BI79" s="106">
        <f t="shared" si="687"/>
        <v>36.644951896160379</v>
      </c>
      <c r="BJ79" s="106">
        <f t="shared" si="687"/>
        <v>80.038829883441281</v>
      </c>
      <c r="BK79" s="106">
        <f t="shared" si="687"/>
        <v>76.994480234339463</v>
      </c>
      <c r="BL79" s="106">
        <f t="shared" si="687"/>
        <v>35.892061054714013</v>
      </c>
      <c r="BM79" s="106">
        <f t="shared" si="687"/>
        <v>37.33782860170394</v>
      </c>
      <c r="BN79" s="106">
        <f t="shared" si="687"/>
        <v>81.726576022231797</v>
      </c>
      <c r="BO79" s="106">
        <f t="shared" si="687"/>
        <v>78.611331440583825</v>
      </c>
      <c r="BP79" s="106">
        <f t="shared" si="687"/>
        <v>36.56457754243398</v>
      </c>
      <c r="BQ79" s="106">
        <f t="shared" si="687"/>
        <v>38.042484116970549</v>
      </c>
      <c r="BR79" s="106">
        <f t="shared" si="687"/>
        <v>83.448904764445714</v>
      </c>
      <c r="BS79" s="106">
        <f t="shared" si="687"/>
        <v>80.261109554863438</v>
      </c>
      <c r="BT79" s="106">
        <f t="shared" ref="BT79:EE79" si="688">BT64</f>
        <v>37.248319601454533</v>
      </c>
      <c r="BU79" s="106">
        <f t="shared" si="688"/>
        <v>38.759073739642588</v>
      </c>
      <c r="BV79" s="106">
        <f t="shared" si="688"/>
        <v>85.206493959029487</v>
      </c>
      <c r="BW79" s="106">
        <f t="shared" si="688"/>
        <v>81.944453626597436</v>
      </c>
      <c r="BX79" s="106">
        <f t="shared" si="688"/>
        <v>37.943427428643474</v>
      </c>
      <c r="BY79" s="106">
        <f t="shared" si="688"/>
        <v>39.487753115024631</v>
      </c>
      <c r="BZ79" s="106">
        <f t="shared" si="688"/>
        <v>87.000033772805196</v>
      </c>
      <c r="CA79" s="106">
        <f t="shared" si="688"/>
        <v>83.662014110178887</v>
      </c>
      <c r="CB79" s="106">
        <f t="shared" si="688"/>
        <v>38.650041154567973</v>
      </c>
      <c r="CC79" s="106">
        <f t="shared" si="688"/>
        <v>40.228678153896674</v>
      </c>
      <c r="CD79" s="106">
        <f t="shared" si="688"/>
        <v>88.830226882415815</v>
      </c>
      <c r="CE79" s="106">
        <f t="shared" si="688"/>
        <v>82.790230287739718</v>
      </c>
      <c r="CF79" s="106">
        <f t="shared" si="688"/>
        <v>37.694288321295922</v>
      </c>
      <c r="CG79" s="106">
        <f t="shared" si="688"/>
        <v>39.268734491004139</v>
      </c>
      <c r="CH79" s="106">
        <f t="shared" si="688"/>
        <v>87.946610926625453</v>
      </c>
      <c r="CI79" s="106">
        <f t="shared" si="688"/>
        <v>84.517995519195793</v>
      </c>
      <c r="CJ79" s="106">
        <f t="shared" si="688"/>
        <v>38.385914913538308</v>
      </c>
      <c r="CK79" s="106">
        <f t="shared" si="688"/>
        <v>39.995299656760352</v>
      </c>
      <c r="CL79" s="106">
        <f t="shared" si="688"/>
        <v>89.789130138789716</v>
      </c>
      <c r="CM79" s="106">
        <f t="shared" si="688"/>
        <v>86.280616481156798</v>
      </c>
      <c r="CN79" s="106">
        <f t="shared" si="688"/>
        <v>39.088584732683074</v>
      </c>
      <c r="CO79" s="106">
        <f t="shared" si="688"/>
        <v>40.733676538632693</v>
      </c>
      <c r="CP79" s="106">
        <f t="shared" si="688"/>
        <v>91.669038630581497</v>
      </c>
      <c r="CQ79" s="106">
        <f t="shared" si="688"/>
        <v>88.078759243644043</v>
      </c>
      <c r="CR79" s="106">
        <f t="shared" si="688"/>
        <v>39.802416425350103</v>
      </c>
      <c r="CS79" s="106">
        <f t="shared" si="688"/>
        <v>41.484000487200682</v>
      </c>
      <c r="CT79" s="106">
        <f t="shared" si="688"/>
        <v>93.587057818326585</v>
      </c>
      <c r="CU79" s="259">
        <f t="shared" si="688"/>
        <v>89.913101418487742</v>
      </c>
      <c r="CV79" s="106">
        <f t="shared" si="688"/>
        <v>-4.4117768490310159</v>
      </c>
      <c r="CW79" s="106">
        <f t="shared" si="688"/>
        <v>-3.7467903298177507</v>
      </c>
      <c r="CX79" s="106">
        <f t="shared" si="688"/>
        <v>21.687830955504861</v>
      </c>
      <c r="CY79" s="106">
        <f t="shared" si="688"/>
        <v>18.651338880108259</v>
      </c>
      <c r="CZ79" s="106">
        <f t="shared" si="688"/>
        <v>-5.3880797992706526</v>
      </c>
      <c r="DA79" s="106">
        <f t="shared" si="688"/>
        <v>-4.7251469756259414</v>
      </c>
      <c r="DB79" s="106">
        <f t="shared" si="688"/>
        <v>20.869346766698058</v>
      </c>
      <c r="DC79" s="106">
        <f t="shared" si="688"/>
        <v>18.881757483363767</v>
      </c>
      <c r="DD79" s="106">
        <f t="shared" si="688"/>
        <v>-5.710727762710551</v>
      </c>
      <c r="DE79" s="106">
        <f t="shared" si="688"/>
        <v>-5.0339519459131745</v>
      </c>
      <c r="DF79" s="106">
        <f t="shared" si="688"/>
        <v>21.146554640383503</v>
      </c>
      <c r="DG79" s="106">
        <f t="shared" si="688"/>
        <v>19.111959857750449</v>
      </c>
      <c r="DH79" s="106">
        <f t="shared" si="688"/>
        <v>-6.046322853823793</v>
      </c>
      <c r="DI79" s="106">
        <f t="shared" si="688"/>
        <v>-5.3554246314713101</v>
      </c>
      <c r="DJ79" s="106">
        <f t="shared" si="688"/>
        <v>21.424505244259962</v>
      </c>
      <c r="DK79" s="106">
        <f t="shared" si="688"/>
        <v>19.34178736995689</v>
      </c>
      <c r="DL79" s="106">
        <f t="shared" si="688"/>
        <v>-6.3953169438187452</v>
      </c>
      <c r="DM79" s="106">
        <f t="shared" si="688"/>
        <v>-5.6900115621415006</v>
      </c>
      <c r="DN79" s="106">
        <f t="shared" si="688"/>
        <v>21.703058739632649</v>
      </c>
      <c r="DO79" s="106">
        <f t="shared" si="688"/>
        <v>19.571073446485492</v>
      </c>
      <c r="DP79" s="106">
        <f t="shared" si="688"/>
        <v>-6.7581766037212416</v>
      </c>
      <c r="DQ79" s="106">
        <f t="shared" si="688"/>
        <v>-6.038173875026958</v>
      </c>
      <c r="DR79" s="106">
        <f t="shared" si="688"/>
        <v>21.982067688869115</v>
      </c>
      <c r="DS79" s="106">
        <f t="shared" si="688"/>
        <v>19.799643270889597</v>
      </c>
      <c r="DT79" s="106">
        <f t="shared" si="688"/>
        <v>-7.1353835631086238</v>
      </c>
      <c r="DU79" s="106">
        <f t="shared" si="688"/>
        <v>-6.400387771945959</v>
      </c>
      <c r="DV79" s="106">
        <f t="shared" si="688"/>
        <v>22.261376757938091</v>
      </c>
      <c r="DW79" s="106">
        <f t="shared" si="688"/>
        <v>20.027313470677285</v>
      </c>
      <c r="DX79" s="106">
        <f t="shared" si="688"/>
        <v>-7.5274351827801063</v>
      </c>
      <c r="DY79" s="106">
        <f t="shared" si="688"/>
        <v>-6.777144990815879</v>
      </c>
      <c r="DZ79" s="106">
        <f t="shared" si="688"/>
        <v>22.540822408665001</v>
      </c>
      <c r="EA79" s="106">
        <f t="shared" si="688"/>
        <v>20.253891793548661</v>
      </c>
      <c r="EB79" s="106">
        <f t="shared" si="688"/>
        <v>-7.9348449417800051</v>
      </c>
      <c r="EC79" s="106">
        <f t="shared" si="688"/>
        <v>-7.1689532913847813</v>
      </c>
      <c r="ED79" s="106">
        <f t="shared" si="688"/>
        <v>22.820232580371144</v>
      </c>
      <c r="EE79" s="106">
        <f t="shared" si="688"/>
        <v>20.47917677262485</v>
      </c>
      <c r="EF79" s="106">
        <f t="shared" ref="EF79:FA79" si="689">EF64</f>
        <v>-8.3581429392011284</v>
      </c>
      <c r="EG79" s="106">
        <f t="shared" si="689"/>
        <v>-7.5763369557386628</v>
      </c>
      <c r="EH79" s="106">
        <f t="shared" si="689"/>
        <v>23.099426360553252</v>
      </c>
      <c r="EI79" s="106">
        <f t="shared" si="689"/>
        <v>20.702957380314913</v>
      </c>
      <c r="EJ79" s="106">
        <f t="shared" si="689"/>
        <v>0</v>
      </c>
      <c r="EK79" s="106">
        <f t="shared" si="689"/>
        <v>0</v>
      </c>
      <c r="EL79" s="106">
        <f t="shared" si="689"/>
        <v>0</v>
      </c>
      <c r="EM79" s="106">
        <f t="shared" si="689"/>
        <v>0</v>
      </c>
      <c r="EN79" s="106">
        <f t="shared" si="689"/>
        <v>0</v>
      </c>
      <c r="EO79" s="106">
        <f t="shared" si="689"/>
        <v>0</v>
      </c>
      <c r="EP79" s="106">
        <f t="shared" si="689"/>
        <v>0</v>
      </c>
      <c r="EQ79" s="106">
        <f t="shared" si="689"/>
        <v>0</v>
      </c>
      <c r="ER79" s="106">
        <f t="shared" si="689"/>
        <v>0</v>
      </c>
      <c r="ES79" s="106">
        <f t="shared" si="689"/>
        <v>0</v>
      </c>
      <c r="ET79" s="106">
        <f t="shared" si="689"/>
        <v>0</v>
      </c>
      <c r="EU79" s="106">
        <f t="shared" si="689"/>
        <v>0</v>
      </c>
      <c r="EV79" s="106">
        <f t="shared" si="689"/>
        <v>0</v>
      </c>
      <c r="EW79" s="106">
        <f t="shared" si="689"/>
        <v>0</v>
      </c>
      <c r="EX79" s="106">
        <f t="shared" si="689"/>
        <v>0</v>
      </c>
      <c r="EY79" s="106">
        <f t="shared" si="689"/>
        <v>0</v>
      </c>
      <c r="EZ79" s="106">
        <f t="shared" si="689"/>
        <v>0</v>
      </c>
      <c r="FA79" s="106">
        <f t="shared" si="689"/>
        <v>0</v>
      </c>
    </row>
    <row r="80" spans="2:157" outlineLevel="1" x14ac:dyDescent="0.2">
      <c r="C80" s="61" t="s">
        <v>120</v>
      </c>
      <c r="D80" s="21" t="s">
        <v>126</v>
      </c>
      <c r="E80" s="5"/>
      <c r="F80" s="5"/>
      <c r="G80" s="109">
        <f>-MAX(G69+G75,0)*Tax_Rate</f>
        <v>0</v>
      </c>
      <c r="H80" s="109">
        <f t="shared" ref="H80:AL80" ca="1" si="690">-MAX(H69+H75,0)*Tax_Rate</f>
        <v>0</v>
      </c>
      <c r="I80" s="109">
        <f t="shared" ca="1" si="690"/>
        <v>0</v>
      </c>
      <c r="J80" s="109">
        <f t="shared" ca="1" si="690"/>
        <v>0</v>
      </c>
      <c r="K80" s="109">
        <f t="shared" ca="1" si="690"/>
        <v>0</v>
      </c>
      <c r="L80" s="109">
        <f t="shared" ca="1" si="690"/>
        <v>0</v>
      </c>
      <c r="M80" s="109">
        <f t="shared" ca="1" si="690"/>
        <v>0</v>
      </c>
      <c r="N80" s="109">
        <f t="shared" ca="1" si="690"/>
        <v>-0.12404680840671545</v>
      </c>
      <c r="O80" s="109">
        <f t="shared" ca="1" si="690"/>
        <v>-1.3103103024443379</v>
      </c>
      <c r="P80" s="109">
        <f t="shared" ca="1" si="690"/>
        <v>0</v>
      </c>
      <c r="Q80" s="109">
        <f t="shared" ca="1" si="690"/>
        <v>0</v>
      </c>
      <c r="R80" s="109">
        <f t="shared" ca="1" si="690"/>
        <v>-3.8170483296018443</v>
      </c>
      <c r="S80" s="109">
        <f t="shared" ca="1" si="690"/>
        <v>-6.8672361052169091</v>
      </c>
      <c r="T80" s="109">
        <f t="shared" ca="1" si="690"/>
        <v>0</v>
      </c>
      <c r="U80" s="109">
        <f t="shared" ca="1" si="690"/>
        <v>0</v>
      </c>
      <c r="V80" s="109">
        <f t="shared" ca="1" si="690"/>
        <v>-5.6848523753880968</v>
      </c>
      <c r="W80" s="109">
        <f t="shared" ca="1" si="690"/>
        <v>-7.4603900846315776</v>
      </c>
      <c r="X80" s="109">
        <f t="shared" ca="1" si="690"/>
        <v>0</v>
      </c>
      <c r="Y80" s="109">
        <f t="shared" ca="1" si="690"/>
        <v>0</v>
      </c>
      <c r="Z80" s="109">
        <f t="shared" ca="1" si="690"/>
        <v>0</v>
      </c>
      <c r="AA80" s="109">
        <f t="shared" ca="1" si="690"/>
        <v>0</v>
      </c>
      <c r="AB80" s="109">
        <f t="shared" ca="1" si="690"/>
        <v>0</v>
      </c>
      <c r="AC80" s="109">
        <f t="shared" ca="1" si="690"/>
        <v>0</v>
      </c>
      <c r="AD80" s="109">
        <f t="shared" ca="1" si="690"/>
        <v>0</v>
      </c>
      <c r="AE80" s="109">
        <f t="shared" ca="1" si="690"/>
        <v>0</v>
      </c>
      <c r="AF80" s="109">
        <f t="shared" ca="1" si="690"/>
        <v>0</v>
      </c>
      <c r="AG80" s="109">
        <f t="shared" ca="1" si="690"/>
        <v>0</v>
      </c>
      <c r="AH80" s="109">
        <f t="shared" ca="1" si="690"/>
        <v>0</v>
      </c>
      <c r="AI80" s="109">
        <f t="shared" ca="1" si="690"/>
        <v>0</v>
      </c>
      <c r="AJ80" s="109">
        <f t="shared" ca="1" si="690"/>
        <v>0</v>
      </c>
      <c r="AK80" s="109">
        <f t="shared" ca="1" si="690"/>
        <v>0</v>
      </c>
      <c r="AL80" s="109">
        <f t="shared" ca="1" si="690"/>
        <v>0</v>
      </c>
      <c r="AM80" s="109">
        <f t="shared" ref="AM80:BR80" ca="1" si="691">-MAX(AM69+AM75,0)*Tax_Rate</f>
        <v>0</v>
      </c>
      <c r="AN80" s="109">
        <f t="shared" ca="1" si="691"/>
        <v>0</v>
      </c>
      <c r="AO80" s="109">
        <f t="shared" ca="1" si="691"/>
        <v>0</v>
      </c>
      <c r="AP80" s="109">
        <f t="shared" ca="1" si="691"/>
        <v>0</v>
      </c>
      <c r="AQ80" s="109">
        <f t="shared" ca="1" si="691"/>
        <v>0</v>
      </c>
      <c r="AR80" s="109">
        <f t="shared" ca="1" si="691"/>
        <v>0</v>
      </c>
      <c r="AS80" s="109">
        <f t="shared" ca="1" si="691"/>
        <v>0</v>
      </c>
      <c r="AT80" s="109">
        <f t="shared" ca="1" si="691"/>
        <v>0</v>
      </c>
      <c r="AU80" s="109">
        <f t="shared" ca="1" si="691"/>
        <v>0</v>
      </c>
      <c r="AV80" s="109">
        <f t="shared" ca="1" si="691"/>
        <v>0</v>
      </c>
      <c r="AW80" s="109">
        <f t="shared" ca="1" si="691"/>
        <v>0</v>
      </c>
      <c r="AX80" s="109">
        <f t="shared" ca="1" si="691"/>
        <v>0</v>
      </c>
      <c r="AY80" s="109">
        <f t="shared" ca="1" si="691"/>
        <v>0</v>
      </c>
      <c r="AZ80" s="109">
        <f t="shared" ca="1" si="691"/>
        <v>0</v>
      </c>
      <c r="BA80" s="109">
        <f t="shared" ca="1" si="691"/>
        <v>0</v>
      </c>
      <c r="BB80" s="109">
        <f t="shared" ca="1" si="691"/>
        <v>0</v>
      </c>
      <c r="BC80" s="109">
        <f t="shared" ca="1" si="691"/>
        <v>0</v>
      </c>
      <c r="BD80" s="109">
        <f t="shared" ca="1" si="691"/>
        <v>0</v>
      </c>
      <c r="BE80" s="109">
        <f t="shared" ca="1" si="691"/>
        <v>0</v>
      </c>
      <c r="BF80" s="109">
        <f t="shared" ca="1" si="691"/>
        <v>0</v>
      </c>
      <c r="BG80" s="109">
        <f t="shared" ca="1" si="691"/>
        <v>0</v>
      </c>
      <c r="BH80" s="109">
        <f t="shared" ca="1" si="691"/>
        <v>0</v>
      </c>
      <c r="BI80" s="109">
        <f t="shared" ca="1" si="691"/>
        <v>0</v>
      </c>
      <c r="BJ80" s="109">
        <f t="shared" ca="1" si="691"/>
        <v>-5.2874176174088152</v>
      </c>
      <c r="BK80" s="109">
        <f t="shared" ca="1" si="691"/>
        <v>-9.2233721817594798</v>
      </c>
      <c r="BL80" s="109">
        <f t="shared" ca="1" si="691"/>
        <v>0</v>
      </c>
      <c r="BM80" s="109">
        <f t="shared" ca="1" si="691"/>
        <v>0</v>
      </c>
      <c r="BN80" s="109">
        <f t="shared" ca="1" si="691"/>
        <v>-9.6877387219872517</v>
      </c>
      <c r="BO80" s="109">
        <f t="shared" ca="1" si="691"/>
        <v>-10.280077062727717</v>
      </c>
      <c r="BP80" s="109">
        <f t="shared" ca="1" si="691"/>
        <v>0</v>
      </c>
      <c r="BQ80" s="109">
        <f t="shared" ca="1" si="691"/>
        <v>-0.49322111000491908</v>
      </c>
      <c r="BR80" s="109">
        <f t="shared" ca="1" si="691"/>
        <v>-11.95630776354767</v>
      </c>
      <c r="BS80" s="109">
        <f t="shared" ref="BS80:CX80" ca="1" si="692">-MAX(BS69+BS75,0)*Tax_Rate</f>
        <v>-11.364592725855402</v>
      </c>
      <c r="BT80" s="109">
        <f t="shared" ca="1" si="692"/>
        <v>-0.84457088430214711</v>
      </c>
      <c r="BU80" s="109">
        <f t="shared" ca="1" si="692"/>
        <v>-1.3614623031828144</v>
      </c>
      <c r="BV80" s="109">
        <f t="shared" ca="1" si="692"/>
        <v>-13.083998358044532</v>
      </c>
      <c r="BW80" s="109">
        <f t="shared" ca="1" si="692"/>
        <v>-12.480661017343854</v>
      </c>
      <c r="BX80" s="109">
        <f t="shared" ca="1" si="692"/>
        <v>-1.7213573441171039</v>
      </c>
      <c r="BY80" s="109">
        <f t="shared" ca="1" si="692"/>
        <v>-2.2524596153416629</v>
      </c>
      <c r="BZ80" s="109">
        <f t="shared" ca="1" si="692"/>
        <v>-14.246572049399379</v>
      </c>
      <c r="CA80" s="109">
        <f t="shared" ca="1" si="692"/>
        <v>-13.632128779342313</v>
      </c>
      <c r="CB80" s="109">
        <f t="shared" ca="1" si="692"/>
        <v>-2.6288367844815008</v>
      </c>
      <c r="CC80" s="109">
        <f t="shared" ca="1" si="692"/>
        <v>-3.1752631806035962</v>
      </c>
      <c r="CD80" s="109">
        <f t="shared" ca="1" si="692"/>
        <v>-15.44797409395623</v>
      </c>
      <c r="CE80" s="109">
        <f t="shared" ca="1" si="692"/>
        <v>-14.16690622123804</v>
      </c>
      <c r="CF80" s="109">
        <f t="shared" ca="1" si="692"/>
        <v>-3.1466894240210364</v>
      </c>
      <c r="CG80" s="109">
        <f t="shared" ca="1" si="692"/>
        <v>-3.6941124338970699</v>
      </c>
      <c r="CH80" s="109">
        <f t="shared" ca="1" si="692"/>
        <v>-15.988012303204343</v>
      </c>
      <c r="CI80" s="109">
        <f t="shared" ca="1" si="692"/>
        <v>-15.362192526446592</v>
      </c>
      <c r="CJ80" s="109">
        <f t="shared" ca="1" si="692"/>
        <v>-4.0911933457465786</v>
      </c>
      <c r="CK80" s="109">
        <f t="shared" ca="1" si="692"/>
        <v>-4.6555231001784181</v>
      </c>
      <c r="CL80" s="109">
        <f t="shared" ca="1" si="692"/>
        <v>-17.236110346415401</v>
      </c>
      <c r="CM80" s="109">
        <f t="shared" ca="1" si="692"/>
        <v>-16.600670338837027</v>
      </c>
      <c r="CN80" s="109">
        <f t="shared" ca="1" si="692"/>
        <v>-5.0759450342470238</v>
      </c>
      <c r="CO80" s="109">
        <f t="shared" ca="1" si="692"/>
        <v>-5.6583715008985971</v>
      </c>
      <c r="CP80" s="109">
        <f t="shared" ca="1" si="692"/>
        <v>-18.533031715548152</v>
      </c>
      <c r="CQ80" s="109">
        <f t="shared" ca="1" si="692"/>
        <v>-17.888561154528681</v>
      </c>
      <c r="CR80" s="109">
        <f t="shared" ca="1" si="692"/>
        <v>-6.1051017068350184</v>
      </c>
      <c r="CS80" s="109">
        <f t="shared" ca="1" si="692"/>
        <v>-6.7068599234063901</v>
      </c>
      <c r="CT80" s="109">
        <f t="shared" ca="1" si="692"/>
        <v>-19.883166712303787</v>
      </c>
      <c r="CU80" s="257">
        <f t="shared" ca="1" si="692"/>
        <v>-19.294912380569482</v>
      </c>
      <c r="CV80" s="109">
        <f t="shared" ca="1" si="692"/>
        <v>0</v>
      </c>
      <c r="CW80" s="109">
        <f t="shared" ca="1" si="692"/>
        <v>0</v>
      </c>
      <c r="CX80" s="109">
        <f t="shared" ca="1" si="692"/>
        <v>0</v>
      </c>
      <c r="CY80" s="109">
        <f t="shared" ref="CY80:ED80" ca="1" si="693">-MAX(CY69+CY75,0)*Tax_Rate</f>
        <v>0</v>
      </c>
      <c r="CZ80" s="109">
        <f t="shared" ca="1" si="693"/>
        <v>0</v>
      </c>
      <c r="DA80" s="109">
        <f t="shared" ca="1" si="693"/>
        <v>0</v>
      </c>
      <c r="DB80" s="109">
        <f t="shared" ca="1" si="693"/>
        <v>0</v>
      </c>
      <c r="DC80" s="109">
        <f t="shared" ca="1" si="693"/>
        <v>0</v>
      </c>
      <c r="DD80" s="109">
        <f t="shared" ca="1" si="693"/>
        <v>0</v>
      </c>
      <c r="DE80" s="109">
        <f t="shared" ca="1" si="693"/>
        <v>0</v>
      </c>
      <c r="DF80" s="109">
        <f t="shared" ca="1" si="693"/>
        <v>0</v>
      </c>
      <c r="DG80" s="109">
        <f t="shared" ca="1" si="693"/>
        <v>0</v>
      </c>
      <c r="DH80" s="109">
        <f t="shared" ca="1" si="693"/>
        <v>0</v>
      </c>
      <c r="DI80" s="109">
        <f t="shared" ca="1" si="693"/>
        <v>0</v>
      </c>
      <c r="DJ80" s="109">
        <f t="shared" ca="1" si="693"/>
        <v>0</v>
      </c>
      <c r="DK80" s="109">
        <f t="shared" ca="1" si="693"/>
        <v>0</v>
      </c>
      <c r="DL80" s="109">
        <f t="shared" ca="1" si="693"/>
        <v>0</v>
      </c>
      <c r="DM80" s="109">
        <f t="shared" ca="1" si="693"/>
        <v>0</v>
      </c>
      <c r="DN80" s="109">
        <f t="shared" ca="1" si="693"/>
        <v>0</v>
      </c>
      <c r="DO80" s="109">
        <f t="shared" ca="1" si="693"/>
        <v>0</v>
      </c>
      <c r="DP80" s="109">
        <f t="shared" ca="1" si="693"/>
        <v>0</v>
      </c>
      <c r="DQ80" s="109">
        <f t="shared" ca="1" si="693"/>
        <v>0</v>
      </c>
      <c r="DR80" s="109">
        <f t="shared" ca="1" si="693"/>
        <v>0</v>
      </c>
      <c r="DS80" s="109">
        <f t="shared" ca="1" si="693"/>
        <v>0</v>
      </c>
      <c r="DT80" s="109">
        <f t="shared" ca="1" si="693"/>
        <v>0</v>
      </c>
      <c r="DU80" s="109">
        <f t="shared" ca="1" si="693"/>
        <v>0</v>
      </c>
      <c r="DV80" s="109">
        <f t="shared" ca="1" si="693"/>
        <v>0</v>
      </c>
      <c r="DW80" s="109">
        <f t="shared" ca="1" si="693"/>
        <v>0</v>
      </c>
      <c r="DX80" s="109">
        <f t="shared" ca="1" si="693"/>
        <v>0</v>
      </c>
      <c r="DY80" s="109">
        <f t="shared" ca="1" si="693"/>
        <v>0</v>
      </c>
      <c r="DZ80" s="109">
        <f t="shared" ca="1" si="693"/>
        <v>0</v>
      </c>
      <c r="EA80" s="109">
        <f t="shared" ca="1" si="693"/>
        <v>0</v>
      </c>
      <c r="EB80" s="109">
        <f t="shared" ca="1" si="693"/>
        <v>0</v>
      </c>
      <c r="EC80" s="109">
        <f t="shared" ca="1" si="693"/>
        <v>0</v>
      </c>
      <c r="ED80" s="109">
        <f t="shared" ca="1" si="693"/>
        <v>0</v>
      </c>
      <c r="EE80" s="109">
        <f t="shared" ref="EE80:FA80" ca="1" si="694">-MAX(EE69+EE75,0)*Tax_Rate</f>
        <v>0</v>
      </c>
      <c r="EF80" s="109">
        <f t="shared" ca="1" si="694"/>
        <v>0</v>
      </c>
      <c r="EG80" s="109">
        <f t="shared" ca="1" si="694"/>
        <v>0</v>
      </c>
      <c r="EH80" s="109">
        <f t="shared" ca="1" si="694"/>
        <v>0</v>
      </c>
      <c r="EI80" s="109">
        <f t="shared" ca="1" si="694"/>
        <v>0</v>
      </c>
      <c r="EJ80" s="109">
        <f t="shared" ca="1" si="694"/>
        <v>0</v>
      </c>
      <c r="EK80" s="109">
        <f t="shared" ca="1" si="694"/>
        <v>0</v>
      </c>
      <c r="EL80" s="109">
        <f t="shared" ca="1" si="694"/>
        <v>0</v>
      </c>
      <c r="EM80" s="109">
        <f t="shared" ca="1" si="694"/>
        <v>0</v>
      </c>
      <c r="EN80" s="109">
        <f t="shared" ca="1" si="694"/>
        <v>0</v>
      </c>
      <c r="EO80" s="109">
        <f t="shared" ca="1" si="694"/>
        <v>0</v>
      </c>
      <c r="EP80" s="109">
        <f t="shared" ca="1" si="694"/>
        <v>0</v>
      </c>
      <c r="EQ80" s="109">
        <f t="shared" ca="1" si="694"/>
        <v>0</v>
      </c>
      <c r="ER80" s="109">
        <f t="shared" ca="1" si="694"/>
        <v>0</v>
      </c>
      <c r="ES80" s="109">
        <f t="shared" ca="1" si="694"/>
        <v>0</v>
      </c>
      <c r="ET80" s="109">
        <f t="shared" ca="1" si="694"/>
        <v>0</v>
      </c>
      <c r="EU80" s="109">
        <f t="shared" ca="1" si="694"/>
        <v>0</v>
      </c>
      <c r="EV80" s="109">
        <f t="shared" ca="1" si="694"/>
        <v>0</v>
      </c>
      <c r="EW80" s="109">
        <f t="shared" ca="1" si="694"/>
        <v>0</v>
      </c>
      <c r="EX80" s="109">
        <f t="shared" ca="1" si="694"/>
        <v>0</v>
      </c>
      <c r="EY80" s="109">
        <f t="shared" ca="1" si="694"/>
        <v>0</v>
      </c>
      <c r="EZ80" s="109">
        <f t="shared" ca="1" si="694"/>
        <v>0</v>
      </c>
      <c r="FA80" s="109">
        <f t="shared" ca="1" si="694"/>
        <v>0</v>
      </c>
    </row>
    <row r="81" spans="1:157" outlineLevel="1" x14ac:dyDescent="0.2">
      <c r="C81" s="61" t="s">
        <v>117</v>
      </c>
      <c r="D81" s="21" t="s">
        <v>126</v>
      </c>
      <c r="E81" s="5"/>
      <c r="F81" s="5"/>
      <c r="G81" s="109">
        <f t="shared" ref="G81:AL81" si="695">-(G58-F58)*WC_Pct_Revenue</f>
        <v>0</v>
      </c>
      <c r="H81" s="109">
        <f t="shared" si="695"/>
        <v>0</v>
      </c>
      <c r="I81" s="109">
        <f t="shared" si="695"/>
        <v>0</v>
      </c>
      <c r="J81" s="109">
        <f t="shared" si="695"/>
        <v>0</v>
      </c>
      <c r="K81" s="109">
        <f t="shared" si="695"/>
        <v>0</v>
      </c>
      <c r="L81" s="109">
        <f t="shared" si="695"/>
        <v>0</v>
      </c>
      <c r="M81" s="109">
        <f t="shared" si="695"/>
        <v>-3.0839283009921998</v>
      </c>
      <c r="N81" s="109">
        <f t="shared" si="695"/>
        <v>-3.6724340715580195</v>
      </c>
      <c r="O81" s="109">
        <f t="shared" si="695"/>
        <v>-1.3784440327125758</v>
      </c>
      <c r="P81" s="109">
        <f t="shared" si="695"/>
        <v>-0.28441819178426364</v>
      </c>
      <c r="Q81" s="109">
        <f t="shared" si="695"/>
        <v>-3.7938323676777372</v>
      </c>
      <c r="R81" s="109">
        <f t="shared" si="695"/>
        <v>-10.178653998302067</v>
      </c>
      <c r="S81" s="109">
        <f t="shared" si="695"/>
        <v>-0.80835519114005194</v>
      </c>
      <c r="T81" s="109">
        <f t="shared" si="695"/>
        <v>8.400560615473486</v>
      </c>
      <c r="U81" s="109">
        <f t="shared" si="695"/>
        <v>-0.34706993061594993</v>
      </c>
      <c r="V81" s="109">
        <f t="shared" si="695"/>
        <v>-9.175866542564016</v>
      </c>
      <c r="W81" s="109">
        <f t="shared" si="695"/>
        <v>0.58993433946833918</v>
      </c>
      <c r="X81" s="109">
        <f t="shared" si="695"/>
        <v>8.5933534815986015</v>
      </c>
      <c r="Y81" s="109">
        <f t="shared" si="695"/>
        <v>-0.3550351855235796</v>
      </c>
      <c r="Z81" s="109">
        <f t="shared" si="695"/>
        <v>-9.3864526797158661</v>
      </c>
      <c r="AA81" s="109">
        <f t="shared" si="695"/>
        <v>0.60347333255912972</v>
      </c>
      <c r="AB81" s="109">
        <f t="shared" si="695"/>
        <v>8.7905709440013009</v>
      </c>
      <c r="AC81" s="109">
        <f t="shared" si="695"/>
        <v>-0.36318324303134553</v>
      </c>
      <c r="AD81" s="109">
        <f t="shared" si="695"/>
        <v>-9.6018717687153483</v>
      </c>
      <c r="AE81" s="109">
        <f t="shared" si="695"/>
        <v>0.6173230455413723</v>
      </c>
      <c r="AF81" s="109">
        <f t="shared" si="695"/>
        <v>8.9923145471661208</v>
      </c>
      <c r="AG81" s="109">
        <f t="shared" si="695"/>
        <v>-0.37151829845891271</v>
      </c>
      <c r="AH81" s="109">
        <f t="shared" si="695"/>
        <v>-9.8222347258073661</v>
      </c>
      <c r="AI81" s="109">
        <f t="shared" si="695"/>
        <v>0.89204730290684253</v>
      </c>
      <c r="AJ81" s="109">
        <f t="shared" si="695"/>
        <v>9.1043426463720643</v>
      </c>
      <c r="AK81" s="109">
        <f t="shared" si="695"/>
        <v>-0.37614674962999572</v>
      </c>
      <c r="AL81" s="109">
        <f t="shared" si="695"/>
        <v>-9.9446021408388674</v>
      </c>
      <c r="AM81" s="109">
        <f t="shared" ref="AM81:BR81" si="696">-(AM58-AL58)*WC_Pct_Revenue</f>
        <v>0.63935784898544412</v>
      </c>
      <c r="AN81" s="109">
        <f t="shared" si="696"/>
        <v>9.3132873101063147</v>
      </c>
      <c r="AO81" s="109">
        <f t="shared" si="696"/>
        <v>-0.38477931753400796</v>
      </c>
      <c r="AP81" s="109">
        <f t="shared" si="696"/>
        <v>-10.172830759971117</v>
      </c>
      <c r="AQ81" s="109">
        <f t="shared" si="696"/>
        <v>0.82565368694331909</v>
      </c>
      <c r="AR81" s="109">
        <f t="shared" si="696"/>
        <v>9.464884075599123</v>
      </c>
      <c r="AS81" s="109">
        <f t="shared" si="696"/>
        <v>-0.39104255177391067</v>
      </c>
      <c r="AT81" s="109">
        <f t="shared" si="696"/>
        <v>-10.338418719170438</v>
      </c>
      <c r="AU81" s="109">
        <f t="shared" si="696"/>
        <v>0.66467708416961457</v>
      </c>
      <c r="AV81" s="109">
        <f t="shared" si="696"/>
        <v>9.6821031651341229</v>
      </c>
      <c r="AW81" s="109">
        <f t="shared" si="696"/>
        <v>-0.40001697833711702</v>
      </c>
      <c r="AX81" s="109">
        <f t="shared" si="696"/>
        <v>-10.575685428775401</v>
      </c>
      <c r="AY81" s="109">
        <f t="shared" si="696"/>
        <v>0.67993142325130407</v>
      </c>
      <c r="AZ81" s="109">
        <f t="shared" si="696"/>
        <v>9.9043074327739582</v>
      </c>
      <c r="BA81" s="109">
        <f t="shared" si="696"/>
        <v>-0.40919736798995388</v>
      </c>
      <c r="BB81" s="109">
        <f t="shared" si="696"/>
        <v>-10.818397409365804</v>
      </c>
      <c r="BC81" s="109">
        <f t="shared" si="696"/>
        <v>1.1304699088012491</v>
      </c>
      <c r="BD81" s="109">
        <f t="shared" si="696"/>
        <v>9.974125102526763</v>
      </c>
      <c r="BE81" s="109">
        <f t="shared" si="696"/>
        <v>-0.41208189140525064</v>
      </c>
      <c r="BF81" s="109">
        <f t="shared" si="696"/>
        <v>-10.894658703020941</v>
      </c>
      <c r="BG81" s="109">
        <f t="shared" si="696"/>
        <v>0.70043883658139094</v>
      </c>
      <c r="BH81" s="109">
        <f t="shared" si="696"/>
        <v>10.203031273629747</v>
      </c>
      <c r="BI81" s="109">
        <f t="shared" si="696"/>
        <v>-0.42153917081299497</v>
      </c>
      <c r="BJ81" s="109">
        <f t="shared" si="696"/>
        <v>-11.144691120255281</v>
      </c>
      <c r="BK81" s="109">
        <f t="shared" si="696"/>
        <v>0.7165139078809375</v>
      </c>
      <c r="BL81" s="109">
        <f t="shared" si="696"/>
        <v>10.437190841359556</v>
      </c>
      <c r="BM81" s="109">
        <f t="shared" si="696"/>
        <v>-0.43121349478315096</v>
      </c>
      <c r="BN81" s="109">
        <f t="shared" si="696"/>
        <v>-11.400461781465147</v>
      </c>
      <c r="BO81" s="109">
        <f t="shared" si="696"/>
        <v>0.73295790206679357</v>
      </c>
      <c r="BP81" s="109">
        <f t="shared" si="696"/>
        <v>10.676724371168767</v>
      </c>
      <c r="BQ81" s="109">
        <f t="shared" si="696"/>
        <v>-0.44110984448842316</v>
      </c>
      <c r="BR81" s="109">
        <f t="shared" si="696"/>
        <v>-11.662102379349776</v>
      </c>
      <c r="BS81" s="109">
        <f t="shared" ref="BS81:CX81" si="697">-(BS58-BR58)*WC_Pct_Revenue</f>
        <v>0.7497792859192387</v>
      </c>
      <c r="BT81" s="109">
        <f t="shared" si="697"/>
        <v>10.921755195487087</v>
      </c>
      <c r="BU81" s="109">
        <f t="shared" si="697"/>
        <v>-0.45123331541943301</v>
      </c>
      <c r="BV81" s="109">
        <f t="shared" si="697"/>
        <v>-11.929747628955869</v>
      </c>
      <c r="BW81" s="109">
        <f t="shared" si="697"/>
        <v>0.76698672053109362</v>
      </c>
      <c r="BX81" s="109">
        <f t="shared" si="697"/>
        <v>11.172409477223521</v>
      </c>
      <c r="BY81" s="109">
        <f t="shared" si="697"/>
        <v>-0.46158912000831265</v>
      </c>
      <c r="BZ81" s="109">
        <f t="shared" si="697"/>
        <v>-12.203535337040403</v>
      </c>
      <c r="CA81" s="109">
        <f t="shared" si="697"/>
        <v>0.78458906576728182</v>
      </c>
      <c r="CB81" s="109">
        <f t="shared" si="697"/>
        <v>11.428816274725808</v>
      </c>
      <c r="CC81" s="109">
        <f t="shared" si="697"/>
        <v>-0.47218259031249943</v>
      </c>
      <c r="CD81" s="109">
        <f t="shared" si="697"/>
        <v>-12.483606473025489</v>
      </c>
      <c r="CE81" s="109">
        <f t="shared" si="697"/>
        <v>1.4728948207905326</v>
      </c>
      <c r="CF81" s="109">
        <f t="shared" si="697"/>
        <v>11.448397479521891</v>
      </c>
      <c r="CG81" s="109">
        <f t="shared" si="697"/>
        <v>-0.47299158958065135</v>
      </c>
      <c r="CH81" s="109">
        <f t="shared" si="697"/>
        <v>-12.50499486960706</v>
      </c>
      <c r="CI81" s="109">
        <f t="shared" si="697"/>
        <v>0.80397048651877157</v>
      </c>
      <c r="CJ81" s="109">
        <f t="shared" si="697"/>
        <v>11.711138201676928</v>
      </c>
      <c r="CK81" s="109">
        <f t="shared" si="697"/>
        <v>-0.48384674656153237</v>
      </c>
      <c r="CL81" s="109">
        <f t="shared" si="697"/>
        <v>-12.791984501864551</v>
      </c>
      <c r="CM81" s="109">
        <f t="shared" si="697"/>
        <v>0.82242160918438145</v>
      </c>
      <c r="CN81" s="109">
        <f t="shared" si="697"/>
        <v>11.97990882340541</v>
      </c>
      <c r="CO81" s="109">
        <f t="shared" si="697"/>
        <v>-0.49495102939511781</v>
      </c>
      <c r="CP81" s="109">
        <f t="shared" si="697"/>
        <v>-13.08556054618235</v>
      </c>
      <c r="CQ81" s="109">
        <f t="shared" si="697"/>
        <v>0.84129618511517634</v>
      </c>
      <c r="CR81" s="109">
        <f t="shared" si="697"/>
        <v>12.254847730902561</v>
      </c>
      <c r="CS81" s="109">
        <f t="shared" si="697"/>
        <v>-0.50631015551973135</v>
      </c>
      <c r="CT81" s="109">
        <f t="shared" si="697"/>
        <v>-13.385874160717247</v>
      </c>
      <c r="CU81" s="257">
        <f t="shared" si="697"/>
        <v>0.86060393256355638</v>
      </c>
      <c r="CV81" s="109">
        <f t="shared" si="697"/>
        <v>23.770922596243501</v>
      </c>
      <c r="CW81" s="109">
        <f t="shared" si="697"/>
        <v>-0.25445696036854848</v>
      </c>
      <c r="CX81" s="109">
        <f t="shared" si="697"/>
        <v>-6.7273563717393401</v>
      </c>
      <c r="CY81" s="109">
        <f t="shared" ref="CY81:ED81" si="698">-(CY58-CX58)*WC_Pct_Revenue</f>
        <v>0.71165391760177954</v>
      </c>
      <c r="CZ81" s="109">
        <f t="shared" si="698"/>
        <v>6.1992084383232573</v>
      </c>
      <c r="DA81" s="109">
        <f t="shared" si="698"/>
        <v>-0.25612086395752165</v>
      </c>
      <c r="DB81" s="109">
        <f t="shared" si="698"/>
        <v>-6.7713468068803255</v>
      </c>
      <c r="DC81" s="109">
        <f t="shared" si="698"/>
        <v>0.43534308038352876</v>
      </c>
      <c r="DD81" s="109">
        <f t="shared" si="698"/>
        <v>6.3414802719827854</v>
      </c>
      <c r="DE81" s="109">
        <f t="shared" si="698"/>
        <v>-0.26199883778535238</v>
      </c>
      <c r="DF81" s="109">
        <f t="shared" si="698"/>
        <v>-6.92674921609823</v>
      </c>
      <c r="DG81" s="109">
        <f t="shared" si="698"/>
        <v>0.44533420407832836</v>
      </c>
      <c r="DH81" s="109">
        <f t="shared" si="698"/>
        <v>6.4870172442247949</v>
      </c>
      <c r="DI81" s="109">
        <f t="shared" si="698"/>
        <v>-0.26801171111252309</v>
      </c>
      <c r="DJ81" s="109">
        <f t="shared" si="698"/>
        <v>-7.0857181106076919</v>
      </c>
      <c r="DK81" s="109">
        <f t="shared" si="698"/>
        <v>0.45555462406192859</v>
      </c>
      <c r="DL81" s="109">
        <f t="shared" si="698"/>
        <v>6.6358942899797579</v>
      </c>
      <c r="DM81" s="109">
        <f t="shared" si="698"/>
        <v>-0.27416257988255843</v>
      </c>
      <c r="DN81" s="109">
        <f t="shared" si="698"/>
        <v>-7.2483353412461433</v>
      </c>
      <c r="DO81" s="109">
        <f t="shared" si="698"/>
        <v>0.46600960268414937</v>
      </c>
      <c r="DP81" s="109">
        <f t="shared" si="698"/>
        <v>6.7881880639348005</v>
      </c>
      <c r="DQ81" s="109">
        <f t="shared" si="698"/>
        <v>-0.28045461109086389</v>
      </c>
      <c r="DR81" s="109">
        <f t="shared" si="698"/>
        <v>-7.4146846373277384</v>
      </c>
      <c r="DS81" s="109">
        <f t="shared" si="698"/>
        <v>0.47670452306574873</v>
      </c>
      <c r="DT81" s="109">
        <f t="shared" si="698"/>
        <v>6.9439769800021072</v>
      </c>
      <c r="DU81" s="109">
        <f t="shared" si="698"/>
        <v>-0.28689104441540003</v>
      </c>
      <c r="DV81" s="109">
        <f t="shared" si="698"/>
        <v>-7.5848516497544161</v>
      </c>
      <c r="DW81" s="109">
        <f t="shared" si="698"/>
        <v>0.4876448918701044</v>
      </c>
      <c r="DX81" s="109">
        <f t="shared" si="698"/>
        <v>7.1033412516931609</v>
      </c>
      <c r="DY81" s="109">
        <f t="shared" si="698"/>
        <v>-0.29347519388473309</v>
      </c>
      <c r="DZ81" s="109">
        <f t="shared" si="698"/>
        <v>-7.7589239951162909</v>
      </c>
      <c r="EA81" s="109">
        <f t="shared" si="698"/>
        <v>0.49883634213853156</v>
      </c>
      <c r="EB81" s="109">
        <f t="shared" si="698"/>
        <v>7.2663629334195221</v>
      </c>
      <c r="EC81" s="109">
        <f t="shared" si="698"/>
        <v>-0.30021044958438736</v>
      </c>
      <c r="ED81" s="109">
        <f t="shared" si="698"/>
        <v>-7.936991300804209</v>
      </c>
      <c r="EE81" s="109">
        <f t="shared" ref="EE81:FA81" si="699">-(EE58-ED58)*WC_Pct_Revenue</f>
        <v>0.51028463619061171</v>
      </c>
      <c r="EF81" s="109">
        <f t="shared" si="699"/>
        <v>7.4331259627414976</v>
      </c>
      <c r="EG81" s="109">
        <f t="shared" si="699"/>
        <v>-0.30710027940234497</v>
      </c>
      <c r="EH81" s="109">
        <f t="shared" si="699"/>
        <v>-8.1191452511576667</v>
      </c>
      <c r="EI81" s="109">
        <f t="shared" si="699"/>
        <v>0.52199566859118107</v>
      </c>
      <c r="EJ81" s="109">
        <f t="shared" si="699"/>
        <v>20.99939837536343</v>
      </c>
      <c r="EK81" s="109">
        <f t="shared" si="699"/>
        <v>0</v>
      </c>
      <c r="EL81" s="109">
        <f t="shared" si="699"/>
        <v>0</v>
      </c>
      <c r="EM81" s="109">
        <f t="shared" si="699"/>
        <v>0</v>
      </c>
      <c r="EN81" s="109">
        <f t="shared" si="699"/>
        <v>0</v>
      </c>
      <c r="EO81" s="109">
        <f t="shared" si="699"/>
        <v>0</v>
      </c>
      <c r="EP81" s="109">
        <f t="shared" si="699"/>
        <v>0</v>
      </c>
      <c r="EQ81" s="109">
        <f t="shared" si="699"/>
        <v>0</v>
      </c>
      <c r="ER81" s="109">
        <f t="shared" si="699"/>
        <v>0</v>
      </c>
      <c r="ES81" s="109">
        <f t="shared" si="699"/>
        <v>0</v>
      </c>
      <c r="ET81" s="109">
        <f t="shared" si="699"/>
        <v>0</v>
      </c>
      <c r="EU81" s="109">
        <f t="shared" si="699"/>
        <v>0</v>
      </c>
      <c r="EV81" s="109">
        <f t="shared" si="699"/>
        <v>0</v>
      </c>
      <c r="EW81" s="109">
        <f t="shared" si="699"/>
        <v>0</v>
      </c>
      <c r="EX81" s="109">
        <f t="shared" si="699"/>
        <v>0</v>
      </c>
      <c r="EY81" s="109">
        <f t="shared" si="699"/>
        <v>0</v>
      </c>
      <c r="EZ81" s="109">
        <f t="shared" si="699"/>
        <v>0</v>
      </c>
      <c r="FA81" s="109">
        <f t="shared" si="699"/>
        <v>0</v>
      </c>
    </row>
    <row r="82" spans="1:157" outlineLevel="1" x14ac:dyDescent="0.2">
      <c r="C82" s="94" t="s">
        <v>157</v>
      </c>
      <c r="D82" s="32" t="s">
        <v>126</v>
      </c>
      <c r="E82" s="43"/>
      <c r="F82" s="43"/>
      <c r="G82" s="112">
        <f>-IF(AND(G15=1,H15=0),Inputs_Assumptions!$E$117*Units*Capacity_per_Turbine*Turbines*G21/Million,0)*Equity_In_Project</f>
        <v>0</v>
      </c>
      <c r="H82" s="112">
        <f>-IF(AND(H15=1,I15=0),Inputs_Assumptions!$E$117*Units*Capacity_per_Turbine*Turbines*H21/Million,0)*Equity_In_Project</f>
        <v>0</v>
      </c>
      <c r="I82" s="112">
        <f>-IF(AND(I15=1,J15=0),Inputs_Assumptions!$E$117*Units*Capacity_per_Turbine*Turbines*I21/Million,0)*Equity_In_Project</f>
        <v>0</v>
      </c>
      <c r="J82" s="112">
        <f>-IF(AND(J15=1,K15=0),Inputs_Assumptions!$E$117*Units*Capacity_per_Turbine*Turbines*J21/Million,0)*Equity_In_Project</f>
        <v>0</v>
      </c>
      <c r="K82" s="112">
        <f>-IF(AND(K15=1,L15=0),Inputs_Assumptions!$E$117*Units*Capacity_per_Turbine*Turbines*K21/Million,0)*Equity_In_Project</f>
        <v>0</v>
      </c>
      <c r="L82" s="112">
        <f>-IF(AND(L15=1,M15=0),Inputs_Assumptions!$E$117*Units*Capacity_per_Turbine*Turbines*L21/Million,0)*Equity_In_Project</f>
        <v>0</v>
      </c>
      <c r="M82" s="112">
        <f>-IF(AND(M15=1,N15=0),Inputs_Assumptions!$E$117*Units*Capacity_per_Turbine*Turbines*M21/Million,0)*Equity_In_Project</f>
        <v>0</v>
      </c>
      <c r="N82" s="112">
        <f>-IF(AND(N15=1,O15=0),Inputs_Assumptions!$E$117*Units*Capacity_per_Turbine*Turbines*N21/Million,0)*Equity_In_Project</f>
        <v>0</v>
      </c>
      <c r="O82" s="112">
        <f>-IF(AND(O15=1,P15=0),Inputs_Assumptions!$E$117*Units*Capacity_per_Turbine*Turbines*O21/Million,0)*Equity_In_Project</f>
        <v>0</v>
      </c>
      <c r="P82" s="112">
        <f>-IF(AND(P15=1,Q15=0),Inputs_Assumptions!$E$117*Units*Capacity_per_Turbine*Turbines*P21/Million,0)*Equity_In_Project</f>
        <v>0</v>
      </c>
      <c r="Q82" s="112">
        <f>-IF(AND(Q15=1,R15=0),Inputs_Assumptions!$E$117*Units*Capacity_per_Turbine*Turbines*Q21/Million,0)*Equity_In_Project</f>
        <v>0</v>
      </c>
      <c r="R82" s="112">
        <f>-IF(AND(R15=1,S15=0),Inputs_Assumptions!$E$117*Units*Capacity_per_Turbine*Turbines*R21/Million,0)*Equity_In_Project</f>
        <v>0</v>
      </c>
      <c r="S82" s="112">
        <f>-IF(AND(S15=1,T15=0),Inputs_Assumptions!$E$117*Units*Capacity_per_Turbine*Turbines*S21/Million,0)*Equity_In_Project</f>
        <v>0</v>
      </c>
      <c r="T82" s="112">
        <f>-IF(AND(T15=1,U15=0),Inputs_Assumptions!$E$117*Units*Capacity_per_Turbine*Turbines*T21/Million,0)*Equity_In_Project</f>
        <v>0</v>
      </c>
      <c r="U82" s="112">
        <f>-IF(AND(U15=1,V15=0),Inputs_Assumptions!$E$117*Units*Capacity_per_Turbine*Turbines*U21/Million,0)*Equity_In_Project</f>
        <v>0</v>
      </c>
      <c r="V82" s="112">
        <f>-IF(AND(V15=1,W15=0),Inputs_Assumptions!$E$117*Units*Capacity_per_Turbine*Turbines*V21/Million,0)*Equity_In_Project</f>
        <v>0</v>
      </c>
      <c r="W82" s="112">
        <f>-IF(AND(W15=1,X15=0),Inputs_Assumptions!$E$117*Units*Capacity_per_Turbine*Turbines*W21/Million,0)*Equity_In_Project</f>
        <v>0</v>
      </c>
      <c r="X82" s="112">
        <f>-IF(AND(X15=1,Y15=0),Inputs_Assumptions!$E$117*Units*Capacity_per_Turbine*Turbines*X21/Million,0)*Equity_In_Project</f>
        <v>0</v>
      </c>
      <c r="Y82" s="112">
        <f>-IF(AND(Y15=1,Z15=0),Inputs_Assumptions!$E$117*Units*Capacity_per_Turbine*Turbines*Y21/Million,0)*Equity_In_Project</f>
        <v>0</v>
      </c>
      <c r="Z82" s="112">
        <f>-IF(AND(Z15=1,AA15=0),Inputs_Assumptions!$E$117*Units*Capacity_per_Turbine*Turbines*Z21/Million,0)*Equity_In_Project</f>
        <v>0</v>
      </c>
      <c r="AA82" s="112">
        <f>-IF(AND(AA15=1,AB15=0),Inputs_Assumptions!$E$117*Units*Capacity_per_Turbine*Turbines*AA21/Million,0)*Equity_In_Project</f>
        <v>0</v>
      </c>
      <c r="AB82" s="112">
        <f>-IF(AND(AB15=1,AC15=0),Inputs_Assumptions!$E$117*Units*Capacity_per_Turbine*Turbines*AB21/Million,0)*Equity_In_Project</f>
        <v>0</v>
      </c>
      <c r="AC82" s="112">
        <f>-IF(AND(AC15=1,AD15=0),Inputs_Assumptions!$E$117*Units*Capacity_per_Turbine*Turbines*AC21/Million,0)*Equity_In_Project</f>
        <v>0</v>
      </c>
      <c r="AD82" s="112">
        <f>-IF(AND(AD15=1,AE15=0),Inputs_Assumptions!$E$117*Units*Capacity_per_Turbine*Turbines*AD21/Million,0)*Equity_In_Project</f>
        <v>0</v>
      </c>
      <c r="AE82" s="112">
        <f>-IF(AND(AE15=1,AF15=0),Inputs_Assumptions!$E$117*Units*Capacity_per_Turbine*Turbines*AE21/Million,0)*Equity_In_Project</f>
        <v>0</v>
      </c>
      <c r="AF82" s="112">
        <f>-IF(AND(AF15=1,AG15=0),Inputs_Assumptions!$E$117*Units*Capacity_per_Turbine*Turbines*AF21/Million,0)*Equity_In_Project</f>
        <v>0</v>
      </c>
      <c r="AG82" s="112">
        <f>-IF(AND(AG15=1,AH15=0),Inputs_Assumptions!$E$117*Units*Capacity_per_Turbine*Turbines*AG21/Million,0)*Equity_In_Project</f>
        <v>0</v>
      </c>
      <c r="AH82" s="112">
        <f>-IF(AND(AH15=1,AI15=0),Inputs_Assumptions!$E$117*Units*Capacity_per_Turbine*Turbines*AH21/Million,0)*Equity_In_Project</f>
        <v>0</v>
      </c>
      <c r="AI82" s="112">
        <f>-IF(AND(AI15=1,AJ15=0),Inputs_Assumptions!$E$117*Units*Capacity_per_Turbine*Turbines*AI21/Million,0)*Equity_In_Project</f>
        <v>0</v>
      </c>
      <c r="AJ82" s="112">
        <f>-IF(AND(AJ15=1,AK15=0),Inputs_Assumptions!$E$117*Units*Capacity_per_Turbine*Turbines*AJ21/Million,0)*Equity_In_Project</f>
        <v>0</v>
      </c>
      <c r="AK82" s="112">
        <f>-IF(AND(AK15=1,AL15=0),Inputs_Assumptions!$E$117*Units*Capacity_per_Turbine*Turbines*AK21/Million,0)*Equity_In_Project</f>
        <v>0</v>
      </c>
      <c r="AL82" s="112">
        <f>-IF(AND(AL15=1,AM15=0),Inputs_Assumptions!$E$117*Units*Capacity_per_Turbine*Turbines*AL21/Million,0)*Equity_In_Project</f>
        <v>0</v>
      </c>
      <c r="AM82" s="112">
        <f>-IF(AND(AM15=1,AN15=0),Inputs_Assumptions!$E$117*Units*Capacity_per_Turbine*Turbines*AM21/Million,0)*Equity_In_Project</f>
        <v>0</v>
      </c>
      <c r="AN82" s="112">
        <f>-IF(AND(AN15=1,AO15=0),Inputs_Assumptions!$E$117*Units*Capacity_per_Turbine*Turbines*AN21/Million,0)*Equity_In_Project</f>
        <v>0</v>
      </c>
      <c r="AO82" s="112">
        <f>-IF(AND(AO15=1,AP15=0),Inputs_Assumptions!$E$117*Units*Capacity_per_Turbine*Turbines*AO21/Million,0)*Equity_In_Project</f>
        <v>0</v>
      </c>
      <c r="AP82" s="112">
        <f>-IF(AND(AP15=1,AQ15=0),Inputs_Assumptions!$E$117*Units*Capacity_per_Turbine*Turbines*AP21/Million,0)*Equity_In_Project</f>
        <v>0</v>
      </c>
      <c r="AQ82" s="112">
        <f>-IF(AND(AQ15=1,AR15=0),Inputs_Assumptions!$E$117*Units*Capacity_per_Turbine*Turbines*AQ21/Million,0)*Equity_In_Project</f>
        <v>0</v>
      </c>
      <c r="AR82" s="112">
        <f>-IF(AND(AR15=1,AS15=0),Inputs_Assumptions!$E$117*Units*Capacity_per_Turbine*Turbines*AR21/Million,0)*Equity_In_Project</f>
        <v>0</v>
      </c>
      <c r="AS82" s="112">
        <f>-IF(AND(AS15=1,AT15=0),Inputs_Assumptions!$E$117*Units*Capacity_per_Turbine*Turbines*AS21/Million,0)*Equity_In_Project</f>
        <v>0</v>
      </c>
      <c r="AT82" s="112">
        <f>-IF(AND(AT15=1,AU15=0),Inputs_Assumptions!$E$117*Units*Capacity_per_Turbine*Turbines*AT21/Million,0)*Equity_In_Project</f>
        <v>0</v>
      </c>
      <c r="AU82" s="112">
        <f>-IF(AND(AU15=1,AV15=0),Inputs_Assumptions!$E$117*Units*Capacity_per_Turbine*Turbines*AU21/Million,0)*Equity_In_Project</f>
        <v>0</v>
      </c>
      <c r="AV82" s="112">
        <f>-IF(AND(AV15=1,AW15=0),Inputs_Assumptions!$E$117*Units*Capacity_per_Turbine*Turbines*AV21/Million,0)*Equity_In_Project</f>
        <v>0</v>
      </c>
      <c r="AW82" s="112">
        <f>-IF(AND(AW15=1,AX15=0),Inputs_Assumptions!$E$117*Units*Capacity_per_Turbine*Turbines*AW21/Million,0)*Equity_In_Project</f>
        <v>0</v>
      </c>
      <c r="AX82" s="112">
        <f>-IF(AND(AX15=1,AY15=0),Inputs_Assumptions!$E$117*Units*Capacity_per_Turbine*Turbines*AX21/Million,0)*Equity_In_Project</f>
        <v>0</v>
      </c>
      <c r="AY82" s="112">
        <f>-IF(AND(AY15=1,AZ15=0),Inputs_Assumptions!$E$117*Units*Capacity_per_Turbine*Turbines*AY21/Million,0)*Equity_In_Project</f>
        <v>0</v>
      </c>
      <c r="AZ82" s="112">
        <f>-IF(AND(AZ15=1,BA15=0),Inputs_Assumptions!$E$117*Units*Capacity_per_Turbine*Turbines*AZ21/Million,0)*Equity_In_Project</f>
        <v>0</v>
      </c>
      <c r="BA82" s="112">
        <f>-IF(AND(BA15=1,BB15=0),Inputs_Assumptions!$E$117*Units*Capacity_per_Turbine*Turbines*BA21/Million,0)*Equity_In_Project</f>
        <v>0</v>
      </c>
      <c r="BB82" s="112">
        <f>-IF(AND(BB15=1,BC15=0),Inputs_Assumptions!$E$117*Units*Capacity_per_Turbine*Turbines*BB21/Million,0)*Equity_In_Project</f>
        <v>0</v>
      </c>
      <c r="BC82" s="112">
        <f>-IF(AND(BC15=1,BD15=0),Inputs_Assumptions!$E$117*Units*Capacity_per_Turbine*Turbines*BC21/Million,0)*Equity_In_Project</f>
        <v>0</v>
      </c>
      <c r="BD82" s="112">
        <f>-IF(AND(BD15=1,BE15=0),Inputs_Assumptions!$E$117*Units*Capacity_per_Turbine*Turbines*BD21/Million,0)*Equity_In_Project</f>
        <v>0</v>
      </c>
      <c r="BE82" s="112">
        <f>-IF(AND(BE15=1,BF15=0),Inputs_Assumptions!$E$117*Units*Capacity_per_Turbine*Turbines*BE21/Million,0)*Equity_In_Project</f>
        <v>0</v>
      </c>
      <c r="BF82" s="112">
        <f>-IF(AND(BF15=1,BG15=0),Inputs_Assumptions!$E$117*Units*Capacity_per_Turbine*Turbines*BF21/Million,0)*Equity_In_Project</f>
        <v>0</v>
      </c>
      <c r="BG82" s="112">
        <f>-IF(AND(BG15=1,BH15=0),Inputs_Assumptions!$E$117*Units*Capacity_per_Turbine*Turbines*BG21/Million,0)*Equity_In_Project</f>
        <v>0</v>
      </c>
      <c r="BH82" s="112">
        <f>-IF(AND(BH15=1,BI15=0),Inputs_Assumptions!$E$117*Units*Capacity_per_Turbine*Turbines*BH21/Million,0)*Equity_In_Project</f>
        <v>0</v>
      </c>
      <c r="BI82" s="112">
        <f>-IF(AND(BI15=1,BJ15=0),Inputs_Assumptions!$E$117*Units*Capacity_per_Turbine*Turbines*BI21/Million,0)*Equity_In_Project</f>
        <v>0</v>
      </c>
      <c r="BJ82" s="112">
        <f>-IF(AND(BJ15=1,BK15=0),Inputs_Assumptions!$E$117*Units*Capacity_per_Turbine*Turbines*BJ21/Million,0)*Equity_In_Project</f>
        <v>0</v>
      </c>
      <c r="BK82" s="112">
        <f>-IF(AND(BK15=1,BL15=0),Inputs_Assumptions!$E$117*Units*Capacity_per_Turbine*Turbines*BK21/Million,0)*Equity_In_Project</f>
        <v>0</v>
      </c>
      <c r="BL82" s="112">
        <f>-IF(AND(BL15=1,BM15=0),Inputs_Assumptions!$E$117*Units*Capacity_per_Turbine*Turbines*BL21/Million,0)*Equity_In_Project</f>
        <v>0</v>
      </c>
      <c r="BM82" s="112">
        <f>-IF(AND(BM15=1,BN15=0),Inputs_Assumptions!$E$117*Units*Capacity_per_Turbine*Turbines*BM21/Million,0)*Equity_In_Project</f>
        <v>0</v>
      </c>
      <c r="BN82" s="112">
        <f>-IF(AND(BN15=1,BO15=0),Inputs_Assumptions!$E$117*Units*Capacity_per_Turbine*Turbines*BN21/Million,0)*Equity_In_Project</f>
        <v>0</v>
      </c>
      <c r="BO82" s="112">
        <f>-IF(AND(BO15=1,BP15=0),Inputs_Assumptions!$E$117*Units*Capacity_per_Turbine*Turbines*BO21/Million,0)*Equity_In_Project</f>
        <v>0</v>
      </c>
      <c r="BP82" s="112">
        <f>-IF(AND(BP15=1,BQ15=0),Inputs_Assumptions!$E$117*Units*Capacity_per_Turbine*Turbines*BP21/Million,0)*Equity_In_Project</f>
        <v>0</v>
      </c>
      <c r="BQ82" s="112">
        <f>-IF(AND(BQ15=1,BR15=0),Inputs_Assumptions!$E$117*Units*Capacity_per_Turbine*Turbines*BQ21/Million,0)*Equity_In_Project</f>
        <v>0</v>
      </c>
      <c r="BR82" s="112">
        <f>-IF(AND(BR15=1,BS15=0),Inputs_Assumptions!$E$117*Units*Capacity_per_Turbine*Turbines*BR21/Million,0)*Equity_In_Project</f>
        <v>0</v>
      </c>
      <c r="BS82" s="112">
        <f>-IF(AND(BS15=1,BT15=0),Inputs_Assumptions!$E$117*Units*Capacity_per_Turbine*Turbines*BS21/Million,0)*Equity_In_Project</f>
        <v>0</v>
      </c>
      <c r="BT82" s="112">
        <f>-IF(AND(BT15=1,BU15=0),Inputs_Assumptions!$E$117*Units*Capacity_per_Turbine*Turbines*BT21/Million,0)*Equity_In_Project</f>
        <v>0</v>
      </c>
      <c r="BU82" s="112">
        <f>-IF(AND(BU15=1,BV15=0),Inputs_Assumptions!$E$117*Units*Capacity_per_Turbine*Turbines*BU21/Million,0)*Equity_In_Project</f>
        <v>0</v>
      </c>
      <c r="BV82" s="112">
        <f>-IF(AND(BV15=1,BW15=0),Inputs_Assumptions!$E$117*Units*Capacity_per_Turbine*Turbines*BV21/Million,0)*Equity_In_Project</f>
        <v>0</v>
      </c>
      <c r="BW82" s="112">
        <f>-IF(AND(BW15=1,BX15=0),Inputs_Assumptions!$E$117*Units*Capacity_per_Turbine*Turbines*BW21/Million,0)*Equity_In_Project</f>
        <v>0</v>
      </c>
      <c r="BX82" s="112">
        <f>-IF(AND(BX15=1,BY15=0),Inputs_Assumptions!$E$117*Units*Capacity_per_Turbine*Turbines*BX21/Million,0)*Equity_In_Project</f>
        <v>0</v>
      </c>
      <c r="BY82" s="112">
        <f>-IF(AND(BY15=1,BZ15=0),Inputs_Assumptions!$E$117*Units*Capacity_per_Turbine*Turbines*BY21/Million,0)*Equity_In_Project</f>
        <v>0</v>
      </c>
      <c r="BZ82" s="112">
        <f>-IF(AND(BZ15=1,CA15=0),Inputs_Assumptions!$E$117*Units*Capacity_per_Turbine*Turbines*BZ21/Million,0)*Equity_In_Project</f>
        <v>0</v>
      </c>
      <c r="CA82" s="112">
        <f>-IF(AND(CA15=1,CB15=0),Inputs_Assumptions!$E$117*Units*Capacity_per_Turbine*Turbines*CA21/Million,0)*Equity_In_Project</f>
        <v>0</v>
      </c>
      <c r="CB82" s="112">
        <f>-IF(AND(CB15=1,CC15=0),Inputs_Assumptions!$E$117*Units*Capacity_per_Turbine*Turbines*CB21/Million,0)*Equity_In_Project</f>
        <v>0</v>
      </c>
      <c r="CC82" s="112">
        <f>-IF(AND(CC15=1,CD15=0),Inputs_Assumptions!$E$117*Units*Capacity_per_Turbine*Turbines*CC21/Million,0)*Equity_In_Project</f>
        <v>0</v>
      </c>
      <c r="CD82" s="112">
        <f>-IF(AND(CD15=1,CE15=0),Inputs_Assumptions!$E$117*Units*Capacity_per_Turbine*Turbines*CD21/Million,0)*Equity_In_Project</f>
        <v>0</v>
      </c>
      <c r="CE82" s="112">
        <f>-IF(AND(CE15=1,CF15=0),Inputs_Assumptions!$E$117*Units*Capacity_per_Turbine*Turbines*CE21/Million,0)*Equity_In_Project</f>
        <v>0</v>
      </c>
      <c r="CF82" s="112">
        <f>-IF(AND(CF15=1,CG15=0),Inputs_Assumptions!$E$117*Units*Capacity_per_Turbine*Turbines*CF21/Million,0)*Equity_In_Project</f>
        <v>0</v>
      </c>
      <c r="CG82" s="112">
        <f>-IF(AND(CG15=1,CH15=0),Inputs_Assumptions!$E$117*Units*Capacity_per_Turbine*Turbines*CG21/Million,0)*Equity_In_Project</f>
        <v>0</v>
      </c>
      <c r="CH82" s="112">
        <f>-IF(AND(CH15=1,CI15=0),Inputs_Assumptions!$E$117*Units*Capacity_per_Turbine*Turbines*CH21/Million,0)*Equity_In_Project</f>
        <v>0</v>
      </c>
      <c r="CI82" s="112">
        <f>-IF(AND(CI15=1,CJ15=0),Inputs_Assumptions!$E$117*Units*Capacity_per_Turbine*Turbines*CI21/Million,0)*Equity_In_Project</f>
        <v>0</v>
      </c>
      <c r="CJ82" s="112">
        <f>-IF(AND(CJ15=1,CK15=0),Inputs_Assumptions!$E$117*Units*Capacity_per_Turbine*Turbines*CJ21/Million,0)*Equity_In_Project</f>
        <v>0</v>
      </c>
      <c r="CK82" s="112">
        <f>-IF(AND(CK15=1,CL15=0),Inputs_Assumptions!$E$117*Units*Capacity_per_Turbine*Turbines*CK21/Million,0)*Equity_In_Project</f>
        <v>0</v>
      </c>
      <c r="CL82" s="112">
        <f>-IF(AND(CL15=1,CM15=0),Inputs_Assumptions!$E$117*Units*Capacity_per_Turbine*Turbines*CL21/Million,0)*Equity_In_Project</f>
        <v>0</v>
      </c>
      <c r="CM82" s="112">
        <f>-IF(AND(CM15=1,CN15=0),Inputs_Assumptions!$E$117*Units*Capacity_per_Turbine*Turbines*CM21/Million,0)*Equity_In_Project</f>
        <v>0</v>
      </c>
      <c r="CN82" s="112">
        <f>-IF(AND(CN15=1,CO15=0),Inputs_Assumptions!$E$117*Units*Capacity_per_Turbine*Turbines*CN21/Million,0)*Equity_In_Project</f>
        <v>0</v>
      </c>
      <c r="CO82" s="112">
        <f>-IF(AND(CO15=1,CP15=0),Inputs_Assumptions!$E$117*Units*Capacity_per_Turbine*Turbines*CO21/Million,0)*Equity_In_Project</f>
        <v>0</v>
      </c>
      <c r="CP82" s="112">
        <f>-IF(AND(CP15=1,CQ15=0),Inputs_Assumptions!$E$117*Units*Capacity_per_Turbine*Turbines*CP21/Million,0)*Equity_In_Project</f>
        <v>0</v>
      </c>
      <c r="CQ82" s="112">
        <f>-IF(AND(CQ15=1,CR15=0),Inputs_Assumptions!$E$117*Units*Capacity_per_Turbine*Turbines*CQ21/Million,0)*Equity_In_Project</f>
        <v>0</v>
      </c>
      <c r="CR82" s="112">
        <f>-IF(AND(CR15=1,CS15=0),Inputs_Assumptions!$E$117*Units*Capacity_per_Turbine*Turbines*CR21/Million,0)*Equity_In_Project</f>
        <v>0</v>
      </c>
      <c r="CS82" s="112">
        <f>-IF(AND(CS15=1,CT15=0),Inputs_Assumptions!$E$117*Units*Capacity_per_Turbine*Turbines*CS21/Million,0)*Equity_In_Project</f>
        <v>0</v>
      </c>
      <c r="CT82" s="112">
        <f>-IF(AND(CT15=1,CU15=0),Inputs_Assumptions!$E$117*Units*Capacity_per_Turbine*Turbines*CT21/Million,0)*Equity_In_Project</f>
        <v>0</v>
      </c>
      <c r="CU82" s="261">
        <f>-IF(AND(CU15=1,CV15=0),Inputs_Assumptions!$E$117*Units*Capacity_per_Turbine*Turbines*CU21/Million,0)*Equity_In_Project</f>
        <v>0</v>
      </c>
      <c r="CV82" s="112">
        <f>-IF(AND(CV15=1,CW15=0),Inputs_Assumptions!$E$117*Units*Capacity_per_Turbine*Turbines*CV21/Million,0)*Equity_In_Project</f>
        <v>0</v>
      </c>
      <c r="CW82" s="112">
        <f>-IF(AND(CW15=1,CX15=0),Inputs_Assumptions!$E$117*Units*Capacity_per_Turbine*Turbines*CW21/Million,0)*Equity_In_Project</f>
        <v>0</v>
      </c>
      <c r="CX82" s="112">
        <f>-IF(AND(CX15=1,CY15=0),Inputs_Assumptions!$E$117*Units*Capacity_per_Turbine*Turbines*CX21/Million,0)*Equity_In_Project</f>
        <v>0</v>
      </c>
      <c r="CY82" s="112">
        <f>-IF(AND(CY15=1,CZ15=0),Inputs_Assumptions!$E$117*Units*Capacity_per_Turbine*Turbines*CY21/Million,0)*Equity_In_Project</f>
        <v>0</v>
      </c>
      <c r="CZ82" s="112">
        <f>-IF(AND(CZ15=1,DA15=0),Inputs_Assumptions!$E$117*Units*Capacity_per_Turbine*Turbines*CZ21/Million,0)*Equity_In_Project</f>
        <v>0</v>
      </c>
      <c r="DA82" s="112">
        <f>-IF(AND(DA15=1,DB15=0),Inputs_Assumptions!$E$117*Units*Capacity_per_Turbine*Turbines*DA21/Million,0)*Equity_In_Project</f>
        <v>0</v>
      </c>
      <c r="DB82" s="112">
        <f>-IF(AND(DB15=1,DC15=0),Inputs_Assumptions!$E$117*Units*Capacity_per_Turbine*Turbines*DB21/Million,0)*Equity_In_Project</f>
        <v>0</v>
      </c>
      <c r="DC82" s="112">
        <f>-IF(AND(DC15=1,DD15=0),Inputs_Assumptions!$E$117*Units*Capacity_per_Turbine*Turbines*DC21/Million,0)*Equity_In_Project</f>
        <v>0</v>
      </c>
      <c r="DD82" s="112">
        <f>-IF(AND(DD15=1,DE15=0),Inputs_Assumptions!$E$117*Units*Capacity_per_Turbine*Turbines*DD21/Million,0)*Equity_In_Project</f>
        <v>0</v>
      </c>
      <c r="DE82" s="112">
        <f>-IF(AND(DE15=1,DF15=0),Inputs_Assumptions!$E$117*Units*Capacity_per_Turbine*Turbines*DE21/Million,0)*Equity_In_Project</f>
        <v>0</v>
      </c>
      <c r="DF82" s="112">
        <f>-IF(AND(DF15=1,DG15=0),Inputs_Assumptions!$E$117*Units*Capacity_per_Turbine*Turbines*DF21/Million,0)*Equity_In_Project</f>
        <v>0</v>
      </c>
      <c r="DG82" s="112">
        <f>-IF(AND(DG15=1,DH15=0),Inputs_Assumptions!$E$117*Units*Capacity_per_Turbine*Turbines*DG21/Million,0)*Equity_In_Project</f>
        <v>0</v>
      </c>
      <c r="DH82" s="112">
        <f>-IF(AND(DH15=1,DI15=0),Inputs_Assumptions!$E$117*Units*Capacity_per_Turbine*Turbines*DH21/Million,0)*Equity_In_Project</f>
        <v>0</v>
      </c>
      <c r="DI82" s="112">
        <f>-IF(AND(DI15=1,DJ15=0),Inputs_Assumptions!$E$117*Units*Capacity_per_Turbine*Turbines*DI21/Million,0)*Equity_In_Project</f>
        <v>0</v>
      </c>
      <c r="DJ82" s="112">
        <f>-IF(AND(DJ15=1,DK15=0),Inputs_Assumptions!$E$117*Units*Capacity_per_Turbine*Turbines*DJ21/Million,0)*Equity_In_Project</f>
        <v>0</v>
      </c>
      <c r="DK82" s="112">
        <f>-IF(AND(DK15=1,DL15=0),Inputs_Assumptions!$E$117*Units*Capacity_per_Turbine*Turbines*DK21/Million,0)*Equity_In_Project</f>
        <v>0</v>
      </c>
      <c r="DL82" s="112">
        <f>-IF(AND(DL15=1,DM15=0),Inputs_Assumptions!$E$117*Units*Capacity_per_Turbine*Turbines*DL21/Million,0)*Equity_In_Project</f>
        <v>0</v>
      </c>
      <c r="DM82" s="112">
        <f>-IF(AND(DM15=1,DN15=0),Inputs_Assumptions!$E$117*Units*Capacity_per_Turbine*Turbines*DM21/Million,0)*Equity_In_Project</f>
        <v>0</v>
      </c>
      <c r="DN82" s="112">
        <f>-IF(AND(DN15=1,DO15=0),Inputs_Assumptions!$E$117*Units*Capacity_per_Turbine*Turbines*DN21/Million,0)*Equity_In_Project</f>
        <v>0</v>
      </c>
      <c r="DO82" s="112">
        <f>-IF(AND(DO15=1,DP15=0),Inputs_Assumptions!$E$117*Units*Capacity_per_Turbine*Turbines*DO21/Million,0)*Equity_In_Project</f>
        <v>0</v>
      </c>
      <c r="DP82" s="112">
        <f>-IF(AND(DP15=1,DQ15=0),Inputs_Assumptions!$E$117*Units*Capacity_per_Turbine*Turbines*DP21/Million,0)*Equity_In_Project</f>
        <v>0</v>
      </c>
      <c r="DQ82" s="112">
        <f>-IF(AND(DQ15=1,DR15=0),Inputs_Assumptions!$E$117*Units*Capacity_per_Turbine*Turbines*DQ21/Million,0)*Equity_In_Project</f>
        <v>0</v>
      </c>
      <c r="DR82" s="112">
        <f>-IF(AND(DR15=1,DS15=0),Inputs_Assumptions!$E$117*Units*Capacity_per_Turbine*Turbines*DR21/Million,0)*Equity_In_Project</f>
        <v>0</v>
      </c>
      <c r="DS82" s="112">
        <f>-IF(AND(DS15=1,DT15=0),Inputs_Assumptions!$E$117*Units*Capacity_per_Turbine*Turbines*DS21/Million,0)*Equity_In_Project</f>
        <v>0</v>
      </c>
      <c r="DT82" s="112">
        <f>-IF(AND(DT15=1,DU15=0),Inputs_Assumptions!$E$117*Units*Capacity_per_Turbine*Turbines*DT21/Million,0)*Equity_In_Project</f>
        <v>0</v>
      </c>
      <c r="DU82" s="112">
        <f>-IF(AND(DU15=1,DV15=0),Inputs_Assumptions!$E$117*Units*Capacity_per_Turbine*Turbines*DU21/Million,0)*Equity_In_Project</f>
        <v>0</v>
      </c>
      <c r="DV82" s="112">
        <f>-IF(AND(DV15=1,DW15=0),Inputs_Assumptions!$E$117*Units*Capacity_per_Turbine*Turbines*DV21/Million,0)*Equity_In_Project</f>
        <v>0</v>
      </c>
      <c r="DW82" s="112">
        <f>-IF(AND(DW15=1,DX15=0),Inputs_Assumptions!$E$117*Units*Capacity_per_Turbine*Turbines*DW21/Million,0)*Equity_In_Project</f>
        <v>0</v>
      </c>
      <c r="DX82" s="112">
        <f>-IF(AND(DX15=1,DY15=0),Inputs_Assumptions!$E$117*Units*Capacity_per_Turbine*Turbines*DX21/Million,0)*Equity_In_Project</f>
        <v>0</v>
      </c>
      <c r="DY82" s="112">
        <f>-IF(AND(DY15=1,DZ15=0),Inputs_Assumptions!$E$117*Units*Capacity_per_Turbine*Turbines*DY21/Million,0)*Equity_In_Project</f>
        <v>0</v>
      </c>
      <c r="DZ82" s="112">
        <f>-IF(AND(DZ15=1,EA15=0),Inputs_Assumptions!$E$117*Units*Capacity_per_Turbine*Turbines*DZ21/Million,0)*Equity_In_Project</f>
        <v>0</v>
      </c>
      <c r="EA82" s="112">
        <f>-IF(AND(EA15=1,EB15=0),Inputs_Assumptions!$E$117*Units*Capacity_per_Turbine*Turbines*EA21/Million,0)*Equity_In_Project</f>
        <v>0</v>
      </c>
      <c r="EB82" s="112">
        <f>-IF(AND(EB15=1,EC15=0),Inputs_Assumptions!$E$117*Units*Capacity_per_Turbine*Turbines*EB21/Million,0)*Equity_In_Project</f>
        <v>0</v>
      </c>
      <c r="EC82" s="112">
        <f>-IF(AND(EC15=1,ED15=0),Inputs_Assumptions!$E$117*Units*Capacity_per_Turbine*Turbines*EC21/Million,0)*Equity_In_Project</f>
        <v>0</v>
      </c>
      <c r="ED82" s="112">
        <f>-IF(AND(ED15=1,EE15=0),Inputs_Assumptions!$E$117*Units*Capacity_per_Turbine*Turbines*ED21/Million,0)*Equity_In_Project</f>
        <v>0</v>
      </c>
      <c r="EE82" s="112">
        <f>-IF(AND(EE15=1,EF15=0),Inputs_Assumptions!$E$117*Units*Capacity_per_Turbine*Turbines*EE21/Million,0)*Equity_In_Project</f>
        <v>0</v>
      </c>
      <c r="EF82" s="112">
        <f>-IF(AND(EF15=1,EG15=0),Inputs_Assumptions!$E$117*Units*Capacity_per_Turbine*Turbines*EF21/Million,0)*Equity_In_Project</f>
        <v>0</v>
      </c>
      <c r="EG82" s="112">
        <f>-IF(AND(EG15=1,EH15=0),Inputs_Assumptions!$E$117*Units*Capacity_per_Turbine*Turbines*EG21/Million,0)*Equity_In_Project</f>
        <v>0</v>
      </c>
      <c r="EH82" s="112">
        <f>-IF(AND(EH15=1,EI15=0),Inputs_Assumptions!$E$117*Units*Capacity_per_Turbine*Turbines*EH21/Million,0)*Equity_In_Project</f>
        <v>0</v>
      </c>
      <c r="EI82" s="112">
        <f>-IF(AND(EI15=1,EJ15=0),Inputs_Assumptions!$E$117*Units*Capacity_per_Turbine*Turbines*EI21/Million,0)*Equity_In_Project</f>
        <v>-447.72071928827216</v>
      </c>
      <c r="EJ82" s="112">
        <f>-IF(AND(EJ15=1,EK15=0),Inputs_Assumptions!$E$117*Units*Capacity_per_Turbine*Turbines*EJ21/Million,0)*Equity_In_Project</f>
        <v>0</v>
      </c>
      <c r="EK82" s="112">
        <f>-IF(AND(EK15=1,EL15=0),Inputs_Assumptions!$E$117*Units*Capacity_per_Turbine*Turbines*EK21/Million,0)*Equity_In_Project</f>
        <v>0</v>
      </c>
      <c r="EL82" s="112">
        <f>-IF(AND(EL15=1,EM15=0),Inputs_Assumptions!$E$117*Units*Capacity_per_Turbine*Turbines*EL21/Million,0)*Equity_In_Project</f>
        <v>0</v>
      </c>
      <c r="EM82" s="112">
        <f>-IF(AND(EM15=1,EN15=0),Inputs_Assumptions!$E$117*Units*Capacity_per_Turbine*Turbines*EM21/Million,0)*Equity_In_Project</f>
        <v>0</v>
      </c>
      <c r="EN82" s="112">
        <f>-IF(AND(EN15=1,EO15=0),Inputs_Assumptions!$E$117*Units*Capacity_per_Turbine*Turbines*EN21/Million,0)*Equity_In_Project</f>
        <v>0</v>
      </c>
      <c r="EO82" s="112">
        <f>-IF(AND(EO15=1,EP15=0),Inputs_Assumptions!$E$117*Units*Capacity_per_Turbine*Turbines*EO21/Million,0)*Equity_In_Project</f>
        <v>0</v>
      </c>
      <c r="EP82" s="112">
        <f>-IF(AND(EP15=1,EQ15=0),Inputs_Assumptions!$E$117*Units*Capacity_per_Turbine*Turbines*EP21/Million,0)*Equity_In_Project</f>
        <v>0</v>
      </c>
      <c r="EQ82" s="112">
        <f>-IF(AND(EQ15=1,ER15=0),Inputs_Assumptions!$E$117*Units*Capacity_per_Turbine*Turbines*EQ21/Million,0)*Equity_In_Project</f>
        <v>0</v>
      </c>
      <c r="ER82" s="112">
        <f>-IF(AND(ER15=1,ES15=0),Inputs_Assumptions!$E$117*Units*Capacity_per_Turbine*Turbines*ER21/Million,0)*Equity_In_Project</f>
        <v>0</v>
      </c>
      <c r="ES82" s="112">
        <f>-IF(AND(ES15=1,ET15=0),Inputs_Assumptions!$E$117*Units*Capacity_per_Turbine*Turbines*ES21/Million,0)*Equity_In_Project</f>
        <v>0</v>
      </c>
      <c r="ET82" s="112">
        <f>-IF(AND(ET15=1,EU15=0),Inputs_Assumptions!$E$117*Units*Capacity_per_Turbine*Turbines*ET21/Million,0)*Equity_In_Project</f>
        <v>0</v>
      </c>
      <c r="EU82" s="112">
        <f>-IF(AND(EU15=1,EV15=0),Inputs_Assumptions!$E$117*Units*Capacity_per_Turbine*Turbines*EU21/Million,0)*Equity_In_Project</f>
        <v>0</v>
      </c>
      <c r="EV82" s="112">
        <f>-IF(AND(EV15=1,EW15=0),Inputs_Assumptions!$E$117*Units*Capacity_per_Turbine*Turbines*EV21/Million,0)*Equity_In_Project</f>
        <v>0</v>
      </c>
      <c r="EW82" s="112">
        <f>-IF(AND(EW15=1,EX15=0),Inputs_Assumptions!$E$117*Units*Capacity_per_Turbine*Turbines*EW21/Million,0)*Equity_In_Project</f>
        <v>0</v>
      </c>
      <c r="EX82" s="112">
        <f>-IF(AND(EX15=1,EY15=0),Inputs_Assumptions!$E$117*Units*Capacity_per_Turbine*Turbines*EX21/Million,0)*Equity_In_Project</f>
        <v>0</v>
      </c>
      <c r="EY82" s="112">
        <f>-IF(AND(EY15=1,EZ15=0),Inputs_Assumptions!$E$117*Units*Capacity_per_Turbine*Turbines*EY21/Million,0)*Equity_In_Project</f>
        <v>0</v>
      </c>
      <c r="EZ82" s="112">
        <f>-IF(AND(EZ15=1,FA15=0),Inputs_Assumptions!$E$117*Units*Capacity_per_Turbine*Turbines*EZ21/Million,0)*Equity_In_Project</f>
        <v>0</v>
      </c>
      <c r="FA82" s="112">
        <f>-IF(AND(FA15=1,FB15=0),Inputs_Assumptions!$E$117*Units*Capacity_per_Turbine*Turbines*FA21/Million,0)*Equity_In_Project</f>
        <v>0</v>
      </c>
    </row>
    <row r="83" spans="1:157" outlineLevel="1" x14ac:dyDescent="0.2">
      <c r="C83" s="93" t="s">
        <v>392</v>
      </c>
      <c r="D83" s="21" t="s">
        <v>126</v>
      </c>
      <c r="E83" s="5"/>
      <c r="F83" s="5"/>
      <c r="G83" s="106">
        <f>SUM(G79:G82)</f>
        <v>0</v>
      </c>
      <c r="H83" s="106">
        <f t="shared" ref="H83:BS83" ca="1" si="700">SUM(H79:H82)</f>
        <v>0</v>
      </c>
      <c r="I83" s="106">
        <f t="shared" ca="1" si="700"/>
        <v>0</v>
      </c>
      <c r="J83" s="106">
        <f t="shared" ca="1" si="700"/>
        <v>0</v>
      </c>
      <c r="K83" s="106">
        <f t="shared" ca="1" si="700"/>
        <v>0</v>
      </c>
      <c r="L83" s="106">
        <f t="shared" ca="1" si="700"/>
        <v>0</v>
      </c>
      <c r="M83" s="106">
        <f t="shared" ca="1" si="700"/>
        <v>3.508591995226817</v>
      </c>
      <c r="N83" s="106">
        <f t="shared" ca="1" si="700"/>
        <v>15.130374096609035</v>
      </c>
      <c r="O83" s="106">
        <f t="shared" ca="1" si="700"/>
        <v>19.816789622566201</v>
      </c>
      <c r="P83" s="106">
        <f t="shared" ca="1" si="700"/>
        <v>17.42566873044359</v>
      </c>
      <c r="Q83" s="106">
        <f t="shared" ca="1" si="700"/>
        <v>22.269515622808072</v>
      </c>
      <c r="R83" s="106">
        <f t="shared" ca="1" si="700"/>
        <v>48.679873905901353</v>
      </c>
      <c r="S83" s="106">
        <f t="shared" ca="1" si="700"/>
        <v>56.441045988273295</v>
      </c>
      <c r="T83" s="106">
        <f t="shared" ca="1" si="700"/>
        <v>39.449797207564188</v>
      </c>
      <c r="U83" s="106">
        <f t="shared" ca="1" si="700"/>
        <v>31.88053859665461</v>
      </c>
      <c r="V83" s="106">
        <f t="shared" ca="1" si="700"/>
        <v>53.108791216100968</v>
      </c>
      <c r="W83" s="106">
        <f t="shared" ca="1" si="700"/>
        <v>58.606615619613308</v>
      </c>
      <c r="X83" s="106">
        <f t="shared" ca="1" si="700"/>
        <v>40.243363140928615</v>
      </c>
      <c r="Y83" s="106">
        <f t="shared" ca="1" si="700"/>
        <v>32.499620606198931</v>
      </c>
      <c r="Z83" s="106">
        <f t="shared" ca="1" si="700"/>
        <v>60.029606613829564</v>
      </c>
      <c r="AA83" s="106">
        <f t="shared" ca="1" si="700"/>
        <v>67.469112295400706</v>
      </c>
      <c r="AB83" s="106">
        <f t="shared" ca="1" si="700"/>
        <v>41.052031661790807</v>
      </c>
      <c r="AC83" s="106">
        <f t="shared" ca="1" si="700"/>
        <v>33.12977934341864</v>
      </c>
      <c r="AD83" s="106">
        <f t="shared" ca="1" si="700"/>
        <v>61.290782180979271</v>
      </c>
      <c r="AE83" s="106">
        <f t="shared" ca="1" si="700"/>
        <v>68.900222674793227</v>
      </c>
      <c r="AF83" s="106">
        <f t="shared" ca="1" si="700"/>
        <v>41.876062665298008</v>
      </c>
      <c r="AG83" s="106">
        <f t="shared" ca="1" si="700"/>
        <v>33.771181710426362</v>
      </c>
      <c r="AH83" s="106">
        <f t="shared" ca="1" si="700"/>
        <v>62.577661008348272</v>
      </c>
      <c r="AI83" s="106">
        <f t="shared" ca="1" si="700"/>
        <v>69.60139102033763</v>
      </c>
      <c r="AJ83" s="106">
        <f t="shared" ca="1" si="700"/>
        <v>41.970657209769641</v>
      </c>
      <c r="AK83" s="106">
        <f t="shared" ca="1" si="700"/>
        <v>33.761916778163084</v>
      </c>
      <c r="AL83" s="106">
        <f t="shared" ca="1" si="700"/>
        <v>62.924366309265892</v>
      </c>
      <c r="AM83" s="106">
        <f t="shared" ca="1" si="700"/>
        <v>70.801658105770329</v>
      </c>
      <c r="AN83" s="106">
        <f t="shared" ca="1" si="700"/>
        <v>42.809107861227588</v>
      </c>
      <c r="AO83" s="106">
        <f t="shared" ca="1" si="700"/>
        <v>34.411117917991135</v>
      </c>
      <c r="AP83" s="106">
        <f t="shared" ca="1" si="700"/>
        <v>64.241980820222153</v>
      </c>
      <c r="AQ83" s="106">
        <f t="shared" ca="1" si="700"/>
        <v>71.798905726199877</v>
      </c>
      <c r="AR83" s="106">
        <f t="shared" ca="1" si="700"/>
        <v>43.172574462513637</v>
      </c>
      <c r="AS83" s="106">
        <f t="shared" ca="1" si="700"/>
        <v>34.635626833318284</v>
      </c>
      <c r="AT83" s="106">
        <f t="shared" ca="1" si="700"/>
        <v>64.949785728853215</v>
      </c>
      <c r="AU83" s="106">
        <f t="shared" ca="1" si="700"/>
        <v>73.135850985945027</v>
      </c>
      <c r="AV83" s="106">
        <f t="shared" ca="1" si="700"/>
        <v>44.031569496940207</v>
      </c>
      <c r="AW83" s="106">
        <f t="shared" ca="1" si="700"/>
        <v>35.29779142210549</v>
      </c>
      <c r="AX83" s="106">
        <f t="shared" ca="1" si="700"/>
        <v>66.3067465038812</v>
      </c>
      <c r="AY83" s="106">
        <f t="shared" ca="1" si="700"/>
        <v>74.679761892031834</v>
      </c>
      <c r="AZ83" s="106">
        <f t="shared" ca="1" si="700"/>
        <v>44.906610726465644</v>
      </c>
      <c r="BA83" s="106">
        <f t="shared" ca="1" si="700"/>
        <v>35.971459634707664</v>
      </c>
      <c r="BB83" s="106">
        <f t="shared" ca="1" si="700"/>
        <v>67.691130987563071</v>
      </c>
      <c r="BC83" s="106">
        <f t="shared" ca="1" si="700"/>
        <v>74.987528269488692</v>
      </c>
      <c r="BD83" s="106">
        <f t="shared" ca="1" si="700"/>
        <v>44.554269306238233</v>
      </c>
      <c r="BE83" s="106">
        <f t="shared" ca="1" si="700"/>
        <v>35.551617236772394</v>
      </c>
      <c r="BF83" s="106">
        <f t="shared" ca="1" si="700"/>
        <v>67.490341923922003</v>
      </c>
      <c r="BG83" s="106">
        <f t="shared" ca="1" si="700"/>
        <v>76.110366959286551</v>
      </c>
      <c r="BH83" s="106">
        <f t="shared" ca="1" si="700"/>
        <v>45.433661237738548</v>
      </c>
      <c r="BI83" s="106">
        <f t="shared" ca="1" si="700"/>
        <v>36.223412725347387</v>
      </c>
      <c r="BJ83" s="106">
        <f t="shared" ca="1" si="700"/>
        <v>63.606721145777179</v>
      </c>
      <c r="BK83" s="106">
        <f t="shared" ca="1" si="700"/>
        <v>68.487621960460928</v>
      </c>
      <c r="BL83" s="106">
        <f t="shared" ca="1" si="700"/>
        <v>46.329251896073572</v>
      </c>
      <c r="BM83" s="106">
        <f t="shared" ca="1" si="700"/>
        <v>36.906615106920789</v>
      </c>
      <c r="BN83" s="106">
        <f t="shared" ca="1" si="700"/>
        <v>60.638375518779405</v>
      </c>
      <c r="BO83" s="106">
        <f t="shared" ca="1" si="700"/>
        <v>69.064212279922913</v>
      </c>
      <c r="BP83" s="106">
        <f t="shared" ca="1" si="700"/>
        <v>47.241301913602747</v>
      </c>
      <c r="BQ83" s="106">
        <f t="shared" ca="1" si="700"/>
        <v>37.108153162477208</v>
      </c>
      <c r="BR83" s="106">
        <f t="shared" ca="1" si="700"/>
        <v>59.830494621548269</v>
      </c>
      <c r="BS83" s="106">
        <f t="shared" ca="1" si="700"/>
        <v>69.646296114927281</v>
      </c>
      <c r="BT83" s="106">
        <f t="shared" ref="BT83:EE83" ca="1" si="701">SUM(BT79:BT82)</f>
        <v>47.325503912639469</v>
      </c>
      <c r="BU83" s="106">
        <f t="shared" ca="1" si="701"/>
        <v>36.94637812104034</v>
      </c>
      <c r="BV83" s="106">
        <f t="shared" ca="1" si="701"/>
        <v>60.192747972029096</v>
      </c>
      <c r="BW83" s="106">
        <f t="shared" ca="1" si="701"/>
        <v>70.230779329784681</v>
      </c>
      <c r="BX83" s="106">
        <f t="shared" ca="1" si="701"/>
        <v>47.39447956174989</v>
      </c>
      <c r="BY83" s="106">
        <f t="shared" ca="1" si="701"/>
        <v>36.773704379674655</v>
      </c>
      <c r="BZ83" s="106">
        <f t="shared" ca="1" si="701"/>
        <v>60.549926386365414</v>
      </c>
      <c r="CA83" s="106">
        <f t="shared" ca="1" si="701"/>
        <v>70.814474396603856</v>
      </c>
      <c r="CB83" s="106">
        <f t="shared" ca="1" si="701"/>
        <v>47.450020644812284</v>
      </c>
      <c r="CC83" s="106">
        <f t="shared" ca="1" si="701"/>
        <v>36.581232382980581</v>
      </c>
      <c r="CD83" s="106">
        <f t="shared" ca="1" si="701"/>
        <v>60.898646315434092</v>
      </c>
      <c r="CE83" s="106">
        <f t="shared" ca="1" si="701"/>
        <v>70.09621888729221</v>
      </c>
      <c r="CF83" s="106">
        <f t="shared" ca="1" si="701"/>
        <v>45.995996376796782</v>
      </c>
      <c r="CG83" s="106">
        <f t="shared" ca="1" si="701"/>
        <v>35.101630467526419</v>
      </c>
      <c r="CH83" s="106">
        <f t="shared" ca="1" si="701"/>
        <v>59.45360375381405</v>
      </c>
      <c r="CI83" s="106">
        <f t="shared" ca="1" si="701"/>
        <v>69.959773479267966</v>
      </c>
      <c r="CJ83" s="106">
        <f t="shared" ca="1" si="701"/>
        <v>46.005859769468657</v>
      </c>
      <c r="CK83" s="106">
        <f t="shared" ca="1" si="701"/>
        <v>34.855929810020399</v>
      </c>
      <c r="CL83" s="106">
        <f t="shared" ca="1" si="701"/>
        <v>59.761035290509767</v>
      </c>
      <c r="CM83" s="106">
        <f t="shared" ca="1" si="701"/>
        <v>70.502367751504153</v>
      </c>
      <c r="CN83" s="106">
        <f t="shared" ca="1" si="701"/>
        <v>45.992548521841456</v>
      </c>
      <c r="CO83" s="106">
        <f t="shared" ca="1" si="701"/>
        <v>34.580354008338979</v>
      </c>
      <c r="CP83" s="106">
        <f t="shared" ca="1" si="701"/>
        <v>60.050446368850999</v>
      </c>
      <c r="CQ83" s="106">
        <f t="shared" ca="1" si="701"/>
        <v>71.031494274230539</v>
      </c>
      <c r="CR83" s="106">
        <f t="shared" ca="1" si="701"/>
        <v>45.952162449417649</v>
      </c>
      <c r="CS83" s="106">
        <f t="shared" ca="1" si="701"/>
        <v>34.270830408274563</v>
      </c>
      <c r="CT83" s="106">
        <f t="shared" ca="1" si="701"/>
        <v>60.318016945305544</v>
      </c>
      <c r="CU83" s="259">
        <f t="shared" ca="1" si="701"/>
        <v>71.478792970481805</v>
      </c>
      <c r="CV83" s="106">
        <f t="shared" ca="1" si="701"/>
        <v>19.359145747212487</v>
      </c>
      <c r="CW83" s="106">
        <f t="shared" ca="1" si="701"/>
        <v>-4.0012472901862992</v>
      </c>
      <c r="CX83" s="106">
        <f t="shared" ca="1" si="701"/>
        <v>14.960474583765521</v>
      </c>
      <c r="CY83" s="106">
        <f t="shared" ca="1" si="701"/>
        <v>19.362992797710039</v>
      </c>
      <c r="CZ83" s="106">
        <f t="shared" ca="1" si="701"/>
        <v>0.81112863905260468</v>
      </c>
      <c r="DA83" s="106">
        <f t="shared" ca="1" si="701"/>
        <v>-4.9812678395834631</v>
      </c>
      <c r="DB83" s="106">
        <f t="shared" ca="1" si="701"/>
        <v>14.097999959817733</v>
      </c>
      <c r="DC83" s="106">
        <f t="shared" ca="1" si="701"/>
        <v>19.317100563747296</v>
      </c>
      <c r="DD83" s="106">
        <f t="shared" ca="1" si="701"/>
        <v>0.63075250927223436</v>
      </c>
      <c r="DE83" s="106">
        <f t="shared" ca="1" si="701"/>
        <v>-5.2959507836985269</v>
      </c>
      <c r="DF83" s="106">
        <f t="shared" ca="1" si="701"/>
        <v>14.219805424285273</v>
      </c>
      <c r="DG83" s="106">
        <f t="shared" ca="1" si="701"/>
        <v>19.557294061828777</v>
      </c>
      <c r="DH83" s="106">
        <f t="shared" ca="1" si="701"/>
        <v>0.44069439040100189</v>
      </c>
      <c r="DI83" s="106">
        <f t="shared" ca="1" si="701"/>
        <v>-5.6234363425838332</v>
      </c>
      <c r="DJ83" s="106">
        <f t="shared" ca="1" si="701"/>
        <v>14.33878713365227</v>
      </c>
      <c r="DK83" s="106">
        <f t="shared" ca="1" si="701"/>
        <v>19.797341994018819</v>
      </c>
      <c r="DL83" s="106">
        <f t="shared" ca="1" si="701"/>
        <v>0.24057734616101278</v>
      </c>
      <c r="DM83" s="106">
        <f t="shared" ca="1" si="701"/>
        <v>-5.964174142024059</v>
      </c>
      <c r="DN83" s="106">
        <f t="shared" ca="1" si="701"/>
        <v>14.454723398386506</v>
      </c>
      <c r="DO83" s="106">
        <f t="shared" ca="1" si="701"/>
        <v>20.037083049169642</v>
      </c>
      <c r="DP83" s="106">
        <f t="shared" ca="1" si="701"/>
        <v>3.0011460213558827E-2</v>
      </c>
      <c r="DQ83" s="106">
        <f t="shared" ca="1" si="701"/>
        <v>-6.3186284861178219</v>
      </c>
      <c r="DR83" s="106">
        <f t="shared" ca="1" si="701"/>
        <v>14.567383051541377</v>
      </c>
      <c r="DS83" s="106">
        <f t="shared" ca="1" si="701"/>
        <v>20.276347793955345</v>
      </c>
      <c r="DT83" s="106">
        <f t="shared" ca="1" si="701"/>
        <v>-0.19140658310651659</v>
      </c>
      <c r="DU83" s="106">
        <f t="shared" ca="1" si="701"/>
        <v>-6.687278816361359</v>
      </c>
      <c r="DV83" s="106">
        <f t="shared" ca="1" si="701"/>
        <v>14.676525108183675</v>
      </c>
      <c r="DW83" s="106">
        <f t="shared" ca="1" si="701"/>
        <v>20.514958362547389</v>
      </c>
      <c r="DX83" s="106">
        <f t="shared" ca="1" si="701"/>
        <v>-0.42409393108694537</v>
      </c>
      <c r="DY83" s="106">
        <f t="shared" ca="1" si="701"/>
        <v>-7.070620184700612</v>
      </c>
      <c r="DZ83" s="106">
        <f t="shared" ca="1" si="701"/>
        <v>14.78189841354871</v>
      </c>
      <c r="EA83" s="106">
        <f t="shared" ca="1" si="701"/>
        <v>20.752728135687192</v>
      </c>
      <c r="EB83" s="106">
        <f t="shared" ca="1" si="701"/>
        <v>-0.66848200836048299</v>
      </c>
      <c r="EC83" s="106">
        <f t="shared" ca="1" si="701"/>
        <v>-7.4691637409691687</v>
      </c>
      <c r="ED83" s="106">
        <f t="shared" ca="1" si="701"/>
        <v>14.883241279566935</v>
      </c>
      <c r="EE83" s="106">
        <f t="shared" ca="1" si="701"/>
        <v>20.989461408815462</v>
      </c>
      <c r="EF83" s="106">
        <f t="shared" ref="EF83:FA83" ca="1" si="702">SUM(EF79:EF82)</f>
        <v>-0.92501697645963077</v>
      </c>
      <c r="EG83" s="106">
        <f t="shared" ca="1" si="702"/>
        <v>-7.8834372351410078</v>
      </c>
      <c r="EH83" s="106">
        <f t="shared" ca="1" si="702"/>
        <v>14.980281109395586</v>
      </c>
      <c r="EI83" s="106">
        <f t="shared" ca="1" si="702"/>
        <v>-426.49576623936605</v>
      </c>
      <c r="EJ83" s="106">
        <f t="shared" ca="1" si="702"/>
        <v>20.99939837536343</v>
      </c>
      <c r="EK83" s="106">
        <f t="shared" ca="1" si="702"/>
        <v>0</v>
      </c>
      <c r="EL83" s="106">
        <f t="shared" ca="1" si="702"/>
        <v>0</v>
      </c>
      <c r="EM83" s="106">
        <f t="shared" ca="1" si="702"/>
        <v>0</v>
      </c>
      <c r="EN83" s="106">
        <f t="shared" ca="1" si="702"/>
        <v>0</v>
      </c>
      <c r="EO83" s="106">
        <f t="shared" ca="1" si="702"/>
        <v>0</v>
      </c>
      <c r="EP83" s="106">
        <f t="shared" ca="1" si="702"/>
        <v>0</v>
      </c>
      <c r="EQ83" s="106">
        <f t="shared" ca="1" si="702"/>
        <v>0</v>
      </c>
      <c r="ER83" s="106">
        <f t="shared" ca="1" si="702"/>
        <v>0</v>
      </c>
      <c r="ES83" s="106">
        <f t="shared" ca="1" si="702"/>
        <v>0</v>
      </c>
      <c r="ET83" s="106">
        <f t="shared" ca="1" si="702"/>
        <v>0</v>
      </c>
      <c r="EU83" s="106">
        <f t="shared" ca="1" si="702"/>
        <v>0</v>
      </c>
      <c r="EV83" s="106">
        <f t="shared" ca="1" si="702"/>
        <v>0</v>
      </c>
      <c r="EW83" s="106">
        <f t="shared" ca="1" si="702"/>
        <v>0</v>
      </c>
      <c r="EX83" s="106">
        <f t="shared" ca="1" si="702"/>
        <v>0</v>
      </c>
      <c r="EY83" s="106">
        <f t="shared" ca="1" si="702"/>
        <v>0</v>
      </c>
      <c r="EZ83" s="106">
        <f t="shared" ca="1" si="702"/>
        <v>0</v>
      </c>
      <c r="FA83" s="106">
        <f t="shared" ca="1" si="702"/>
        <v>0</v>
      </c>
    </row>
    <row r="84" spans="1:157" outlineLevel="1" x14ac:dyDescent="0.2">
      <c r="C84" s="61" t="s">
        <v>41</v>
      </c>
      <c r="D84" s="21" t="s">
        <v>126</v>
      </c>
      <c r="E84" s="5"/>
      <c r="F84" s="5"/>
      <c r="G84" s="109">
        <f>G68</f>
        <v>0</v>
      </c>
      <c r="H84" s="109">
        <f t="shared" ref="H84:BS84" ca="1" si="703">H68</f>
        <v>0</v>
      </c>
      <c r="I84" s="109">
        <f t="shared" ca="1" si="703"/>
        <v>0</v>
      </c>
      <c r="J84" s="109">
        <f t="shared" ca="1" si="703"/>
        <v>0</v>
      </c>
      <c r="K84" s="109">
        <f t="shared" ca="1" si="703"/>
        <v>0</v>
      </c>
      <c r="L84" s="109">
        <f t="shared" ca="1" si="703"/>
        <v>0</v>
      </c>
      <c r="M84" s="109">
        <f t="shared" ca="1" si="703"/>
        <v>0</v>
      </c>
      <c r="N84" s="109">
        <f t="shared" ca="1" si="703"/>
        <v>0</v>
      </c>
      <c r="O84" s="109">
        <f t="shared" ca="1" si="703"/>
        <v>0</v>
      </c>
      <c r="P84" s="109">
        <f t="shared" ca="1" si="703"/>
        <v>0</v>
      </c>
      <c r="Q84" s="109">
        <f t="shared" ca="1" si="703"/>
        <v>0</v>
      </c>
      <c r="R84" s="109">
        <f t="shared" ca="1" si="703"/>
        <v>0</v>
      </c>
      <c r="S84" s="109">
        <f t="shared" ca="1" si="703"/>
        <v>0</v>
      </c>
      <c r="T84" s="109">
        <f t="shared" ca="1" si="703"/>
        <v>0</v>
      </c>
      <c r="U84" s="109">
        <f t="shared" ca="1" si="703"/>
        <v>0</v>
      </c>
      <c r="V84" s="109">
        <f t="shared" ca="1" si="703"/>
        <v>0</v>
      </c>
      <c r="W84" s="109">
        <f t="shared" ca="1" si="703"/>
        <v>0</v>
      </c>
      <c r="X84" s="109">
        <f t="shared" ca="1" si="703"/>
        <v>-29.671695654014776</v>
      </c>
      <c r="Y84" s="109">
        <f t="shared" ca="1" si="703"/>
        <v>-29.652874343927259</v>
      </c>
      <c r="Z84" s="109">
        <f t="shared" ca="1" si="703"/>
        <v>-29.652874343927259</v>
      </c>
      <c r="AA84" s="109">
        <f t="shared" ca="1" si="703"/>
        <v>-29.403540503711049</v>
      </c>
      <c r="AB84" s="109">
        <f t="shared" ca="1" si="703"/>
        <v>-29.063867079730969</v>
      </c>
      <c r="AC84" s="109">
        <f t="shared" ca="1" si="703"/>
        <v>-29.026446989741849</v>
      </c>
      <c r="AD84" s="109">
        <f t="shared" ca="1" si="703"/>
        <v>-29.026446989741849</v>
      </c>
      <c r="AE84" s="109">
        <f t="shared" ca="1" si="703"/>
        <v>-28.752966819462095</v>
      </c>
      <c r="AF84" s="109">
        <f t="shared" ca="1" si="703"/>
        <v>-28.386803427161958</v>
      </c>
      <c r="AG84" s="109">
        <f t="shared" ca="1" si="703"/>
        <v>-28.329555685817454</v>
      </c>
      <c r="AH84" s="109">
        <f t="shared" ca="1" si="703"/>
        <v>-28.329555685817454</v>
      </c>
      <c r="AI84" s="109">
        <f t="shared" ca="1" si="703"/>
        <v>-28.030561299495538</v>
      </c>
      <c r="AJ84" s="109">
        <f t="shared" ca="1" si="703"/>
        <v>-27.645312125445216</v>
      </c>
      <c r="AK84" s="109">
        <f t="shared" ca="1" si="703"/>
        <v>-27.575747307038409</v>
      </c>
      <c r="AL84" s="109">
        <f t="shared" ca="1" si="703"/>
        <v>-27.575747307038409</v>
      </c>
      <c r="AM84" s="109">
        <f t="shared" ca="1" si="703"/>
        <v>-27.261315354902244</v>
      </c>
      <c r="AN84" s="109">
        <f t="shared" ca="1" si="703"/>
        <v>-26.85046215243419</v>
      </c>
      <c r="AO84" s="109">
        <f t="shared" ca="1" si="703"/>
        <v>-26.759115042073439</v>
      </c>
      <c r="AP84" s="109">
        <f t="shared" ca="1" si="703"/>
        <v>-26.755601888312</v>
      </c>
      <c r="AQ84" s="109">
        <f t="shared" ca="1" si="703"/>
        <v>-26.413430778308033</v>
      </c>
      <c r="AR84" s="109">
        <f t="shared" ca="1" si="703"/>
        <v>-25.978145451485069</v>
      </c>
      <c r="AS84" s="109">
        <f t="shared" ca="1" si="703"/>
        <v>-25.869370359080428</v>
      </c>
      <c r="AT84" s="109">
        <f t="shared" ca="1" si="703"/>
        <v>-25.856902831517857</v>
      </c>
      <c r="AU84" s="109">
        <f t="shared" ca="1" si="703"/>
        <v>-25.492903232347246</v>
      </c>
      <c r="AV84" s="109">
        <f t="shared" ca="1" si="703"/>
        <v>-25.028137463504617</v>
      </c>
      <c r="AW84" s="109">
        <f t="shared" ca="1" si="703"/>
        <v>-24.89499625480137</v>
      </c>
      <c r="AX84" s="109">
        <f t="shared" ca="1" si="703"/>
        <v>-24.861474026662275</v>
      </c>
      <c r="AY84" s="109">
        <f t="shared" ca="1" si="703"/>
        <v>-24.466626070720039</v>
      </c>
      <c r="AZ84" s="109">
        <f t="shared" ca="1" si="703"/>
        <v>-23.968368547311307</v>
      </c>
      <c r="BA84" s="109">
        <f t="shared" ca="1" si="703"/>
        <v>-23.80901058916222</v>
      </c>
      <c r="BB84" s="109">
        <f t="shared" ca="1" si="703"/>
        <v>-23.751217048982117</v>
      </c>
      <c r="BC84" s="109">
        <f t="shared" ca="1" si="703"/>
        <v>-23.323459421201974</v>
      </c>
      <c r="BD84" s="109">
        <f t="shared" ca="1" si="703"/>
        <v>-22.804320657655822</v>
      </c>
      <c r="BE84" s="109">
        <f t="shared" ca="1" si="703"/>
        <v>-22.631445720130735</v>
      </c>
      <c r="BF84" s="109">
        <f t="shared" ca="1" si="703"/>
        <v>-22.560715443162984</v>
      </c>
      <c r="BG84" s="109">
        <f t="shared" ca="1" si="703"/>
        <v>-22.117275696781007</v>
      </c>
      <c r="BH84" s="109">
        <f t="shared" ca="1" si="703"/>
        <v>-21.566814682075009</v>
      </c>
      <c r="BI84" s="109">
        <f t="shared" ca="1" si="703"/>
        <v>-21.364974945800427</v>
      </c>
      <c r="BJ84" s="109">
        <f t="shared" ca="1" si="703"/>
        <v>-21.267255896705681</v>
      </c>
      <c r="BK84" s="109">
        <f t="shared" ca="1" si="703"/>
        <v>-20.787899972023837</v>
      </c>
      <c r="BL84" s="109">
        <f t="shared" ca="1" si="703"/>
        <v>-20.198687302571948</v>
      </c>
      <c r="BM84" s="109">
        <f t="shared" ca="1" si="703"/>
        <v>-19.965711731806138</v>
      </c>
      <c r="BN84" s="109">
        <f t="shared" ca="1" si="703"/>
        <v>-19.838855593595817</v>
      </c>
      <c r="BO84" s="109">
        <f t="shared" ca="1" si="703"/>
        <v>-19.321207314913085</v>
      </c>
      <c r="BP84" s="109">
        <f t="shared" ca="1" si="703"/>
        <v>-18.690778417152515</v>
      </c>
      <c r="BQ84" s="109">
        <f t="shared" ca="1" si="703"/>
        <v>-18.424353543459318</v>
      </c>
      <c r="BR84" s="109">
        <f t="shared" ca="1" si="703"/>
        <v>-18.266068681268337</v>
      </c>
      <c r="BS84" s="109">
        <f t="shared" ca="1" si="703"/>
        <v>-17.707601897568718</v>
      </c>
      <c r="BT84" s="109">
        <f t="shared" ref="BT84:EE84" ca="1" si="704">BT68</f>
        <v>-17.033338743975907</v>
      </c>
      <c r="BU84" s="109">
        <f t="shared" ca="1" si="704"/>
        <v>-16.730999640737071</v>
      </c>
      <c r="BV84" s="109">
        <f t="shared" ca="1" si="704"/>
        <v>-16.538841968005045</v>
      </c>
      <c r="BW84" s="109">
        <f t="shared" ca="1" si="704"/>
        <v>-15.936871176982471</v>
      </c>
      <c r="BX84" s="109">
        <f t="shared" ca="1" si="704"/>
        <v>-15.215992739522388</v>
      </c>
      <c r="BY84" s="109">
        <f t="shared" ca="1" si="704"/>
        <v>-14.875113429055347</v>
      </c>
      <c r="BZ84" s="109">
        <f t="shared" ca="1" si="704"/>
        <v>-14.646476698293313</v>
      </c>
      <c r="CA84" s="109">
        <f t="shared" ca="1" si="704"/>
        <v>-13.998147083785623</v>
      </c>
      <c r="CB84" s="109">
        <f t="shared" ca="1" si="704"/>
        <v>-13.227699191149629</v>
      </c>
      <c r="CC84" s="109">
        <f t="shared" ca="1" si="704"/>
        <v>-12.845482448756982</v>
      </c>
      <c r="CD84" s="109">
        <f t="shared" ca="1" si="704"/>
        <v>-12.577587930692562</v>
      </c>
      <c r="CE84" s="109">
        <f t="shared" ca="1" si="704"/>
        <v>-11.879864776706158</v>
      </c>
      <c r="CF84" s="109">
        <f t="shared" ca="1" si="704"/>
        <v>-11.079445657650151</v>
      </c>
      <c r="CG84" s="109">
        <f t="shared" ca="1" si="704"/>
        <v>-10.675560520055249</v>
      </c>
      <c r="CH84" s="109">
        <f t="shared" ca="1" si="704"/>
        <v>-10.385953860864818</v>
      </c>
      <c r="CI84" s="109">
        <f t="shared" ca="1" si="704"/>
        <v>-9.6655393932941003</v>
      </c>
      <c r="CJ84" s="109">
        <f t="shared" ca="1" si="704"/>
        <v>-8.8192318294452345</v>
      </c>
      <c r="CK84" s="109">
        <f t="shared" ca="1" si="704"/>
        <v>-8.3699766432088758</v>
      </c>
      <c r="CL84" s="109">
        <f t="shared" ca="1" si="704"/>
        <v>-8.0370875397626147</v>
      </c>
      <c r="CM84" s="109">
        <f t="shared" ca="1" si="704"/>
        <v>-7.2629604353014408</v>
      </c>
      <c r="CN84" s="109">
        <f t="shared" ca="1" si="704"/>
        <v>-6.3594996450558039</v>
      </c>
      <c r="CO84" s="109">
        <f t="shared" ca="1" si="704"/>
        <v>-5.8616439273719365</v>
      </c>
      <c r="CP84" s="109">
        <f t="shared" ca="1" si="704"/>
        <v>-5.4822567962264896</v>
      </c>
      <c r="CQ84" s="109">
        <f t="shared" ca="1" si="704"/>
        <v>-4.6509285848536717</v>
      </c>
      <c r="CR84" s="109">
        <f ca="1">CR68</f>
        <v>-3.6867131128103683</v>
      </c>
      <c r="CS84" s="109">
        <f t="shared" ca="1" si="704"/>
        <v>-3.136817150769911</v>
      </c>
      <c r="CT84" s="109">
        <f t="shared" ca="1" si="704"/>
        <v>-2.7075054636799596</v>
      </c>
      <c r="CU84" s="257">
        <f t="shared" ca="1" si="704"/>
        <v>-1.8152683796897389</v>
      </c>
      <c r="CV84" s="109">
        <f t="shared" si="704"/>
        <v>0</v>
      </c>
      <c r="CW84" s="109">
        <f t="shared" ca="1" si="704"/>
        <v>0</v>
      </c>
      <c r="CX84" s="109">
        <f t="shared" ca="1" si="704"/>
        <v>0</v>
      </c>
      <c r="CY84" s="109">
        <f t="shared" ca="1" si="704"/>
        <v>0</v>
      </c>
      <c r="CZ84" s="109">
        <f t="shared" ca="1" si="704"/>
        <v>0</v>
      </c>
      <c r="DA84" s="109">
        <f t="shared" ca="1" si="704"/>
        <v>0</v>
      </c>
      <c r="DB84" s="109">
        <f t="shared" ca="1" si="704"/>
        <v>0</v>
      </c>
      <c r="DC84" s="109">
        <f t="shared" ca="1" si="704"/>
        <v>0</v>
      </c>
      <c r="DD84" s="109">
        <f t="shared" ca="1" si="704"/>
        <v>0</v>
      </c>
      <c r="DE84" s="109">
        <f t="shared" ca="1" si="704"/>
        <v>0</v>
      </c>
      <c r="DF84" s="109">
        <f t="shared" ca="1" si="704"/>
        <v>0</v>
      </c>
      <c r="DG84" s="109">
        <f t="shared" ca="1" si="704"/>
        <v>0</v>
      </c>
      <c r="DH84" s="109">
        <f t="shared" ca="1" si="704"/>
        <v>0</v>
      </c>
      <c r="DI84" s="109">
        <f t="shared" ca="1" si="704"/>
        <v>0</v>
      </c>
      <c r="DJ84" s="109">
        <f t="shared" ca="1" si="704"/>
        <v>0</v>
      </c>
      <c r="DK84" s="109">
        <f t="shared" ca="1" si="704"/>
        <v>0</v>
      </c>
      <c r="DL84" s="109">
        <f t="shared" ca="1" si="704"/>
        <v>0</v>
      </c>
      <c r="DM84" s="109">
        <f t="shared" ca="1" si="704"/>
        <v>0</v>
      </c>
      <c r="DN84" s="109">
        <f t="shared" ca="1" si="704"/>
        <v>0</v>
      </c>
      <c r="DO84" s="109">
        <f t="shared" ca="1" si="704"/>
        <v>0</v>
      </c>
      <c r="DP84" s="109">
        <f t="shared" ca="1" si="704"/>
        <v>0</v>
      </c>
      <c r="DQ84" s="109">
        <f t="shared" ca="1" si="704"/>
        <v>0</v>
      </c>
      <c r="DR84" s="109">
        <f t="shared" ca="1" si="704"/>
        <v>0</v>
      </c>
      <c r="DS84" s="109">
        <f t="shared" ca="1" si="704"/>
        <v>0</v>
      </c>
      <c r="DT84" s="109">
        <f t="shared" ca="1" si="704"/>
        <v>0</v>
      </c>
      <c r="DU84" s="109">
        <f t="shared" ca="1" si="704"/>
        <v>0</v>
      </c>
      <c r="DV84" s="109">
        <f t="shared" ca="1" si="704"/>
        <v>0</v>
      </c>
      <c r="DW84" s="109">
        <f t="shared" ca="1" si="704"/>
        <v>0</v>
      </c>
      <c r="DX84" s="109">
        <f t="shared" ca="1" si="704"/>
        <v>0</v>
      </c>
      <c r="DY84" s="109">
        <f t="shared" ca="1" si="704"/>
        <v>0</v>
      </c>
      <c r="DZ84" s="109">
        <f t="shared" ca="1" si="704"/>
        <v>0</v>
      </c>
      <c r="EA84" s="109">
        <f t="shared" ca="1" si="704"/>
        <v>0</v>
      </c>
      <c r="EB84" s="109">
        <f t="shared" ca="1" si="704"/>
        <v>0</v>
      </c>
      <c r="EC84" s="109">
        <f t="shared" ca="1" si="704"/>
        <v>0</v>
      </c>
      <c r="ED84" s="109">
        <f t="shared" ca="1" si="704"/>
        <v>0</v>
      </c>
      <c r="EE84" s="109">
        <f t="shared" ca="1" si="704"/>
        <v>0</v>
      </c>
      <c r="EF84" s="109">
        <f t="shared" ref="EF84:FA84" ca="1" si="705">EF68</f>
        <v>0</v>
      </c>
      <c r="EG84" s="109">
        <f t="shared" ca="1" si="705"/>
        <v>0</v>
      </c>
      <c r="EH84" s="109">
        <f t="shared" ca="1" si="705"/>
        <v>0</v>
      </c>
      <c r="EI84" s="109">
        <f t="shared" ca="1" si="705"/>
        <v>0</v>
      </c>
      <c r="EJ84" s="109">
        <f t="shared" ca="1" si="705"/>
        <v>0</v>
      </c>
      <c r="EK84" s="109">
        <f t="shared" ca="1" si="705"/>
        <v>0</v>
      </c>
      <c r="EL84" s="109">
        <f t="shared" ca="1" si="705"/>
        <v>0</v>
      </c>
      <c r="EM84" s="109">
        <f t="shared" ca="1" si="705"/>
        <v>0</v>
      </c>
      <c r="EN84" s="109">
        <f t="shared" ca="1" si="705"/>
        <v>0</v>
      </c>
      <c r="EO84" s="109">
        <f t="shared" ca="1" si="705"/>
        <v>0</v>
      </c>
      <c r="EP84" s="109">
        <f t="shared" ca="1" si="705"/>
        <v>0</v>
      </c>
      <c r="EQ84" s="109">
        <f t="shared" ca="1" si="705"/>
        <v>0</v>
      </c>
      <c r="ER84" s="109">
        <f t="shared" ca="1" si="705"/>
        <v>0</v>
      </c>
      <c r="ES84" s="109">
        <f t="shared" ca="1" si="705"/>
        <v>0</v>
      </c>
      <c r="ET84" s="109">
        <f t="shared" ca="1" si="705"/>
        <v>0</v>
      </c>
      <c r="EU84" s="109">
        <f t="shared" ca="1" si="705"/>
        <v>0</v>
      </c>
      <c r="EV84" s="109">
        <f t="shared" ca="1" si="705"/>
        <v>0</v>
      </c>
      <c r="EW84" s="109">
        <f t="shared" ca="1" si="705"/>
        <v>0</v>
      </c>
      <c r="EX84" s="109">
        <f t="shared" ca="1" si="705"/>
        <v>0</v>
      </c>
      <c r="EY84" s="109">
        <f t="shared" ca="1" si="705"/>
        <v>0</v>
      </c>
      <c r="EZ84" s="109">
        <f t="shared" ca="1" si="705"/>
        <v>0</v>
      </c>
      <c r="FA84" s="109">
        <f t="shared" ca="1" si="705"/>
        <v>0</v>
      </c>
    </row>
    <row r="85" spans="1:157" outlineLevel="1" x14ac:dyDescent="0.2">
      <c r="C85" s="94" t="s">
        <v>35</v>
      </c>
      <c r="D85" s="32" t="s">
        <v>126</v>
      </c>
      <c r="E85" s="43"/>
      <c r="F85" s="43"/>
      <c r="G85" s="112">
        <f ca="1">-G195</f>
        <v>0</v>
      </c>
      <c r="H85" s="112">
        <f t="shared" ref="H85:BS85" ca="1" si="706">-H195</f>
        <v>0</v>
      </c>
      <c r="I85" s="112">
        <f t="shared" ca="1" si="706"/>
        <v>0</v>
      </c>
      <c r="J85" s="112">
        <f t="shared" ca="1" si="706"/>
        <v>0</v>
      </c>
      <c r="K85" s="112">
        <f t="shared" ca="1" si="706"/>
        <v>0</v>
      </c>
      <c r="L85" s="112">
        <f t="shared" ca="1" si="706"/>
        <v>0</v>
      </c>
      <c r="M85" s="112">
        <f t="shared" ca="1" si="706"/>
        <v>0</v>
      </c>
      <c r="N85" s="112">
        <f t="shared" ca="1" si="706"/>
        <v>0</v>
      </c>
      <c r="O85" s="112">
        <f t="shared" ca="1" si="706"/>
        <v>0</v>
      </c>
      <c r="P85" s="112">
        <f t="shared" ca="1" si="706"/>
        <v>0</v>
      </c>
      <c r="Q85" s="112">
        <f t="shared" ca="1" si="706"/>
        <v>0</v>
      </c>
      <c r="R85" s="112">
        <f t="shared" ca="1" si="706"/>
        <v>0</v>
      </c>
      <c r="S85" s="112">
        <f t="shared" ca="1" si="706"/>
        <v>0</v>
      </c>
      <c r="T85" s="112">
        <f t="shared" ca="1" si="706"/>
        <v>0</v>
      </c>
      <c r="U85" s="112">
        <f t="shared" ca="1" si="706"/>
        <v>0</v>
      </c>
      <c r="V85" s="112">
        <f t="shared" ca="1" si="706"/>
        <v>0</v>
      </c>
      <c r="W85" s="112">
        <f t="shared" ca="1" si="706"/>
        <v>0</v>
      </c>
      <c r="X85" s="112">
        <f t="shared" ca="1" si="706"/>
        <v>-1.2893516080713354</v>
      </c>
      <c r="Y85" s="112">
        <f t="shared" ca="1" si="706"/>
        <v>0</v>
      </c>
      <c r="Z85" s="112">
        <f t="shared" ca="1" si="706"/>
        <v>-16.530628783945957</v>
      </c>
      <c r="AA85" s="112">
        <f t="shared" ca="1" si="706"/>
        <v>-22.503512274003064</v>
      </c>
      <c r="AB85" s="112">
        <f t="shared" ca="1" si="706"/>
        <v>-2.5193256080765849</v>
      </c>
      <c r="AC85" s="112">
        <f t="shared" ca="1" si="706"/>
        <v>0</v>
      </c>
      <c r="AD85" s="112">
        <f t="shared" ca="1" si="706"/>
        <v>-18.127335789053433</v>
      </c>
      <c r="AE85" s="112">
        <f t="shared" ca="1" si="706"/>
        <v>-24.255104179280636</v>
      </c>
      <c r="AF85" s="112">
        <f t="shared" ca="1" si="706"/>
        <v>-3.8303537420848599</v>
      </c>
      <c r="AG85" s="112">
        <f t="shared" ca="1" si="706"/>
        <v>0</v>
      </c>
      <c r="AH85" s="112">
        <f t="shared" ca="1" si="706"/>
        <v>-19.81428142952079</v>
      </c>
      <c r="AI85" s="112">
        <f t="shared" ca="1" si="706"/>
        <v>-25.51695035705346</v>
      </c>
      <c r="AJ85" s="112">
        <f t="shared" ca="1" si="706"/>
        <v>-4.6446209236868228</v>
      </c>
      <c r="AK85" s="112">
        <f t="shared" ca="1" si="706"/>
        <v>0</v>
      </c>
      <c r="AL85" s="112">
        <f t="shared" ca="1" si="706"/>
        <v>-20.83482594489298</v>
      </c>
      <c r="AM85" s="112">
        <f t="shared" ca="1" si="706"/>
        <v>-27.209616290902421</v>
      </c>
      <c r="AN85" s="112">
        <f t="shared" ca="1" si="706"/>
        <v>-6.0845290682977016</v>
      </c>
      <c r="AO85" s="112">
        <f t="shared" ca="1" si="706"/>
        <v>-0.24338671540478884</v>
      </c>
      <c r="AP85" s="112">
        <f t="shared" ca="1" si="706"/>
        <v>-22.668672057670925</v>
      </c>
      <c r="AQ85" s="112">
        <f t="shared" ca="1" si="706"/>
        <v>-28.824728760453731</v>
      </c>
      <c r="AR85" s="112">
        <f t="shared" ca="1" si="706"/>
        <v>-7.2364771355717288</v>
      </c>
      <c r="AS85" s="112">
        <f t="shared" ca="1" si="706"/>
        <v>-0.86373406594914037</v>
      </c>
      <c r="AT85" s="112">
        <f t="shared" ca="1" si="706"/>
        <v>-24.111917581710379</v>
      </c>
      <c r="AU85" s="112">
        <f t="shared" ca="1" si="706"/>
        <v>-30.773829023581232</v>
      </c>
      <c r="AV85" s="112">
        <f t="shared" ca="1" si="706"/>
        <v>-8.8473490221692952</v>
      </c>
      <c r="AW85" s="112">
        <f t="shared" ca="1" si="706"/>
        <v>-2.2611980384037214</v>
      </c>
      <c r="AX85" s="112">
        <f t="shared" ca="1" si="706"/>
        <v>-26.151317948816189</v>
      </c>
      <c r="AY85" s="112">
        <f t="shared" ca="1" si="706"/>
        <v>-32.987906975227119</v>
      </c>
      <c r="AZ85" s="112">
        <f t="shared" ca="1" si="706"/>
        <v>-10.580326903744959</v>
      </c>
      <c r="BA85" s="112">
        <f t="shared" ca="1" si="706"/>
        <v>-3.8654672604220952</v>
      </c>
      <c r="BB85" s="112">
        <f t="shared" ca="1" si="706"/>
        <v>-28.326644793497127</v>
      </c>
      <c r="BC85" s="112">
        <f t="shared" ca="1" si="706"/>
        <v>-34.367852278774521</v>
      </c>
      <c r="BD85" s="112">
        <f t="shared" ca="1" si="706"/>
        <v>-11.473302534209544</v>
      </c>
      <c r="BE85" s="112">
        <f t="shared" ca="1" si="706"/>
        <v>-4.7200283019757183</v>
      </c>
      <c r="BF85" s="112">
        <f t="shared" ca="1" si="706"/>
        <v>-29.362670252098368</v>
      </c>
      <c r="BG85" s="112">
        <f t="shared" ca="1" si="706"/>
        <v>-36.437886810614067</v>
      </c>
      <c r="BH85" s="112">
        <f t="shared" ca="1" si="706"/>
        <v>-13.387364667826462</v>
      </c>
      <c r="BI85" s="112">
        <f t="shared" ca="1" si="706"/>
        <v>-6.5033418610253015</v>
      </c>
      <c r="BJ85" s="112">
        <f t="shared" ca="1" si="706"/>
        <v>-31.73613447248454</v>
      </c>
      <c r="BK85" s="112">
        <f t="shared" ca="1" si="706"/>
        <v>-38.998697733424898</v>
      </c>
      <c r="BL85" s="112">
        <f t="shared" ca="1" si="706"/>
        <v>-15.44451062172379</v>
      </c>
      <c r="BM85" s="112">
        <f t="shared" ca="1" si="706"/>
        <v>-8.4282237006645033</v>
      </c>
      <c r="BN85" s="112">
        <f t="shared" ca="1" si="706"/>
        <v>-34.266218555955021</v>
      </c>
      <c r="BO85" s="112">
        <f t="shared" ca="1" si="706"/>
        <v>-41.721958578347689</v>
      </c>
      <c r="BP85" s="112">
        <f t="shared" ca="1" si="706"/>
        <v>-17.654101014208635</v>
      </c>
      <c r="BQ85" s="112">
        <f t="shared" ca="1" si="706"/>
        <v>-10.504091673528691</v>
      </c>
      <c r="BR85" s="112">
        <f t="shared" ca="1" si="706"/>
        <v>-36.962779207405035</v>
      </c>
      <c r="BS85" s="112">
        <f t="shared" ca="1" si="706"/>
        <v>-44.617754692526674</v>
      </c>
      <c r="BT85" s="112">
        <f t="shared" ref="BT85:EE85" ca="1" si="707">-BT195</f>
        <v>-20.026087854730541</v>
      </c>
      <c r="BU85" s="112">
        <f t="shared" ca="1" si="707"/>
        <v>-12.740962077009613</v>
      </c>
      <c r="BV85" s="112">
        <f t="shared" ca="1" si="707"/>
        <v>-39.836287476133002</v>
      </c>
      <c r="BW85" s="112">
        <f t="shared" ca="1" si="707"/>
        <v>-47.696796932088276</v>
      </c>
      <c r="BX85" s="112">
        <f t="shared" ca="1" si="707"/>
        <v>-22.57105160948457</v>
      </c>
      <c r="BY85" s="112">
        <f t="shared" ca="1" si="707"/>
        <v>-15.149487240533283</v>
      </c>
      <c r="BZ85" s="112">
        <f t="shared" ca="1" si="707"/>
        <v>-42.897867073339768</v>
      </c>
      <c r="CA85" s="112">
        <f t="shared" ca="1" si="707"/>
        <v>-50.970460606808345</v>
      </c>
      <c r="CB85" s="112">
        <f t="shared" ca="1" si="707"/>
        <v>-25.300240590372802</v>
      </c>
      <c r="CC85" s="112">
        <f t="shared" ca="1" si="707"/>
        <v>-17.740995470807952</v>
      </c>
      <c r="CD85" s="112">
        <f t="shared" ca="1" si="707"/>
        <v>-46.159335087345681</v>
      </c>
      <c r="CE85" s="112">
        <f t="shared" ca="1" si="707"/>
        <v>-52.947584902393402</v>
      </c>
      <c r="CF85" s="112">
        <f t="shared" ca="1" si="707"/>
        <v>-26.728254765815493</v>
      </c>
      <c r="CG85" s="112">
        <f t="shared" ca="1" si="707"/>
        <v>-19.171766735680606</v>
      </c>
      <c r="CH85" s="112">
        <f t="shared" ca="1" si="707"/>
        <v>-47.654708200352843</v>
      </c>
      <c r="CI85" s="112">
        <f t="shared" ca="1" si="707"/>
        <v>-55.976524684357358</v>
      </c>
      <c r="CJ85" s="112">
        <f t="shared" ca="1" si="707"/>
        <v>-29.722706719769825</v>
      </c>
      <c r="CK85" s="112">
        <f t="shared" ca="1" si="707"/>
        <v>-22.027978832391256</v>
      </c>
      <c r="CL85" s="112">
        <f t="shared" ca="1" si="707"/>
        <v>-51.200314085005246</v>
      </c>
      <c r="CM85" s="112">
        <f t="shared" ca="1" si="707"/>
        <v>-59.749363299730007</v>
      </c>
      <c r="CN85" s="112">
        <f t="shared" ca="1" si="707"/>
        <v>-32.929812161629123</v>
      </c>
      <c r="CO85" s="112">
        <f t="shared" ca="1" si="707"/>
        <v>-25.09583539399641</v>
      </c>
      <c r="CP85" s="112">
        <f t="shared" ca="1" si="707"/>
        <v>-54.975582437287635</v>
      </c>
      <c r="CQ85" s="112">
        <f t="shared" ca="1" si="707"/>
        <v>-63.75930912406173</v>
      </c>
      <c r="CR85" s="112">
        <f ca="1">-CR195</f>
        <v>-36.363304830084871</v>
      </c>
      <c r="CS85" s="112">
        <f t="shared" ca="1" si="707"/>
        <v>-28.389181374934505</v>
      </c>
      <c r="CT85" s="112">
        <f t="shared" ca="1" si="707"/>
        <v>-58.994908149289095</v>
      </c>
      <c r="CU85" s="261">
        <f t="shared" ca="1" si="707"/>
        <v>-68.02106641386716</v>
      </c>
      <c r="CV85" s="112">
        <f t="shared" ca="1" si="707"/>
        <v>0</v>
      </c>
      <c r="CW85" s="112">
        <f t="shared" ca="1" si="707"/>
        <v>0</v>
      </c>
      <c r="CX85" s="112">
        <f t="shared" ca="1" si="707"/>
        <v>0</v>
      </c>
      <c r="CY85" s="112">
        <f t="shared" ca="1" si="707"/>
        <v>0</v>
      </c>
      <c r="CZ85" s="112">
        <f t="shared" ca="1" si="707"/>
        <v>0</v>
      </c>
      <c r="DA85" s="112">
        <f t="shared" ca="1" si="707"/>
        <v>0</v>
      </c>
      <c r="DB85" s="112">
        <f t="shared" ca="1" si="707"/>
        <v>0</v>
      </c>
      <c r="DC85" s="112">
        <f t="shared" ca="1" si="707"/>
        <v>0</v>
      </c>
      <c r="DD85" s="112">
        <f t="shared" ca="1" si="707"/>
        <v>0</v>
      </c>
      <c r="DE85" s="112">
        <f t="shared" ca="1" si="707"/>
        <v>0</v>
      </c>
      <c r="DF85" s="112">
        <f t="shared" ca="1" si="707"/>
        <v>0</v>
      </c>
      <c r="DG85" s="112">
        <f t="shared" ca="1" si="707"/>
        <v>0</v>
      </c>
      <c r="DH85" s="112">
        <f t="shared" ca="1" si="707"/>
        <v>0</v>
      </c>
      <c r="DI85" s="112">
        <f t="shared" ca="1" si="707"/>
        <v>0</v>
      </c>
      <c r="DJ85" s="112">
        <f t="shared" ca="1" si="707"/>
        <v>0</v>
      </c>
      <c r="DK85" s="112">
        <f t="shared" ca="1" si="707"/>
        <v>0</v>
      </c>
      <c r="DL85" s="112">
        <f t="shared" ca="1" si="707"/>
        <v>0</v>
      </c>
      <c r="DM85" s="112">
        <f t="shared" ca="1" si="707"/>
        <v>0</v>
      </c>
      <c r="DN85" s="112">
        <f t="shared" ca="1" si="707"/>
        <v>0</v>
      </c>
      <c r="DO85" s="112">
        <f t="shared" ca="1" si="707"/>
        <v>0</v>
      </c>
      <c r="DP85" s="112">
        <f t="shared" ca="1" si="707"/>
        <v>0</v>
      </c>
      <c r="DQ85" s="112">
        <f t="shared" ca="1" si="707"/>
        <v>0</v>
      </c>
      <c r="DR85" s="112">
        <f t="shared" ca="1" si="707"/>
        <v>0</v>
      </c>
      <c r="DS85" s="112">
        <f t="shared" ca="1" si="707"/>
        <v>0</v>
      </c>
      <c r="DT85" s="112">
        <f t="shared" ca="1" si="707"/>
        <v>0</v>
      </c>
      <c r="DU85" s="112">
        <f t="shared" ca="1" si="707"/>
        <v>0</v>
      </c>
      <c r="DV85" s="112">
        <f t="shared" ca="1" si="707"/>
        <v>0</v>
      </c>
      <c r="DW85" s="112">
        <f t="shared" ca="1" si="707"/>
        <v>0</v>
      </c>
      <c r="DX85" s="112">
        <f t="shared" ca="1" si="707"/>
        <v>0</v>
      </c>
      <c r="DY85" s="112">
        <f t="shared" ca="1" si="707"/>
        <v>0</v>
      </c>
      <c r="DZ85" s="112">
        <f t="shared" ca="1" si="707"/>
        <v>0</v>
      </c>
      <c r="EA85" s="112">
        <f t="shared" ca="1" si="707"/>
        <v>0</v>
      </c>
      <c r="EB85" s="112">
        <f t="shared" ca="1" si="707"/>
        <v>0</v>
      </c>
      <c r="EC85" s="112">
        <f t="shared" ca="1" si="707"/>
        <v>0</v>
      </c>
      <c r="ED85" s="112">
        <f t="shared" ca="1" si="707"/>
        <v>0</v>
      </c>
      <c r="EE85" s="112">
        <f t="shared" ca="1" si="707"/>
        <v>0</v>
      </c>
      <c r="EF85" s="112">
        <f t="shared" ref="EF85:FA85" ca="1" si="708">-EF195</f>
        <v>0</v>
      </c>
      <c r="EG85" s="112">
        <f t="shared" ca="1" si="708"/>
        <v>0</v>
      </c>
      <c r="EH85" s="112">
        <f t="shared" ca="1" si="708"/>
        <v>0</v>
      </c>
      <c r="EI85" s="112">
        <f t="shared" ca="1" si="708"/>
        <v>0</v>
      </c>
      <c r="EJ85" s="112">
        <f t="shared" ca="1" si="708"/>
        <v>0</v>
      </c>
      <c r="EK85" s="112">
        <f t="shared" ca="1" si="708"/>
        <v>0</v>
      </c>
      <c r="EL85" s="112">
        <f t="shared" ca="1" si="708"/>
        <v>0</v>
      </c>
      <c r="EM85" s="112">
        <f t="shared" ca="1" si="708"/>
        <v>0</v>
      </c>
      <c r="EN85" s="112">
        <f t="shared" ca="1" si="708"/>
        <v>0</v>
      </c>
      <c r="EO85" s="112">
        <f t="shared" ca="1" si="708"/>
        <v>0</v>
      </c>
      <c r="EP85" s="112">
        <f t="shared" ca="1" si="708"/>
        <v>0</v>
      </c>
      <c r="EQ85" s="112">
        <f t="shared" ca="1" si="708"/>
        <v>0</v>
      </c>
      <c r="ER85" s="112">
        <f t="shared" ca="1" si="708"/>
        <v>0</v>
      </c>
      <c r="ES85" s="112">
        <f t="shared" ca="1" si="708"/>
        <v>0</v>
      </c>
      <c r="ET85" s="112">
        <f t="shared" ca="1" si="708"/>
        <v>0</v>
      </c>
      <c r="EU85" s="112">
        <f t="shared" ca="1" si="708"/>
        <v>0</v>
      </c>
      <c r="EV85" s="112">
        <f t="shared" ca="1" si="708"/>
        <v>0</v>
      </c>
      <c r="EW85" s="112">
        <f t="shared" ca="1" si="708"/>
        <v>0</v>
      </c>
      <c r="EX85" s="112">
        <f t="shared" ca="1" si="708"/>
        <v>0</v>
      </c>
      <c r="EY85" s="112">
        <f t="shared" ca="1" si="708"/>
        <v>0</v>
      </c>
      <c r="EZ85" s="112">
        <f t="shared" ca="1" si="708"/>
        <v>0</v>
      </c>
      <c r="FA85" s="112">
        <f t="shared" ca="1" si="708"/>
        <v>0</v>
      </c>
    </row>
    <row r="86" spans="1:157" s="2" customFormat="1" outlineLevel="1" x14ac:dyDescent="0.2">
      <c r="A86"/>
      <c r="B86"/>
      <c r="C86" s="93" t="s">
        <v>366</v>
      </c>
      <c r="D86" s="21" t="s">
        <v>126</v>
      </c>
      <c r="E86" s="5"/>
      <c r="F86" s="5"/>
      <c r="G86" s="106">
        <f t="shared" ref="G86:AL86" ca="1" si="709">SUM(G83:G85)</f>
        <v>0</v>
      </c>
      <c r="H86" s="106">
        <f t="shared" ca="1" si="709"/>
        <v>0</v>
      </c>
      <c r="I86" s="106">
        <f t="shared" ca="1" si="709"/>
        <v>0</v>
      </c>
      <c r="J86" s="106">
        <f t="shared" ca="1" si="709"/>
        <v>0</v>
      </c>
      <c r="K86" s="106">
        <f t="shared" ca="1" si="709"/>
        <v>0</v>
      </c>
      <c r="L86" s="106">
        <f t="shared" ca="1" si="709"/>
        <v>0</v>
      </c>
      <c r="M86" s="106">
        <f t="shared" ca="1" si="709"/>
        <v>3.508591995226817</v>
      </c>
      <c r="N86" s="106">
        <f t="shared" ca="1" si="709"/>
        <v>15.130374096609035</v>
      </c>
      <c r="O86" s="106">
        <f t="shared" ca="1" si="709"/>
        <v>19.816789622566201</v>
      </c>
      <c r="P86" s="106">
        <f t="shared" ca="1" si="709"/>
        <v>17.42566873044359</v>
      </c>
      <c r="Q86" s="106">
        <f t="shared" ca="1" si="709"/>
        <v>22.269515622808072</v>
      </c>
      <c r="R86" s="106">
        <f t="shared" ca="1" si="709"/>
        <v>48.679873905901353</v>
      </c>
      <c r="S86" s="106">
        <f t="shared" ca="1" si="709"/>
        <v>56.441045988273295</v>
      </c>
      <c r="T86" s="106">
        <f t="shared" ca="1" si="709"/>
        <v>39.449797207564188</v>
      </c>
      <c r="U86" s="106">
        <f t="shared" ca="1" si="709"/>
        <v>31.88053859665461</v>
      </c>
      <c r="V86" s="106">
        <f t="shared" ca="1" si="709"/>
        <v>53.108791216100968</v>
      </c>
      <c r="W86" s="106">
        <f t="shared" ca="1" si="709"/>
        <v>58.606615619613308</v>
      </c>
      <c r="X86" s="106">
        <f t="shared" ca="1" si="709"/>
        <v>9.2823158788425033</v>
      </c>
      <c r="Y86" s="106">
        <f t="shared" ca="1" si="709"/>
        <v>2.8467462622716724</v>
      </c>
      <c r="Z86" s="106">
        <f t="shared" ca="1" si="709"/>
        <v>13.846103485956348</v>
      </c>
      <c r="AA86" s="106">
        <f t="shared" ca="1" si="709"/>
        <v>15.562059517686592</v>
      </c>
      <c r="AB86" s="106">
        <f t="shared" ca="1" si="709"/>
        <v>9.468838973983253</v>
      </c>
      <c r="AC86" s="106">
        <f t="shared" ca="1" si="709"/>
        <v>4.1033323536767909</v>
      </c>
      <c r="AD86" s="106">
        <f t="shared" ca="1" si="709"/>
        <v>14.136999402183989</v>
      </c>
      <c r="AE86" s="106">
        <f t="shared" ca="1" si="709"/>
        <v>15.892151676050496</v>
      </c>
      <c r="AF86" s="106">
        <f t="shared" ca="1" si="709"/>
        <v>9.6589054960511902</v>
      </c>
      <c r="AG86" s="106">
        <f t="shared" ca="1" si="709"/>
        <v>5.4416260246089081</v>
      </c>
      <c r="AH86" s="106">
        <f t="shared" ca="1" si="709"/>
        <v>14.433823893010029</v>
      </c>
      <c r="AI86" s="106">
        <f t="shared" ca="1" si="709"/>
        <v>16.053879363788631</v>
      </c>
      <c r="AJ86" s="106">
        <f t="shared" ca="1" si="709"/>
        <v>9.6807241606376024</v>
      </c>
      <c r="AK86" s="106">
        <f t="shared" ca="1" si="709"/>
        <v>6.1861694711246749</v>
      </c>
      <c r="AL86" s="106">
        <f t="shared" ca="1" si="709"/>
        <v>14.5137930573345</v>
      </c>
      <c r="AM86" s="106">
        <f t="shared" ref="AM86:BR86" ca="1" si="710">SUM(AM83:AM85)</f>
        <v>16.330726459965664</v>
      </c>
      <c r="AN86" s="106">
        <f t="shared" ca="1" si="710"/>
        <v>9.8741166404956964</v>
      </c>
      <c r="AO86" s="106">
        <f t="shared" ca="1" si="710"/>
        <v>7.4086161605129064</v>
      </c>
      <c r="AP86" s="106">
        <f t="shared" ca="1" si="710"/>
        <v>14.817706874239228</v>
      </c>
      <c r="AQ86" s="106">
        <f t="shared" ca="1" si="710"/>
        <v>16.560746187438113</v>
      </c>
      <c r="AR86" s="106">
        <f t="shared" ca="1" si="710"/>
        <v>9.957951875456839</v>
      </c>
      <c r="AS86" s="106">
        <f t="shared" ca="1" si="710"/>
        <v>7.902522408288716</v>
      </c>
      <c r="AT86" s="106">
        <f t="shared" ca="1" si="710"/>
        <v>14.980965315624978</v>
      </c>
      <c r="AU86" s="106">
        <f t="shared" ca="1" si="710"/>
        <v>16.869118730016549</v>
      </c>
      <c r="AV86" s="106">
        <f t="shared" ca="1" si="710"/>
        <v>10.156083011266295</v>
      </c>
      <c r="AW86" s="106">
        <f t="shared" ca="1" si="710"/>
        <v>8.1415971289003988</v>
      </c>
      <c r="AX86" s="106">
        <f t="shared" ca="1" si="710"/>
        <v>15.293954528402733</v>
      </c>
      <c r="AY86" s="106">
        <f t="shared" ca="1" si="710"/>
        <v>17.225228846084676</v>
      </c>
      <c r="AZ86" s="106">
        <f t="shared" ca="1" si="710"/>
        <v>10.357915275409377</v>
      </c>
      <c r="BA86" s="106">
        <f t="shared" ca="1" si="710"/>
        <v>8.2969817851233483</v>
      </c>
      <c r="BB86" s="106">
        <f t="shared" ca="1" si="710"/>
        <v>15.61326914508383</v>
      </c>
      <c r="BC86" s="106">
        <f t="shared" ca="1" si="710"/>
        <v>17.296216569512197</v>
      </c>
      <c r="BD86" s="106">
        <f t="shared" ca="1" si="710"/>
        <v>10.276646114372866</v>
      </c>
      <c r="BE86" s="106">
        <f t="shared" ca="1" si="710"/>
        <v>8.2001432146659408</v>
      </c>
      <c r="BF86" s="106">
        <f t="shared" ca="1" si="710"/>
        <v>15.566956228660651</v>
      </c>
      <c r="BG86" s="106">
        <f t="shared" ca="1" si="710"/>
        <v>17.555204451891477</v>
      </c>
      <c r="BH86" s="106">
        <f t="shared" ca="1" si="710"/>
        <v>10.479481887837077</v>
      </c>
      <c r="BI86" s="106">
        <f t="shared" ca="1" si="710"/>
        <v>8.3550959185216591</v>
      </c>
      <c r="BJ86" s="106">
        <f t="shared" ca="1" si="710"/>
        <v>10.603330776586954</v>
      </c>
      <c r="BK86" s="106">
        <f t="shared" ca="1" si="710"/>
        <v>8.701024255012193</v>
      </c>
      <c r="BL86" s="106">
        <f t="shared" ca="1" si="710"/>
        <v>10.686053971777834</v>
      </c>
      <c r="BM86" s="106">
        <f t="shared" ca="1" si="710"/>
        <v>8.5126796744501476</v>
      </c>
      <c r="BN86" s="106">
        <f t="shared" ca="1" si="710"/>
        <v>6.5333013692285675</v>
      </c>
      <c r="BO86" s="106">
        <f t="shared" ca="1" si="710"/>
        <v>8.0210463866621424</v>
      </c>
      <c r="BP86" s="106">
        <f t="shared" ca="1" si="710"/>
        <v>10.896422482241597</v>
      </c>
      <c r="BQ86" s="106">
        <f t="shared" ca="1" si="710"/>
        <v>8.1797079454891986</v>
      </c>
      <c r="BR86" s="106">
        <f t="shared" ca="1" si="710"/>
        <v>4.6016467328748973</v>
      </c>
      <c r="BS86" s="106">
        <f t="shared" ref="BS86:CX86" ca="1" si="711">SUM(BS83:BS85)</f>
        <v>7.3209395248318856</v>
      </c>
      <c r="BT86" s="106">
        <f t="shared" ca="1" si="711"/>
        <v>10.266077313933021</v>
      </c>
      <c r="BU86" s="106">
        <f t="shared" ca="1" si="711"/>
        <v>7.474416403293656</v>
      </c>
      <c r="BV86" s="106">
        <f t="shared" ca="1" si="711"/>
        <v>3.8176185278910495</v>
      </c>
      <c r="BW86" s="106">
        <f t="shared" ca="1" si="711"/>
        <v>6.5971112207139342</v>
      </c>
      <c r="BX86" s="106">
        <f t="shared" ca="1" si="711"/>
        <v>9.6074352127429279</v>
      </c>
      <c r="BY86" s="106">
        <f t="shared" ca="1" si="711"/>
        <v>6.7491037100860254</v>
      </c>
      <c r="BZ86" s="106">
        <f t="shared" ca="1" si="711"/>
        <v>3.005582614732333</v>
      </c>
      <c r="CA86" s="106">
        <f t="shared" ca="1" si="711"/>
        <v>5.8458667060098861</v>
      </c>
      <c r="CB86" s="106">
        <f t="shared" ca="1" si="711"/>
        <v>8.9220808632898567</v>
      </c>
      <c r="CC86" s="106">
        <f t="shared" ca="1" si="711"/>
        <v>5.9947544634156458</v>
      </c>
      <c r="CD86" s="106">
        <f t="shared" ca="1" si="711"/>
        <v>2.1617232973958522</v>
      </c>
      <c r="CE86" s="106">
        <f t="shared" ca="1" si="711"/>
        <v>5.2687692081926514</v>
      </c>
      <c r="CF86" s="106">
        <f t="shared" ca="1" si="711"/>
        <v>8.188295953331135</v>
      </c>
      <c r="CG86" s="106">
        <f t="shared" ca="1" si="711"/>
        <v>5.2543032117905639</v>
      </c>
      <c r="CH86" s="106">
        <f t="shared" ca="1" si="711"/>
        <v>1.4129416925963909</v>
      </c>
      <c r="CI86" s="106">
        <f t="shared" ca="1" si="711"/>
        <v>4.3177094016165114</v>
      </c>
      <c r="CJ86" s="106">
        <f t="shared" ca="1" si="711"/>
        <v>7.4639212202535958</v>
      </c>
      <c r="CK86" s="106">
        <f t="shared" ca="1" si="711"/>
        <v>4.4579743344202676</v>
      </c>
      <c r="CL86" s="106">
        <f t="shared" ca="1" si="711"/>
        <v>0.52363366574190451</v>
      </c>
      <c r="CM86" s="106">
        <f t="shared" ca="1" si="711"/>
        <v>3.4900440164727087</v>
      </c>
      <c r="CN86" s="106">
        <f t="shared" ca="1" si="711"/>
        <v>6.7032367151565282</v>
      </c>
      <c r="CO86" s="106">
        <f t="shared" ca="1" si="711"/>
        <v>3.6228746869706328</v>
      </c>
      <c r="CP86" s="106">
        <f t="shared" ca="1" si="711"/>
        <v>-0.40739286466312308</v>
      </c>
      <c r="CQ86" s="106">
        <f t="shared" ca="1" si="711"/>
        <v>2.6212565653151358</v>
      </c>
      <c r="CR86" s="106">
        <f t="shared" ca="1" si="711"/>
        <v>5.9021445065224114</v>
      </c>
      <c r="CS86" s="106">
        <f t="shared" ca="1" si="711"/>
        <v>2.7448318825701463</v>
      </c>
      <c r="CT86" s="106">
        <f t="shared" ca="1" si="711"/>
        <v>-1.3843966676635091</v>
      </c>
      <c r="CU86" s="259">
        <f t="shared" ca="1" si="711"/>
        <v>1.6424581769249045</v>
      </c>
      <c r="CV86" s="106">
        <f t="shared" ca="1" si="711"/>
        <v>19.359145747212487</v>
      </c>
      <c r="CW86" s="106">
        <f t="shared" ca="1" si="711"/>
        <v>-4.0012472901862992</v>
      </c>
      <c r="CX86" s="106">
        <f t="shared" ca="1" si="711"/>
        <v>14.960474583765521</v>
      </c>
      <c r="CY86" s="106">
        <f t="shared" ref="CY86:ED86" ca="1" si="712">SUM(CY83:CY85)</f>
        <v>19.362992797710039</v>
      </c>
      <c r="CZ86" s="106">
        <f t="shared" ca="1" si="712"/>
        <v>0.81112863905260468</v>
      </c>
      <c r="DA86" s="106">
        <f t="shared" ca="1" si="712"/>
        <v>-4.9812678395834631</v>
      </c>
      <c r="DB86" s="106">
        <f t="shared" ca="1" si="712"/>
        <v>14.097999959817733</v>
      </c>
      <c r="DC86" s="106">
        <f t="shared" ca="1" si="712"/>
        <v>19.317100563747296</v>
      </c>
      <c r="DD86" s="106">
        <f t="shared" ca="1" si="712"/>
        <v>0.63075250927223436</v>
      </c>
      <c r="DE86" s="106">
        <f t="shared" ca="1" si="712"/>
        <v>-5.2959507836985269</v>
      </c>
      <c r="DF86" s="106">
        <f t="shared" ca="1" si="712"/>
        <v>14.219805424285273</v>
      </c>
      <c r="DG86" s="106">
        <f t="shared" ca="1" si="712"/>
        <v>19.557294061828777</v>
      </c>
      <c r="DH86" s="106">
        <f t="shared" ca="1" si="712"/>
        <v>0.44069439040100189</v>
      </c>
      <c r="DI86" s="106">
        <f t="shared" ca="1" si="712"/>
        <v>-5.6234363425838332</v>
      </c>
      <c r="DJ86" s="106">
        <f t="shared" ca="1" si="712"/>
        <v>14.33878713365227</v>
      </c>
      <c r="DK86" s="106">
        <f t="shared" ca="1" si="712"/>
        <v>19.797341994018819</v>
      </c>
      <c r="DL86" s="106">
        <f t="shared" ca="1" si="712"/>
        <v>0.24057734616101278</v>
      </c>
      <c r="DM86" s="106">
        <f t="shared" ca="1" si="712"/>
        <v>-5.964174142024059</v>
      </c>
      <c r="DN86" s="106">
        <f t="shared" ca="1" si="712"/>
        <v>14.454723398386506</v>
      </c>
      <c r="DO86" s="106">
        <f t="shared" ca="1" si="712"/>
        <v>20.037083049169642</v>
      </c>
      <c r="DP86" s="106">
        <f t="shared" ca="1" si="712"/>
        <v>3.0011460213558827E-2</v>
      </c>
      <c r="DQ86" s="106">
        <f t="shared" ca="1" si="712"/>
        <v>-6.3186284861178219</v>
      </c>
      <c r="DR86" s="106">
        <f t="shared" ca="1" si="712"/>
        <v>14.567383051541377</v>
      </c>
      <c r="DS86" s="106">
        <f t="shared" ca="1" si="712"/>
        <v>20.276347793955345</v>
      </c>
      <c r="DT86" s="106">
        <f t="shared" ca="1" si="712"/>
        <v>-0.19140658310651659</v>
      </c>
      <c r="DU86" s="106">
        <f t="shared" ca="1" si="712"/>
        <v>-6.687278816361359</v>
      </c>
      <c r="DV86" s="106">
        <f t="shared" ca="1" si="712"/>
        <v>14.676525108183675</v>
      </c>
      <c r="DW86" s="106">
        <f t="shared" ca="1" si="712"/>
        <v>20.514958362547389</v>
      </c>
      <c r="DX86" s="106">
        <f t="shared" ca="1" si="712"/>
        <v>-0.42409393108694537</v>
      </c>
      <c r="DY86" s="106">
        <f t="shared" ca="1" si="712"/>
        <v>-7.070620184700612</v>
      </c>
      <c r="DZ86" s="106">
        <f t="shared" ca="1" si="712"/>
        <v>14.78189841354871</v>
      </c>
      <c r="EA86" s="106">
        <f t="shared" ca="1" si="712"/>
        <v>20.752728135687192</v>
      </c>
      <c r="EB86" s="106">
        <f t="shared" ca="1" si="712"/>
        <v>-0.66848200836048299</v>
      </c>
      <c r="EC86" s="106">
        <f t="shared" ca="1" si="712"/>
        <v>-7.4691637409691687</v>
      </c>
      <c r="ED86" s="106">
        <f t="shared" ca="1" si="712"/>
        <v>14.883241279566935</v>
      </c>
      <c r="EE86" s="106">
        <f t="shared" ref="EE86:FA86" ca="1" si="713">SUM(EE83:EE85)</f>
        <v>20.989461408815462</v>
      </c>
      <c r="EF86" s="106">
        <f t="shared" ca="1" si="713"/>
        <v>-0.92501697645963077</v>
      </c>
      <c r="EG86" s="106">
        <f t="shared" ca="1" si="713"/>
        <v>-7.8834372351410078</v>
      </c>
      <c r="EH86" s="106">
        <f t="shared" ca="1" si="713"/>
        <v>14.980281109395586</v>
      </c>
      <c r="EI86" s="106">
        <f t="shared" ca="1" si="713"/>
        <v>-426.49576623936605</v>
      </c>
      <c r="EJ86" s="106">
        <f t="shared" ca="1" si="713"/>
        <v>20.99939837536343</v>
      </c>
      <c r="EK86" s="106">
        <f t="shared" ca="1" si="713"/>
        <v>0</v>
      </c>
      <c r="EL86" s="106">
        <f t="shared" ca="1" si="713"/>
        <v>0</v>
      </c>
      <c r="EM86" s="106">
        <f t="shared" ca="1" si="713"/>
        <v>0</v>
      </c>
      <c r="EN86" s="106">
        <f t="shared" ca="1" si="713"/>
        <v>0</v>
      </c>
      <c r="EO86" s="106">
        <f t="shared" ca="1" si="713"/>
        <v>0</v>
      </c>
      <c r="EP86" s="106">
        <f t="shared" ca="1" si="713"/>
        <v>0</v>
      </c>
      <c r="EQ86" s="106">
        <f t="shared" ca="1" si="713"/>
        <v>0</v>
      </c>
      <c r="ER86" s="106">
        <f t="shared" ca="1" si="713"/>
        <v>0</v>
      </c>
      <c r="ES86" s="106">
        <f t="shared" ca="1" si="713"/>
        <v>0</v>
      </c>
      <c r="ET86" s="106">
        <f t="shared" ca="1" si="713"/>
        <v>0</v>
      </c>
      <c r="EU86" s="106">
        <f t="shared" ca="1" si="713"/>
        <v>0</v>
      </c>
      <c r="EV86" s="106">
        <f t="shared" ca="1" si="713"/>
        <v>0</v>
      </c>
      <c r="EW86" s="106">
        <f t="shared" ca="1" si="713"/>
        <v>0</v>
      </c>
      <c r="EX86" s="106">
        <f t="shared" ca="1" si="713"/>
        <v>0</v>
      </c>
      <c r="EY86" s="106">
        <f t="shared" ca="1" si="713"/>
        <v>0</v>
      </c>
      <c r="EZ86" s="106">
        <f t="shared" ca="1" si="713"/>
        <v>0</v>
      </c>
      <c r="FA86" s="106">
        <f t="shared" ca="1" si="713"/>
        <v>0</v>
      </c>
    </row>
    <row r="87" spans="1:157" s="306" customFormat="1" outlineLevel="1" x14ac:dyDescent="0.2">
      <c r="A87" s="300"/>
      <c r="B87" s="300"/>
      <c r="C87" s="301"/>
      <c r="D87" s="302"/>
      <c r="E87" s="303"/>
      <c r="F87" s="303"/>
      <c r="G87" s="304"/>
      <c r="H87" s="304"/>
      <c r="I87" s="304"/>
      <c r="J87" s="304"/>
      <c r="K87" s="304"/>
      <c r="L87" s="304"/>
      <c r="M87" s="304"/>
      <c r="N87" s="304"/>
      <c r="O87" s="304"/>
      <c r="P87" s="304"/>
      <c r="Q87" s="304"/>
      <c r="R87" s="304"/>
      <c r="S87" s="304"/>
      <c r="T87" s="304"/>
      <c r="U87" s="304"/>
      <c r="V87" s="304"/>
      <c r="W87" s="304"/>
      <c r="X87" s="304"/>
      <c r="Y87" s="304"/>
      <c r="Z87" s="304"/>
      <c r="AA87" s="304"/>
      <c r="AB87" s="304"/>
      <c r="AC87" s="304"/>
      <c r="AD87" s="304"/>
      <c r="AE87" s="304"/>
      <c r="AF87" s="304"/>
      <c r="AG87" s="304"/>
      <c r="AH87" s="304"/>
      <c r="AI87" s="304"/>
      <c r="AJ87" s="304"/>
      <c r="AK87" s="304"/>
      <c r="AL87" s="304"/>
      <c r="AM87" s="304"/>
      <c r="AN87" s="304"/>
      <c r="AO87" s="304"/>
      <c r="AP87" s="304"/>
      <c r="AQ87" s="304"/>
      <c r="AR87" s="304"/>
      <c r="AS87" s="304"/>
      <c r="AT87" s="304"/>
      <c r="AU87" s="304"/>
      <c r="AV87" s="304"/>
      <c r="AW87" s="304"/>
      <c r="AX87" s="304"/>
      <c r="AY87" s="304"/>
      <c r="AZ87" s="304"/>
      <c r="BA87" s="304"/>
      <c r="BB87" s="304"/>
      <c r="BC87" s="304"/>
      <c r="BD87" s="304"/>
      <c r="BE87" s="304"/>
      <c r="BF87" s="304"/>
      <c r="BG87" s="304"/>
      <c r="BH87" s="304"/>
      <c r="BI87" s="304"/>
      <c r="BJ87" s="304"/>
      <c r="BK87" s="304"/>
      <c r="BL87" s="304"/>
      <c r="BM87" s="304"/>
      <c r="BN87" s="304"/>
      <c r="BO87" s="304"/>
      <c r="BP87" s="304"/>
      <c r="BQ87" s="304"/>
      <c r="BR87" s="304"/>
      <c r="BS87" s="304"/>
      <c r="BT87" s="304"/>
      <c r="BU87" s="304"/>
      <c r="BV87" s="304"/>
      <c r="BW87" s="304"/>
      <c r="BX87" s="304"/>
      <c r="BY87" s="304"/>
      <c r="BZ87" s="304"/>
      <c r="CA87" s="304"/>
      <c r="CB87" s="304"/>
      <c r="CC87" s="304"/>
      <c r="CD87" s="304"/>
      <c r="CE87" s="304"/>
      <c r="CF87" s="304"/>
      <c r="CG87" s="304"/>
      <c r="CH87" s="304"/>
      <c r="CI87" s="304"/>
      <c r="CJ87" s="304"/>
      <c r="CK87" s="304"/>
      <c r="CL87" s="304"/>
      <c r="CM87" s="304"/>
      <c r="CN87" s="304"/>
      <c r="CO87" s="304"/>
      <c r="CP87" s="304"/>
      <c r="CQ87" s="304"/>
      <c r="CR87" s="304"/>
      <c r="CS87" s="304"/>
      <c r="CT87" s="304"/>
      <c r="CU87" s="305"/>
      <c r="CV87" s="304"/>
      <c r="CW87" s="304"/>
      <c r="CX87" s="304"/>
      <c r="CY87" s="304"/>
      <c r="CZ87" s="304"/>
      <c r="DA87" s="304"/>
      <c r="DB87" s="304"/>
      <c r="DC87" s="304"/>
      <c r="DD87" s="304"/>
      <c r="DE87" s="304"/>
      <c r="DF87" s="304"/>
      <c r="DG87" s="304"/>
      <c r="DH87" s="304"/>
      <c r="DI87" s="304"/>
      <c r="DJ87" s="304"/>
      <c r="DK87" s="304"/>
      <c r="DL87" s="304"/>
      <c r="DM87" s="304"/>
      <c r="DN87" s="304"/>
      <c r="DO87" s="304"/>
      <c r="DP87" s="304"/>
      <c r="DQ87" s="304"/>
      <c r="DR87" s="304"/>
      <c r="DS87" s="304"/>
      <c r="DT87" s="304"/>
      <c r="DU87" s="304"/>
      <c r="DV87" s="304"/>
      <c r="DW87" s="304"/>
      <c r="DX87" s="304"/>
      <c r="DY87" s="304"/>
      <c r="DZ87" s="304"/>
      <c r="EA87" s="304"/>
      <c r="EB87" s="304"/>
      <c r="EC87" s="304"/>
      <c r="ED87" s="304"/>
      <c r="EE87" s="304"/>
      <c r="EF87" s="304"/>
      <c r="EG87" s="304"/>
      <c r="EH87" s="304"/>
      <c r="EI87" s="304"/>
      <c r="EJ87" s="304"/>
      <c r="EK87" s="304"/>
      <c r="EL87" s="304"/>
      <c r="EM87" s="304"/>
      <c r="EN87" s="304"/>
      <c r="EO87" s="304"/>
      <c r="EP87" s="304"/>
      <c r="EQ87" s="304"/>
      <c r="ER87" s="304"/>
      <c r="ES87" s="304"/>
      <c r="ET87" s="304"/>
      <c r="EU87" s="304"/>
      <c r="EV87" s="304"/>
      <c r="EW87" s="304"/>
      <c r="EX87" s="304"/>
      <c r="EY87" s="304"/>
      <c r="EZ87" s="304"/>
      <c r="FA87" s="304"/>
    </row>
    <row r="88" spans="1:157" s="306" customFormat="1" outlineLevel="1" x14ac:dyDescent="0.2">
      <c r="A88" s="300"/>
      <c r="B88" s="300"/>
      <c r="C88" s="301"/>
      <c r="D88" s="302"/>
      <c r="E88" s="303"/>
      <c r="F88" s="303"/>
      <c r="G88" s="304"/>
      <c r="H88" s="304"/>
      <c r="I88" s="304"/>
      <c r="J88" s="304"/>
      <c r="K88" s="304"/>
      <c r="L88" s="304"/>
      <c r="M88" s="304"/>
      <c r="N88" s="304"/>
      <c r="O88" s="304"/>
      <c r="P88" s="304"/>
      <c r="Q88" s="304"/>
      <c r="R88" s="304"/>
      <c r="S88" s="304"/>
      <c r="T88" s="304"/>
      <c r="U88" s="304"/>
      <c r="V88" s="304"/>
      <c r="W88" s="304"/>
      <c r="X88" s="304"/>
      <c r="Y88" s="304"/>
      <c r="Z88" s="304"/>
      <c r="AA88" s="304"/>
      <c r="AB88" s="304"/>
      <c r="AC88" s="304"/>
      <c r="AD88" s="304"/>
      <c r="AE88" s="304"/>
      <c r="AF88" s="304"/>
      <c r="AG88" s="304"/>
      <c r="AH88" s="304"/>
      <c r="AI88" s="304"/>
      <c r="AJ88" s="304"/>
      <c r="AK88" s="304"/>
      <c r="AL88" s="304"/>
      <c r="AM88" s="304"/>
      <c r="AN88" s="304"/>
      <c r="AO88" s="304"/>
      <c r="AP88" s="304"/>
      <c r="AQ88" s="304"/>
      <c r="AR88" s="304"/>
      <c r="AS88" s="304"/>
      <c r="AT88" s="304"/>
      <c r="AU88" s="304"/>
      <c r="AV88" s="304"/>
      <c r="AW88" s="304"/>
      <c r="AX88" s="304"/>
      <c r="AY88" s="304"/>
      <c r="AZ88" s="304"/>
      <c r="BA88" s="304"/>
      <c r="BB88" s="304"/>
      <c r="BC88" s="304"/>
      <c r="BD88" s="304"/>
      <c r="BE88" s="304"/>
      <c r="BF88" s="304"/>
      <c r="BG88" s="304"/>
      <c r="BH88" s="304"/>
      <c r="BI88" s="304"/>
      <c r="BJ88" s="304"/>
      <c r="BK88" s="304"/>
      <c r="BL88" s="304"/>
      <c r="BM88" s="304"/>
      <c r="BN88" s="304"/>
      <c r="BO88" s="304"/>
      <c r="BP88" s="304"/>
      <c r="BQ88" s="304"/>
      <c r="BR88" s="304"/>
      <c r="BS88" s="304"/>
      <c r="BT88" s="304"/>
      <c r="BU88" s="304"/>
      <c r="BV88" s="304"/>
      <c r="BW88" s="304"/>
      <c r="BX88" s="304"/>
      <c r="BY88" s="304"/>
      <c r="BZ88" s="304"/>
      <c r="CA88" s="304"/>
      <c r="CB88" s="304"/>
      <c r="CC88" s="304"/>
      <c r="CD88" s="304"/>
      <c r="CE88" s="304"/>
      <c r="CF88" s="304"/>
      <c r="CG88" s="304"/>
      <c r="CH88" s="304"/>
      <c r="CI88" s="304"/>
      <c r="CJ88" s="304"/>
      <c r="CK88" s="304"/>
      <c r="CL88" s="304"/>
      <c r="CM88" s="304"/>
      <c r="CN88" s="304"/>
      <c r="CO88" s="304"/>
      <c r="CP88" s="304"/>
      <c r="CQ88" s="304"/>
      <c r="CR88" s="304"/>
      <c r="CS88" s="304"/>
      <c r="CT88" s="304"/>
      <c r="CU88" s="305"/>
      <c r="CV88" s="304"/>
      <c r="CW88" s="304"/>
      <c r="CX88" s="304"/>
      <c r="CY88" s="304"/>
      <c r="CZ88" s="304"/>
      <c r="DA88" s="304"/>
      <c r="DB88" s="304"/>
      <c r="DC88" s="304"/>
      <c r="DD88" s="304"/>
      <c r="DE88" s="304"/>
      <c r="DF88" s="304"/>
      <c r="DG88" s="304"/>
      <c r="DH88" s="304"/>
      <c r="DI88" s="304"/>
      <c r="DJ88" s="304"/>
      <c r="DK88" s="304"/>
      <c r="DL88" s="304"/>
      <c r="DM88" s="304"/>
      <c r="DN88" s="304"/>
      <c r="DO88" s="304"/>
      <c r="DP88" s="304"/>
      <c r="DQ88" s="304"/>
      <c r="DR88" s="304"/>
      <c r="DS88" s="304"/>
      <c r="DT88" s="304"/>
      <c r="DU88" s="304"/>
      <c r="DV88" s="304"/>
      <c r="DW88" s="304"/>
      <c r="DX88" s="304"/>
      <c r="DY88" s="304"/>
      <c r="DZ88" s="304"/>
      <c r="EA88" s="304"/>
      <c r="EB88" s="304"/>
      <c r="EC88" s="304"/>
      <c r="ED88" s="304"/>
      <c r="EE88" s="304"/>
      <c r="EF88" s="304"/>
      <c r="EG88" s="304"/>
      <c r="EH88" s="304"/>
      <c r="EI88" s="304"/>
      <c r="EJ88" s="304"/>
      <c r="EK88" s="304"/>
      <c r="EL88" s="304"/>
      <c r="EM88" s="304"/>
      <c r="EN88" s="304"/>
      <c r="EO88" s="304"/>
      <c r="EP88" s="304"/>
      <c r="EQ88" s="304"/>
      <c r="ER88" s="304"/>
      <c r="ES88" s="304"/>
      <c r="ET88" s="304"/>
      <c r="EU88" s="304"/>
      <c r="EV88" s="304"/>
      <c r="EW88" s="304"/>
      <c r="EX88" s="304"/>
      <c r="EY88" s="304"/>
      <c r="EZ88" s="304"/>
      <c r="FA88" s="304"/>
    </row>
    <row r="89" spans="1:157" s="294" customFormat="1" ht="35.25" customHeight="1" outlineLevel="1" x14ac:dyDescent="0.2">
      <c r="A89" s="124"/>
      <c r="B89" s="124"/>
      <c r="C89" s="293" t="s">
        <v>430</v>
      </c>
      <c r="D89" s="182" t="s">
        <v>126</v>
      </c>
      <c r="G89" s="295">
        <f t="shared" ref="G89:AL89" si="714">G79+G81+G82</f>
        <v>0</v>
      </c>
      <c r="H89" s="295">
        <f t="shared" si="714"/>
        <v>0</v>
      </c>
      <c r="I89" s="295">
        <f t="shared" si="714"/>
        <v>0</v>
      </c>
      <c r="J89" s="295">
        <f t="shared" si="714"/>
        <v>0</v>
      </c>
      <c r="K89" s="295">
        <f t="shared" si="714"/>
        <v>0</v>
      </c>
      <c r="L89" s="295">
        <f t="shared" si="714"/>
        <v>0</v>
      </c>
      <c r="M89" s="295">
        <f t="shared" si="714"/>
        <v>3.508591995226817</v>
      </c>
      <c r="N89" s="295">
        <f t="shared" si="714"/>
        <v>15.254420905015749</v>
      </c>
      <c r="O89" s="295">
        <f t="shared" si="714"/>
        <v>21.12709992501054</v>
      </c>
      <c r="P89" s="295">
        <f t="shared" si="714"/>
        <v>17.42566873044359</v>
      </c>
      <c r="Q89" s="295">
        <f t="shared" si="714"/>
        <v>22.269515622808072</v>
      </c>
      <c r="R89" s="295">
        <f t="shared" si="714"/>
        <v>52.496922235503199</v>
      </c>
      <c r="S89" s="295">
        <f t="shared" si="714"/>
        <v>63.308282093490206</v>
      </c>
      <c r="T89" s="295">
        <f t="shared" si="714"/>
        <v>39.449797207564188</v>
      </c>
      <c r="U89" s="295">
        <f t="shared" si="714"/>
        <v>31.88053859665461</v>
      </c>
      <c r="V89" s="295">
        <f t="shared" si="714"/>
        <v>58.793643591489065</v>
      </c>
      <c r="W89" s="295">
        <f t="shared" si="714"/>
        <v>66.067005704244892</v>
      </c>
      <c r="X89" s="295">
        <f t="shared" si="714"/>
        <v>40.243363140928615</v>
      </c>
      <c r="Y89" s="295">
        <f t="shared" si="714"/>
        <v>32.499620606198931</v>
      </c>
      <c r="Z89" s="295">
        <f t="shared" si="714"/>
        <v>60.029606613829564</v>
      </c>
      <c r="AA89" s="295">
        <f t="shared" si="714"/>
        <v>67.469112295400706</v>
      </c>
      <c r="AB89" s="295">
        <f t="shared" si="714"/>
        <v>41.052031661790807</v>
      </c>
      <c r="AC89" s="295">
        <f t="shared" si="714"/>
        <v>33.12977934341864</v>
      </c>
      <c r="AD89" s="295">
        <f t="shared" si="714"/>
        <v>61.290782180979271</v>
      </c>
      <c r="AE89" s="295">
        <f t="shared" si="714"/>
        <v>68.900222674793227</v>
      </c>
      <c r="AF89" s="295">
        <f t="shared" si="714"/>
        <v>41.876062665298008</v>
      </c>
      <c r="AG89" s="295">
        <f t="shared" si="714"/>
        <v>33.771181710426362</v>
      </c>
      <c r="AH89" s="295">
        <f t="shared" si="714"/>
        <v>62.577661008348272</v>
      </c>
      <c r="AI89" s="295">
        <f t="shared" si="714"/>
        <v>69.60139102033763</v>
      </c>
      <c r="AJ89" s="295">
        <f t="shared" si="714"/>
        <v>41.970657209769641</v>
      </c>
      <c r="AK89" s="295">
        <f t="shared" si="714"/>
        <v>33.761916778163084</v>
      </c>
      <c r="AL89" s="295">
        <f t="shared" si="714"/>
        <v>62.924366309265892</v>
      </c>
      <c r="AM89" s="295">
        <f t="shared" ref="AM89:BR89" si="715">AM79+AM81+AM82</f>
        <v>70.801658105770329</v>
      </c>
      <c r="AN89" s="295">
        <f t="shared" si="715"/>
        <v>42.809107861227588</v>
      </c>
      <c r="AO89" s="295">
        <f t="shared" si="715"/>
        <v>34.411117917991135</v>
      </c>
      <c r="AP89" s="295">
        <f t="shared" si="715"/>
        <v>64.241980820222153</v>
      </c>
      <c r="AQ89" s="295">
        <f t="shared" si="715"/>
        <v>71.798905726199877</v>
      </c>
      <c r="AR89" s="295">
        <f t="shared" si="715"/>
        <v>43.172574462513637</v>
      </c>
      <c r="AS89" s="295">
        <f t="shared" si="715"/>
        <v>34.635626833318284</v>
      </c>
      <c r="AT89" s="295">
        <f t="shared" si="715"/>
        <v>64.949785728853215</v>
      </c>
      <c r="AU89" s="295">
        <f t="shared" si="715"/>
        <v>73.135850985945027</v>
      </c>
      <c r="AV89" s="295">
        <f t="shared" si="715"/>
        <v>44.031569496940207</v>
      </c>
      <c r="AW89" s="295">
        <f t="shared" si="715"/>
        <v>35.29779142210549</v>
      </c>
      <c r="AX89" s="295">
        <f t="shared" si="715"/>
        <v>66.3067465038812</v>
      </c>
      <c r="AY89" s="295">
        <f t="shared" si="715"/>
        <v>74.679761892031834</v>
      </c>
      <c r="AZ89" s="295">
        <f t="shared" si="715"/>
        <v>44.906610726465644</v>
      </c>
      <c r="BA89" s="295">
        <f t="shared" si="715"/>
        <v>35.971459634707664</v>
      </c>
      <c r="BB89" s="295">
        <f t="shared" si="715"/>
        <v>67.691130987563071</v>
      </c>
      <c r="BC89" s="295">
        <f t="shared" si="715"/>
        <v>74.987528269488692</v>
      </c>
      <c r="BD89" s="295">
        <f t="shared" si="715"/>
        <v>44.554269306238233</v>
      </c>
      <c r="BE89" s="295">
        <f t="shared" si="715"/>
        <v>35.551617236772394</v>
      </c>
      <c r="BF89" s="295">
        <f t="shared" si="715"/>
        <v>67.490341923922003</v>
      </c>
      <c r="BG89" s="295">
        <f t="shared" si="715"/>
        <v>76.110366959286551</v>
      </c>
      <c r="BH89" s="295">
        <f t="shared" si="715"/>
        <v>45.433661237738548</v>
      </c>
      <c r="BI89" s="295">
        <f t="shared" si="715"/>
        <v>36.223412725347387</v>
      </c>
      <c r="BJ89" s="295">
        <f t="shared" si="715"/>
        <v>68.894138763185993</v>
      </c>
      <c r="BK89" s="295">
        <f t="shared" si="715"/>
        <v>77.7109941422204</v>
      </c>
      <c r="BL89" s="295">
        <f t="shared" si="715"/>
        <v>46.329251896073572</v>
      </c>
      <c r="BM89" s="295">
        <f t="shared" si="715"/>
        <v>36.906615106920789</v>
      </c>
      <c r="BN89" s="295">
        <f t="shared" si="715"/>
        <v>70.326114240766657</v>
      </c>
      <c r="BO89" s="295">
        <f t="shared" si="715"/>
        <v>79.344289342650626</v>
      </c>
      <c r="BP89" s="295">
        <f t="shared" si="715"/>
        <v>47.241301913602747</v>
      </c>
      <c r="BQ89" s="295">
        <f t="shared" si="715"/>
        <v>37.601374272482126</v>
      </c>
      <c r="BR89" s="295">
        <f t="shared" si="715"/>
        <v>71.786802385095939</v>
      </c>
      <c r="BS89" s="295">
        <f t="shared" ref="BS89:CX89" si="716">BS79+BS81+BS82</f>
        <v>81.010888840782684</v>
      </c>
      <c r="BT89" s="295">
        <f t="shared" si="716"/>
        <v>48.17007479694162</v>
      </c>
      <c r="BU89" s="295">
        <f t="shared" si="716"/>
        <v>38.307840424223158</v>
      </c>
      <c r="BV89" s="295">
        <f t="shared" si="716"/>
        <v>73.276746330073621</v>
      </c>
      <c r="BW89" s="295">
        <f t="shared" si="716"/>
        <v>82.71144034712853</v>
      </c>
      <c r="BX89" s="295">
        <f t="shared" si="716"/>
        <v>49.115836905866999</v>
      </c>
      <c r="BY89" s="295">
        <f t="shared" si="716"/>
        <v>39.026163995016319</v>
      </c>
      <c r="BZ89" s="295">
        <f t="shared" si="716"/>
        <v>74.796498435764789</v>
      </c>
      <c r="CA89" s="295">
        <f t="shared" si="716"/>
        <v>84.446603175946166</v>
      </c>
      <c r="CB89" s="295">
        <f t="shared" si="716"/>
        <v>50.078857429293777</v>
      </c>
      <c r="CC89" s="295">
        <f t="shared" si="716"/>
        <v>39.756495563584174</v>
      </c>
      <c r="CD89" s="295">
        <f t="shared" si="716"/>
        <v>76.346620409390326</v>
      </c>
      <c r="CE89" s="295">
        <f t="shared" si="716"/>
        <v>84.263125108530247</v>
      </c>
      <c r="CF89" s="295">
        <f t="shared" si="716"/>
        <v>49.142685800817816</v>
      </c>
      <c r="CG89" s="295">
        <f t="shared" si="716"/>
        <v>38.795742901423488</v>
      </c>
      <c r="CH89" s="295">
        <f t="shared" si="716"/>
        <v>75.441616057018393</v>
      </c>
      <c r="CI89" s="295">
        <f t="shared" si="716"/>
        <v>85.321966005714557</v>
      </c>
      <c r="CJ89" s="295">
        <f t="shared" si="716"/>
        <v>50.097053115215232</v>
      </c>
      <c r="CK89" s="295">
        <f t="shared" si="716"/>
        <v>39.51145291019882</v>
      </c>
      <c r="CL89" s="295">
        <f t="shared" si="716"/>
        <v>76.997145636925168</v>
      </c>
      <c r="CM89" s="295">
        <f t="shared" si="716"/>
        <v>87.103038090341187</v>
      </c>
      <c r="CN89" s="295">
        <f t="shared" si="716"/>
        <v>51.068493556088484</v>
      </c>
      <c r="CO89" s="295">
        <f t="shared" si="716"/>
        <v>40.238725509237575</v>
      </c>
      <c r="CP89" s="295">
        <f t="shared" si="716"/>
        <v>78.583478084399147</v>
      </c>
      <c r="CQ89" s="295">
        <f t="shared" si="716"/>
        <v>88.920055428759213</v>
      </c>
      <c r="CR89" s="295">
        <f t="shared" si="716"/>
        <v>52.057264156252664</v>
      </c>
      <c r="CS89" s="295">
        <f t="shared" si="716"/>
        <v>40.977690331680947</v>
      </c>
      <c r="CT89" s="295">
        <f t="shared" si="716"/>
        <v>80.201183657609334</v>
      </c>
      <c r="CU89" s="296">
        <f t="shared" si="716"/>
        <v>90.773705351051291</v>
      </c>
      <c r="CV89" s="295">
        <f t="shared" si="716"/>
        <v>19.359145747212487</v>
      </c>
      <c r="CW89" s="295">
        <f t="shared" si="716"/>
        <v>-4.0012472901862992</v>
      </c>
      <c r="CX89" s="295">
        <f t="shared" si="716"/>
        <v>14.960474583765521</v>
      </c>
      <c r="CY89" s="295">
        <f t="shared" ref="CY89:ED89" si="717">CY79+CY81+CY82</f>
        <v>19.362992797710039</v>
      </c>
      <c r="CZ89" s="295">
        <f t="shared" si="717"/>
        <v>0.81112863905260468</v>
      </c>
      <c r="DA89" s="295">
        <f t="shared" si="717"/>
        <v>-4.9812678395834631</v>
      </c>
      <c r="DB89" s="295">
        <f t="shared" si="717"/>
        <v>14.097999959817733</v>
      </c>
      <c r="DC89" s="295">
        <f t="shared" si="717"/>
        <v>19.317100563747296</v>
      </c>
      <c r="DD89" s="295">
        <f t="shared" si="717"/>
        <v>0.63075250927223436</v>
      </c>
      <c r="DE89" s="295">
        <f t="shared" si="717"/>
        <v>-5.2959507836985269</v>
      </c>
      <c r="DF89" s="295">
        <f t="shared" si="717"/>
        <v>14.219805424285273</v>
      </c>
      <c r="DG89" s="295">
        <f t="shared" si="717"/>
        <v>19.557294061828777</v>
      </c>
      <c r="DH89" s="295">
        <f t="shared" si="717"/>
        <v>0.44069439040100189</v>
      </c>
      <c r="DI89" s="295">
        <f t="shared" si="717"/>
        <v>-5.6234363425838332</v>
      </c>
      <c r="DJ89" s="295">
        <f t="shared" si="717"/>
        <v>14.33878713365227</v>
      </c>
      <c r="DK89" s="295">
        <f t="shared" si="717"/>
        <v>19.797341994018819</v>
      </c>
      <c r="DL89" s="295">
        <f t="shared" si="717"/>
        <v>0.24057734616101278</v>
      </c>
      <c r="DM89" s="295">
        <f t="shared" si="717"/>
        <v>-5.964174142024059</v>
      </c>
      <c r="DN89" s="295">
        <f t="shared" si="717"/>
        <v>14.454723398386506</v>
      </c>
      <c r="DO89" s="295">
        <f t="shared" si="717"/>
        <v>20.037083049169642</v>
      </c>
      <c r="DP89" s="295">
        <f t="shared" si="717"/>
        <v>3.0011460213558827E-2</v>
      </c>
      <c r="DQ89" s="295">
        <f t="shared" si="717"/>
        <v>-6.3186284861178219</v>
      </c>
      <c r="DR89" s="295">
        <f t="shared" si="717"/>
        <v>14.567383051541377</v>
      </c>
      <c r="DS89" s="295">
        <f t="shared" si="717"/>
        <v>20.276347793955345</v>
      </c>
      <c r="DT89" s="295">
        <f t="shared" si="717"/>
        <v>-0.19140658310651659</v>
      </c>
      <c r="DU89" s="295">
        <f t="shared" si="717"/>
        <v>-6.687278816361359</v>
      </c>
      <c r="DV89" s="295">
        <f t="shared" si="717"/>
        <v>14.676525108183675</v>
      </c>
      <c r="DW89" s="295">
        <f t="shared" si="717"/>
        <v>20.514958362547389</v>
      </c>
      <c r="DX89" s="295">
        <f t="shared" si="717"/>
        <v>-0.42409393108694537</v>
      </c>
      <c r="DY89" s="295">
        <f t="shared" si="717"/>
        <v>-7.070620184700612</v>
      </c>
      <c r="DZ89" s="295">
        <f t="shared" si="717"/>
        <v>14.78189841354871</v>
      </c>
      <c r="EA89" s="295">
        <f t="shared" si="717"/>
        <v>20.752728135687192</v>
      </c>
      <c r="EB89" s="295">
        <f t="shared" si="717"/>
        <v>-0.66848200836048299</v>
      </c>
      <c r="EC89" s="295">
        <f t="shared" si="717"/>
        <v>-7.4691637409691687</v>
      </c>
      <c r="ED89" s="295">
        <f t="shared" si="717"/>
        <v>14.883241279566935</v>
      </c>
      <c r="EE89" s="295">
        <f t="shared" ref="EE89:FA89" si="718">EE79+EE81+EE82</f>
        <v>20.989461408815462</v>
      </c>
      <c r="EF89" s="295">
        <f t="shared" si="718"/>
        <v>-0.92501697645963077</v>
      </c>
      <c r="EG89" s="295">
        <f t="shared" si="718"/>
        <v>-7.8834372351410078</v>
      </c>
      <c r="EH89" s="295">
        <f t="shared" si="718"/>
        <v>14.980281109395586</v>
      </c>
      <c r="EI89" s="295">
        <f t="shared" si="718"/>
        <v>-426.49576623936605</v>
      </c>
      <c r="EJ89" s="295">
        <f t="shared" si="718"/>
        <v>20.99939837536343</v>
      </c>
      <c r="EK89" s="295">
        <f t="shared" si="718"/>
        <v>0</v>
      </c>
      <c r="EL89" s="295">
        <f t="shared" si="718"/>
        <v>0</v>
      </c>
      <c r="EM89" s="295">
        <f t="shared" si="718"/>
        <v>0</v>
      </c>
      <c r="EN89" s="295">
        <f t="shared" si="718"/>
        <v>0</v>
      </c>
      <c r="EO89" s="295">
        <f t="shared" si="718"/>
        <v>0</v>
      </c>
      <c r="EP89" s="295">
        <f t="shared" si="718"/>
        <v>0</v>
      </c>
      <c r="EQ89" s="295">
        <f t="shared" si="718"/>
        <v>0</v>
      </c>
      <c r="ER89" s="295">
        <f t="shared" si="718"/>
        <v>0</v>
      </c>
      <c r="ES89" s="295">
        <f t="shared" si="718"/>
        <v>0</v>
      </c>
      <c r="ET89" s="295">
        <f t="shared" si="718"/>
        <v>0</v>
      </c>
      <c r="EU89" s="295">
        <f t="shared" si="718"/>
        <v>0</v>
      </c>
      <c r="EV89" s="295">
        <f t="shared" si="718"/>
        <v>0</v>
      </c>
      <c r="EW89" s="295">
        <f t="shared" si="718"/>
        <v>0</v>
      </c>
      <c r="EX89" s="295">
        <f t="shared" si="718"/>
        <v>0</v>
      </c>
      <c r="EY89" s="295">
        <f t="shared" si="718"/>
        <v>0</v>
      </c>
      <c r="EZ89" s="295">
        <f t="shared" si="718"/>
        <v>0</v>
      </c>
      <c r="FA89" s="295">
        <f t="shared" si="718"/>
        <v>0</v>
      </c>
    </row>
    <row r="90" spans="1:157" s="124" customFormat="1" outlineLevel="1" x14ac:dyDescent="0.2">
      <c r="A90"/>
      <c r="B90"/>
      <c r="C90" s="9" t="s">
        <v>429</v>
      </c>
      <c r="D90" s="21" t="s">
        <v>126</v>
      </c>
      <c r="G90" s="292">
        <f t="shared" ref="G90:AL90" si="719">IF(G5&lt;=Debt_Refinance_Date, -G89,0)</f>
        <v>0</v>
      </c>
      <c r="H90" s="292">
        <f t="shared" si="719"/>
        <v>0</v>
      </c>
      <c r="I90" s="292">
        <f t="shared" si="719"/>
        <v>0</v>
      </c>
      <c r="J90" s="292">
        <f t="shared" si="719"/>
        <v>0</v>
      </c>
      <c r="K90" s="292">
        <f t="shared" si="719"/>
        <v>0</v>
      </c>
      <c r="L90" s="292">
        <f t="shared" si="719"/>
        <v>0</v>
      </c>
      <c r="M90" s="292">
        <f t="shared" si="719"/>
        <v>-3.508591995226817</v>
      </c>
      <c r="N90" s="292">
        <f t="shared" si="719"/>
        <v>-15.254420905015749</v>
      </c>
      <c r="O90" s="292">
        <f t="shared" si="719"/>
        <v>-21.12709992501054</v>
      </c>
      <c r="P90" s="292">
        <f t="shared" si="719"/>
        <v>-17.42566873044359</v>
      </c>
      <c r="Q90" s="292">
        <f t="shared" si="719"/>
        <v>-22.269515622808072</v>
      </c>
      <c r="R90" s="292">
        <f t="shared" si="719"/>
        <v>-52.496922235503199</v>
      </c>
      <c r="S90" s="292">
        <f t="shared" si="719"/>
        <v>-63.308282093490206</v>
      </c>
      <c r="T90" s="292">
        <f t="shared" si="719"/>
        <v>-39.449797207564188</v>
      </c>
      <c r="U90" s="292">
        <f t="shared" si="719"/>
        <v>-31.88053859665461</v>
      </c>
      <c r="V90" s="292">
        <f t="shared" si="719"/>
        <v>-58.793643591489065</v>
      </c>
      <c r="W90" s="292">
        <f t="shared" si="719"/>
        <v>-66.067005704244892</v>
      </c>
      <c r="X90" s="292">
        <f t="shared" si="719"/>
        <v>0</v>
      </c>
      <c r="Y90" s="292">
        <f t="shared" si="719"/>
        <v>0</v>
      </c>
      <c r="Z90" s="292">
        <f t="shared" si="719"/>
        <v>0</v>
      </c>
      <c r="AA90" s="292">
        <f t="shared" si="719"/>
        <v>0</v>
      </c>
      <c r="AB90" s="292">
        <f t="shared" si="719"/>
        <v>0</v>
      </c>
      <c r="AC90" s="292">
        <f t="shared" si="719"/>
        <v>0</v>
      </c>
      <c r="AD90" s="292">
        <f t="shared" si="719"/>
        <v>0</v>
      </c>
      <c r="AE90" s="292">
        <f t="shared" si="719"/>
        <v>0</v>
      </c>
      <c r="AF90" s="292">
        <f t="shared" si="719"/>
        <v>0</v>
      </c>
      <c r="AG90" s="292">
        <f t="shared" si="719"/>
        <v>0</v>
      </c>
      <c r="AH90" s="292">
        <f t="shared" si="719"/>
        <v>0</v>
      </c>
      <c r="AI90" s="292">
        <f t="shared" si="719"/>
        <v>0</v>
      </c>
      <c r="AJ90" s="292">
        <f t="shared" si="719"/>
        <v>0</v>
      </c>
      <c r="AK90" s="292">
        <f t="shared" si="719"/>
        <v>0</v>
      </c>
      <c r="AL90" s="292">
        <f t="shared" si="719"/>
        <v>0</v>
      </c>
      <c r="AM90" s="292">
        <f t="shared" ref="AM90:BR90" si="720">IF(AM5&lt;=Debt_Refinance_Date, -AM89,0)</f>
        <v>0</v>
      </c>
      <c r="AN90" s="292">
        <f t="shared" si="720"/>
        <v>0</v>
      </c>
      <c r="AO90" s="292">
        <f t="shared" si="720"/>
        <v>0</v>
      </c>
      <c r="AP90" s="292">
        <f t="shared" si="720"/>
        <v>0</v>
      </c>
      <c r="AQ90" s="292">
        <f t="shared" si="720"/>
        <v>0</v>
      </c>
      <c r="AR90" s="292">
        <f t="shared" si="720"/>
        <v>0</v>
      </c>
      <c r="AS90" s="292">
        <f t="shared" si="720"/>
        <v>0</v>
      </c>
      <c r="AT90" s="292">
        <f t="shared" si="720"/>
        <v>0</v>
      </c>
      <c r="AU90" s="292">
        <f t="shared" si="720"/>
        <v>0</v>
      </c>
      <c r="AV90" s="292">
        <f t="shared" si="720"/>
        <v>0</v>
      </c>
      <c r="AW90" s="292">
        <f t="shared" si="720"/>
        <v>0</v>
      </c>
      <c r="AX90" s="292">
        <f t="shared" si="720"/>
        <v>0</v>
      </c>
      <c r="AY90" s="292">
        <f t="shared" si="720"/>
        <v>0</v>
      </c>
      <c r="AZ90" s="292">
        <f t="shared" si="720"/>
        <v>0</v>
      </c>
      <c r="BA90" s="292">
        <f t="shared" si="720"/>
        <v>0</v>
      </c>
      <c r="BB90" s="292">
        <f t="shared" si="720"/>
        <v>0</v>
      </c>
      <c r="BC90" s="292">
        <f t="shared" si="720"/>
        <v>0</v>
      </c>
      <c r="BD90" s="292">
        <f t="shared" si="720"/>
        <v>0</v>
      </c>
      <c r="BE90" s="292">
        <f t="shared" si="720"/>
        <v>0</v>
      </c>
      <c r="BF90" s="292">
        <f t="shared" si="720"/>
        <v>0</v>
      </c>
      <c r="BG90" s="292">
        <f t="shared" si="720"/>
        <v>0</v>
      </c>
      <c r="BH90" s="292">
        <f t="shared" si="720"/>
        <v>0</v>
      </c>
      <c r="BI90" s="292">
        <f t="shared" si="720"/>
        <v>0</v>
      </c>
      <c r="BJ90" s="292">
        <f t="shared" si="720"/>
        <v>0</v>
      </c>
      <c r="BK90" s="292">
        <f t="shared" si="720"/>
        <v>0</v>
      </c>
      <c r="BL90" s="292">
        <f t="shared" si="720"/>
        <v>0</v>
      </c>
      <c r="BM90" s="292">
        <f t="shared" si="720"/>
        <v>0</v>
      </c>
      <c r="BN90" s="292">
        <f t="shared" si="720"/>
        <v>0</v>
      </c>
      <c r="BO90" s="292">
        <f t="shared" si="720"/>
        <v>0</v>
      </c>
      <c r="BP90" s="292">
        <f t="shared" si="720"/>
        <v>0</v>
      </c>
      <c r="BQ90" s="292">
        <f t="shared" si="720"/>
        <v>0</v>
      </c>
      <c r="BR90" s="292">
        <f t="shared" si="720"/>
        <v>0</v>
      </c>
      <c r="BS90" s="292">
        <f t="shared" ref="BS90:CX90" si="721">IF(BS5&lt;=Debt_Refinance_Date, -BS89,0)</f>
        <v>0</v>
      </c>
      <c r="BT90" s="292">
        <f t="shared" si="721"/>
        <v>0</v>
      </c>
      <c r="BU90" s="292">
        <f t="shared" si="721"/>
        <v>0</v>
      </c>
      <c r="BV90" s="292">
        <f t="shared" si="721"/>
        <v>0</v>
      </c>
      <c r="BW90" s="292">
        <f t="shared" si="721"/>
        <v>0</v>
      </c>
      <c r="BX90" s="292">
        <f t="shared" si="721"/>
        <v>0</v>
      </c>
      <c r="BY90" s="292">
        <f t="shared" si="721"/>
        <v>0</v>
      </c>
      <c r="BZ90" s="292">
        <f t="shared" si="721"/>
        <v>0</v>
      </c>
      <c r="CA90" s="292">
        <f t="shared" si="721"/>
        <v>0</v>
      </c>
      <c r="CB90" s="292">
        <f t="shared" si="721"/>
        <v>0</v>
      </c>
      <c r="CC90" s="292">
        <f t="shared" si="721"/>
        <v>0</v>
      </c>
      <c r="CD90" s="292">
        <f t="shared" si="721"/>
        <v>0</v>
      </c>
      <c r="CE90" s="292">
        <f t="shared" si="721"/>
        <v>0</v>
      </c>
      <c r="CF90" s="292">
        <f t="shared" si="721"/>
        <v>0</v>
      </c>
      <c r="CG90" s="292">
        <f t="shared" si="721"/>
        <v>0</v>
      </c>
      <c r="CH90" s="292">
        <f t="shared" si="721"/>
        <v>0</v>
      </c>
      <c r="CI90" s="292">
        <f t="shared" si="721"/>
        <v>0</v>
      </c>
      <c r="CJ90" s="292">
        <f t="shared" si="721"/>
        <v>0</v>
      </c>
      <c r="CK90" s="292">
        <f t="shared" si="721"/>
        <v>0</v>
      </c>
      <c r="CL90" s="292">
        <f t="shared" si="721"/>
        <v>0</v>
      </c>
      <c r="CM90" s="292">
        <f t="shared" si="721"/>
        <v>0</v>
      </c>
      <c r="CN90" s="292">
        <f t="shared" si="721"/>
        <v>0</v>
      </c>
      <c r="CO90" s="292">
        <f t="shared" si="721"/>
        <v>0</v>
      </c>
      <c r="CP90" s="292">
        <f t="shared" si="721"/>
        <v>0</v>
      </c>
      <c r="CQ90" s="292">
        <f t="shared" si="721"/>
        <v>0</v>
      </c>
      <c r="CR90" s="292">
        <f t="shared" si="721"/>
        <v>0</v>
      </c>
      <c r="CS90" s="292">
        <f t="shared" si="721"/>
        <v>0</v>
      </c>
      <c r="CT90" s="292">
        <f t="shared" si="721"/>
        <v>0</v>
      </c>
      <c r="CU90" s="312">
        <f t="shared" si="721"/>
        <v>0</v>
      </c>
      <c r="CV90" s="292">
        <f t="shared" si="721"/>
        <v>0</v>
      </c>
      <c r="CW90" s="292">
        <f t="shared" si="721"/>
        <v>0</v>
      </c>
      <c r="CX90" s="292">
        <f t="shared" si="721"/>
        <v>0</v>
      </c>
      <c r="CY90" s="292">
        <f t="shared" ref="CY90:ED90" si="722">IF(CY5&lt;=Debt_Refinance_Date, -CY89,0)</f>
        <v>0</v>
      </c>
      <c r="CZ90" s="292">
        <f t="shared" si="722"/>
        <v>0</v>
      </c>
      <c r="DA90" s="292">
        <f t="shared" si="722"/>
        <v>0</v>
      </c>
      <c r="DB90" s="292">
        <f t="shared" si="722"/>
        <v>0</v>
      </c>
      <c r="DC90" s="292">
        <f t="shared" si="722"/>
        <v>0</v>
      </c>
      <c r="DD90" s="292">
        <f t="shared" si="722"/>
        <v>0</v>
      </c>
      <c r="DE90" s="292">
        <f t="shared" si="722"/>
        <v>0</v>
      </c>
      <c r="DF90" s="292">
        <f t="shared" si="722"/>
        <v>0</v>
      </c>
      <c r="DG90" s="292">
        <f t="shared" si="722"/>
        <v>0</v>
      </c>
      <c r="DH90" s="292">
        <f t="shared" si="722"/>
        <v>0</v>
      </c>
      <c r="DI90" s="292">
        <f t="shared" si="722"/>
        <v>0</v>
      </c>
      <c r="DJ90" s="292">
        <f t="shared" si="722"/>
        <v>0</v>
      </c>
      <c r="DK90" s="292">
        <f t="shared" si="722"/>
        <v>0</v>
      </c>
      <c r="DL90" s="292">
        <f t="shared" si="722"/>
        <v>0</v>
      </c>
      <c r="DM90" s="292">
        <f t="shared" si="722"/>
        <v>0</v>
      </c>
      <c r="DN90" s="292">
        <f t="shared" si="722"/>
        <v>0</v>
      </c>
      <c r="DO90" s="292">
        <f t="shared" si="722"/>
        <v>0</v>
      </c>
      <c r="DP90" s="292">
        <f t="shared" si="722"/>
        <v>0</v>
      </c>
      <c r="DQ90" s="292">
        <f t="shared" si="722"/>
        <v>0</v>
      </c>
      <c r="DR90" s="292">
        <f t="shared" si="722"/>
        <v>0</v>
      </c>
      <c r="DS90" s="292">
        <f t="shared" si="722"/>
        <v>0</v>
      </c>
      <c r="DT90" s="292">
        <f t="shared" si="722"/>
        <v>0</v>
      </c>
      <c r="DU90" s="292">
        <f t="shared" si="722"/>
        <v>0</v>
      </c>
      <c r="DV90" s="292">
        <f t="shared" si="722"/>
        <v>0</v>
      </c>
      <c r="DW90" s="292">
        <f t="shared" si="722"/>
        <v>0</v>
      </c>
      <c r="DX90" s="292">
        <f t="shared" si="722"/>
        <v>0</v>
      </c>
      <c r="DY90" s="292">
        <f t="shared" si="722"/>
        <v>0</v>
      </c>
      <c r="DZ90" s="292">
        <f t="shared" si="722"/>
        <v>0</v>
      </c>
      <c r="EA90" s="292">
        <f t="shared" si="722"/>
        <v>0</v>
      </c>
      <c r="EB90" s="292">
        <f t="shared" si="722"/>
        <v>0</v>
      </c>
      <c r="EC90" s="292">
        <f t="shared" si="722"/>
        <v>0</v>
      </c>
      <c r="ED90" s="292">
        <f t="shared" si="722"/>
        <v>0</v>
      </c>
      <c r="EE90" s="292">
        <f t="shared" ref="EE90:FA90" si="723">IF(EE5&lt;=Debt_Refinance_Date, -EE89,0)</f>
        <v>0</v>
      </c>
      <c r="EF90" s="292">
        <f t="shared" si="723"/>
        <v>0</v>
      </c>
      <c r="EG90" s="292">
        <f t="shared" si="723"/>
        <v>0</v>
      </c>
      <c r="EH90" s="292">
        <f t="shared" si="723"/>
        <v>0</v>
      </c>
      <c r="EI90" s="292">
        <f t="shared" si="723"/>
        <v>0</v>
      </c>
      <c r="EJ90" s="292">
        <f t="shared" si="723"/>
        <v>0</v>
      </c>
      <c r="EK90" s="292">
        <f t="shared" si="723"/>
        <v>0</v>
      </c>
      <c r="EL90" s="292">
        <f t="shared" si="723"/>
        <v>0</v>
      </c>
      <c r="EM90" s="292">
        <f t="shared" si="723"/>
        <v>0</v>
      </c>
      <c r="EN90" s="292">
        <f t="shared" si="723"/>
        <v>0</v>
      </c>
      <c r="EO90" s="292">
        <f t="shared" si="723"/>
        <v>0</v>
      </c>
      <c r="EP90" s="292">
        <f t="shared" si="723"/>
        <v>0</v>
      </c>
      <c r="EQ90" s="292">
        <f t="shared" si="723"/>
        <v>0</v>
      </c>
      <c r="ER90" s="292">
        <f t="shared" si="723"/>
        <v>0</v>
      </c>
      <c r="ES90" s="292">
        <f t="shared" si="723"/>
        <v>0</v>
      </c>
      <c r="ET90" s="292">
        <f t="shared" si="723"/>
        <v>0</v>
      </c>
      <c r="EU90" s="292">
        <f t="shared" si="723"/>
        <v>0</v>
      </c>
      <c r="EV90" s="292">
        <f t="shared" si="723"/>
        <v>0</v>
      </c>
      <c r="EW90" s="292">
        <f t="shared" si="723"/>
        <v>0</v>
      </c>
      <c r="EX90" s="292">
        <f t="shared" si="723"/>
        <v>0</v>
      </c>
      <c r="EY90" s="292">
        <f t="shared" si="723"/>
        <v>0</v>
      </c>
      <c r="EZ90" s="292">
        <f t="shared" si="723"/>
        <v>0</v>
      </c>
      <c r="FA90" s="292">
        <f t="shared" si="723"/>
        <v>0</v>
      </c>
    </row>
    <row r="91" spans="1:157" s="133" customFormat="1" outlineLevel="1" x14ac:dyDescent="0.2">
      <c r="A91" s="124"/>
      <c r="B91" s="124"/>
      <c r="C91" s="9" t="s">
        <v>41</v>
      </c>
      <c r="D91" s="128" t="s">
        <v>126</v>
      </c>
      <c r="G91" s="292">
        <f>G68</f>
        <v>0</v>
      </c>
      <c r="H91" s="292">
        <f t="shared" ref="H91:BS91" ca="1" si="724">H68</f>
        <v>0</v>
      </c>
      <c r="I91" s="292">
        <f t="shared" ca="1" si="724"/>
        <v>0</v>
      </c>
      <c r="J91" s="292">
        <f t="shared" ca="1" si="724"/>
        <v>0</v>
      </c>
      <c r="K91" s="292">
        <f t="shared" ca="1" si="724"/>
        <v>0</v>
      </c>
      <c r="L91" s="292">
        <f t="shared" ca="1" si="724"/>
        <v>0</v>
      </c>
      <c r="M91" s="292">
        <f t="shared" ca="1" si="724"/>
        <v>0</v>
      </c>
      <c r="N91" s="292">
        <f t="shared" ca="1" si="724"/>
        <v>0</v>
      </c>
      <c r="O91" s="292">
        <f t="shared" ca="1" si="724"/>
        <v>0</v>
      </c>
      <c r="P91" s="292">
        <f t="shared" ca="1" si="724"/>
        <v>0</v>
      </c>
      <c r="Q91" s="292">
        <f t="shared" ca="1" si="724"/>
        <v>0</v>
      </c>
      <c r="R91" s="292">
        <f t="shared" ca="1" si="724"/>
        <v>0</v>
      </c>
      <c r="S91" s="292">
        <f t="shared" ca="1" si="724"/>
        <v>0</v>
      </c>
      <c r="T91" s="292">
        <f t="shared" ca="1" si="724"/>
        <v>0</v>
      </c>
      <c r="U91" s="292">
        <f t="shared" ca="1" si="724"/>
        <v>0</v>
      </c>
      <c r="V91" s="292">
        <f t="shared" ca="1" si="724"/>
        <v>0</v>
      </c>
      <c r="W91" s="292">
        <f t="shared" ca="1" si="724"/>
        <v>0</v>
      </c>
      <c r="X91" s="292">
        <f t="shared" ca="1" si="724"/>
        <v>-29.671695654014776</v>
      </c>
      <c r="Y91" s="292">
        <f t="shared" ca="1" si="724"/>
        <v>-29.652874343927259</v>
      </c>
      <c r="Z91" s="292">
        <f t="shared" ca="1" si="724"/>
        <v>-29.652874343927259</v>
      </c>
      <c r="AA91" s="292">
        <f t="shared" ca="1" si="724"/>
        <v>-29.403540503711049</v>
      </c>
      <c r="AB91" s="292">
        <f t="shared" ca="1" si="724"/>
        <v>-29.063867079730969</v>
      </c>
      <c r="AC91" s="292">
        <f t="shared" ca="1" si="724"/>
        <v>-29.026446989741849</v>
      </c>
      <c r="AD91" s="292">
        <f t="shared" ca="1" si="724"/>
        <v>-29.026446989741849</v>
      </c>
      <c r="AE91" s="292">
        <f t="shared" ca="1" si="724"/>
        <v>-28.752966819462095</v>
      </c>
      <c r="AF91" s="292">
        <f t="shared" ca="1" si="724"/>
        <v>-28.386803427161958</v>
      </c>
      <c r="AG91" s="292">
        <f t="shared" ca="1" si="724"/>
        <v>-28.329555685817454</v>
      </c>
      <c r="AH91" s="292">
        <f t="shared" ca="1" si="724"/>
        <v>-28.329555685817454</v>
      </c>
      <c r="AI91" s="292">
        <f t="shared" ca="1" si="724"/>
        <v>-28.030561299495538</v>
      </c>
      <c r="AJ91" s="292">
        <f t="shared" ca="1" si="724"/>
        <v>-27.645312125445216</v>
      </c>
      <c r="AK91" s="292">
        <f t="shared" ca="1" si="724"/>
        <v>-27.575747307038409</v>
      </c>
      <c r="AL91" s="292">
        <f t="shared" ca="1" si="724"/>
        <v>-27.575747307038409</v>
      </c>
      <c r="AM91" s="292">
        <f t="shared" ca="1" si="724"/>
        <v>-27.261315354902244</v>
      </c>
      <c r="AN91" s="292">
        <f t="shared" ca="1" si="724"/>
        <v>-26.85046215243419</v>
      </c>
      <c r="AO91" s="292">
        <f t="shared" ca="1" si="724"/>
        <v>-26.759115042073439</v>
      </c>
      <c r="AP91" s="292">
        <f t="shared" ca="1" si="724"/>
        <v>-26.755601888312</v>
      </c>
      <c r="AQ91" s="292">
        <f t="shared" ca="1" si="724"/>
        <v>-26.413430778308033</v>
      </c>
      <c r="AR91" s="292">
        <f t="shared" ca="1" si="724"/>
        <v>-25.978145451485069</v>
      </c>
      <c r="AS91" s="292">
        <f t="shared" ca="1" si="724"/>
        <v>-25.869370359080428</v>
      </c>
      <c r="AT91" s="292">
        <f t="shared" ca="1" si="724"/>
        <v>-25.856902831517857</v>
      </c>
      <c r="AU91" s="292">
        <f t="shared" ca="1" si="724"/>
        <v>-25.492903232347246</v>
      </c>
      <c r="AV91" s="292">
        <f t="shared" ca="1" si="724"/>
        <v>-25.028137463504617</v>
      </c>
      <c r="AW91" s="292">
        <f t="shared" ca="1" si="724"/>
        <v>-24.89499625480137</v>
      </c>
      <c r="AX91" s="292">
        <f t="shared" ca="1" si="724"/>
        <v>-24.861474026662275</v>
      </c>
      <c r="AY91" s="292">
        <f t="shared" ca="1" si="724"/>
        <v>-24.466626070720039</v>
      </c>
      <c r="AZ91" s="292">
        <f t="shared" ca="1" si="724"/>
        <v>-23.968368547311307</v>
      </c>
      <c r="BA91" s="292">
        <f t="shared" ca="1" si="724"/>
        <v>-23.80901058916222</v>
      </c>
      <c r="BB91" s="292">
        <f t="shared" ca="1" si="724"/>
        <v>-23.751217048982117</v>
      </c>
      <c r="BC91" s="292">
        <f t="shared" ca="1" si="724"/>
        <v>-23.323459421201974</v>
      </c>
      <c r="BD91" s="292">
        <f t="shared" ca="1" si="724"/>
        <v>-22.804320657655822</v>
      </c>
      <c r="BE91" s="292">
        <f t="shared" ca="1" si="724"/>
        <v>-22.631445720130735</v>
      </c>
      <c r="BF91" s="292">
        <f t="shared" ca="1" si="724"/>
        <v>-22.560715443162984</v>
      </c>
      <c r="BG91" s="292">
        <f t="shared" ca="1" si="724"/>
        <v>-22.117275696781007</v>
      </c>
      <c r="BH91" s="292">
        <f t="shared" ca="1" si="724"/>
        <v>-21.566814682075009</v>
      </c>
      <c r="BI91" s="292">
        <f t="shared" ca="1" si="724"/>
        <v>-21.364974945800427</v>
      </c>
      <c r="BJ91" s="292">
        <f t="shared" ca="1" si="724"/>
        <v>-21.267255896705681</v>
      </c>
      <c r="BK91" s="292">
        <f t="shared" ca="1" si="724"/>
        <v>-20.787899972023837</v>
      </c>
      <c r="BL91" s="292">
        <f t="shared" ca="1" si="724"/>
        <v>-20.198687302571948</v>
      </c>
      <c r="BM91" s="292">
        <f t="shared" ca="1" si="724"/>
        <v>-19.965711731806138</v>
      </c>
      <c r="BN91" s="292">
        <f t="shared" ca="1" si="724"/>
        <v>-19.838855593595817</v>
      </c>
      <c r="BO91" s="292">
        <f t="shared" ca="1" si="724"/>
        <v>-19.321207314913085</v>
      </c>
      <c r="BP91" s="292">
        <f t="shared" ca="1" si="724"/>
        <v>-18.690778417152515</v>
      </c>
      <c r="BQ91" s="292">
        <f t="shared" ca="1" si="724"/>
        <v>-18.424353543459318</v>
      </c>
      <c r="BR91" s="292">
        <f t="shared" ca="1" si="724"/>
        <v>-18.266068681268337</v>
      </c>
      <c r="BS91" s="292">
        <f t="shared" ca="1" si="724"/>
        <v>-17.707601897568718</v>
      </c>
      <c r="BT91" s="292">
        <f t="shared" ref="BT91:EE91" ca="1" si="725">BT68</f>
        <v>-17.033338743975907</v>
      </c>
      <c r="BU91" s="292">
        <f t="shared" ca="1" si="725"/>
        <v>-16.730999640737071</v>
      </c>
      <c r="BV91" s="292">
        <f t="shared" ca="1" si="725"/>
        <v>-16.538841968005045</v>
      </c>
      <c r="BW91" s="292">
        <f t="shared" ca="1" si="725"/>
        <v>-15.936871176982471</v>
      </c>
      <c r="BX91" s="292">
        <f t="shared" ca="1" si="725"/>
        <v>-15.215992739522388</v>
      </c>
      <c r="BY91" s="292">
        <f t="shared" ca="1" si="725"/>
        <v>-14.875113429055347</v>
      </c>
      <c r="BZ91" s="292">
        <f t="shared" ca="1" si="725"/>
        <v>-14.646476698293313</v>
      </c>
      <c r="CA91" s="292">
        <f t="shared" ca="1" si="725"/>
        <v>-13.998147083785623</v>
      </c>
      <c r="CB91" s="292">
        <f t="shared" ca="1" si="725"/>
        <v>-13.227699191149629</v>
      </c>
      <c r="CC91" s="292">
        <f t="shared" ca="1" si="725"/>
        <v>-12.845482448756982</v>
      </c>
      <c r="CD91" s="292">
        <f t="shared" ca="1" si="725"/>
        <v>-12.577587930692562</v>
      </c>
      <c r="CE91" s="292">
        <f t="shared" ca="1" si="725"/>
        <v>-11.879864776706158</v>
      </c>
      <c r="CF91" s="292">
        <f t="shared" ca="1" si="725"/>
        <v>-11.079445657650151</v>
      </c>
      <c r="CG91" s="292">
        <f t="shared" ca="1" si="725"/>
        <v>-10.675560520055249</v>
      </c>
      <c r="CH91" s="292">
        <f t="shared" ca="1" si="725"/>
        <v>-10.385953860864818</v>
      </c>
      <c r="CI91" s="292">
        <f t="shared" ca="1" si="725"/>
        <v>-9.6655393932941003</v>
      </c>
      <c r="CJ91" s="292">
        <f t="shared" ca="1" si="725"/>
        <v>-8.8192318294452345</v>
      </c>
      <c r="CK91" s="292">
        <f t="shared" ca="1" si="725"/>
        <v>-8.3699766432088758</v>
      </c>
      <c r="CL91" s="292">
        <f t="shared" ca="1" si="725"/>
        <v>-8.0370875397626147</v>
      </c>
      <c r="CM91" s="292">
        <f t="shared" ca="1" si="725"/>
        <v>-7.2629604353014408</v>
      </c>
      <c r="CN91" s="292">
        <f t="shared" ca="1" si="725"/>
        <v>-6.3594996450558039</v>
      </c>
      <c r="CO91" s="292">
        <f t="shared" ca="1" si="725"/>
        <v>-5.8616439273719365</v>
      </c>
      <c r="CP91" s="292">
        <f t="shared" ca="1" si="725"/>
        <v>-5.4822567962264896</v>
      </c>
      <c r="CQ91" s="292">
        <f t="shared" ca="1" si="725"/>
        <v>-4.6509285848536717</v>
      </c>
      <c r="CR91" s="292">
        <f t="shared" ca="1" si="725"/>
        <v>-3.6867131128103683</v>
      </c>
      <c r="CS91" s="292">
        <f t="shared" ca="1" si="725"/>
        <v>-3.136817150769911</v>
      </c>
      <c r="CT91" s="292">
        <f t="shared" ca="1" si="725"/>
        <v>-2.7075054636799596</v>
      </c>
      <c r="CU91" s="312">
        <f t="shared" ca="1" si="725"/>
        <v>-1.8152683796897389</v>
      </c>
      <c r="CV91" s="292">
        <f t="shared" si="725"/>
        <v>0</v>
      </c>
      <c r="CW91" s="292">
        <f t="shared" ca="1" si="725"/>
        <v>0</v>
      </c>
      <c r="CX91" s="292">
        <f t="shared" ca="1" si="725"/>
        <v>0</v>
      </c>
      <c r="CY91" s="292">
        <f t="shared" ca="1" si="725"/>
        <v>0</v>
      </c>
      <c r="CZ91" s="292">
        <f t="shared" ca="1" si="725"/>
        <v>0</v>
      </c>
      <c r="DA91" s="292">
        <f t="shared" ca="1" si="725"/>
        <v>0</v>
      </c>
      <c r="DB91" s="292">
        <f t="shared" ca="1" si="725"/>
        <v>0</v>
      </c>
      <c r="DC91" s="292">
        <f t="shared" ca="1" si="725"/>
        <v>0</v>
      </c>
      <c r="DD91" s="292">
        <f t="shared" ca="1" si="725"/>
        <v>0</v>
      </c>
      <c r="DE91" s="292">
        <f t="shared" ca="1" si="725"/>
        <v>0</v>
      </c>
      <c r="DF91" s="292">
        <f t="shared" ca="1" si="725"/>
        <v>0</v>
      </c>
      <c r="DG91" s="292">
        <f t="shared" ca="1" si="725"/>
        <v>0</v>
      </c>
      <c r="DH91" s="292">
        <f t="shared" ca="1" si="725"/>
        <v>0</v>
      </c>
      <c r="DI91" s="292">
        <f t="shared" ca="1" si="725"/>
        <v>0</v>
      </c>
      <c r="DJ91" s="292">
        <f t="shared" ca="1" si="725"/>
        <v>0</v>
      </c>
      <c r="DK91" s="292">
        <f t="shared" ca="1" si="725"/>
        <v>0</v>
      </c>
      <c r="DL91" s="292">
        <f t="shared" ca="1" si="725"/>
        <v>0</v>
      </c>
      <c r="DM91" s="292">
        <f t="shared" ca="1" si="725"/>
        <v>0</v>
      </c>
      <c r="DN91" s="292">
        <f t="shared" ca="1" si="725"/>
        <v>0</v>
      </c>
      <c r="DO91" s="292">
        <f t="shared" ca="1" si="725"/>
        <v>0</v>
      </c>
      <c r="DP91" s="292">
        <f t="shared" ca="1" si="725"/>
        <v>0</v>
      </c>
      <c r="DQ91" s="292">
        <f t="shared" ca="1" si="725"/>
        <v>0</v>
      </c>
      <c r="DR91" s="292">
        <f t="shared" ca="1" si="725"/>
        <v>0</v>
      </c>
      <c r="DS91" s="292">
        <f t="shared" ca="1" si="725"/>
        <v>0</v>
      </c>
      <c r="DT91" s="292">
        <f t="shared" ca="1" si="725"/>
        <v>0</v>
      </c>
      <c r="DU91" s="292">
        <f t="shared" ca="1" si="725"/>
        <v>0</v>
      </c>
      <c r="DV91" s="292">
        <f t="shared" ca="1" si="725"/>
        <v>0</v>
      </c>
      <c r="DW91" s="292">
        <f t="shared" ca="1" si="725"/>
        <v>0</v>
      </c>
      <c r="DX91" s="292">
        <f t="shared" ca="1" si="725"/>
        <v>0</v>
      </c>
      <c r="DY91" s="292">
        <f t="shared" ca="1" si="725"/>
        <v>0</v>
      </c>
      <c r="DZ91" s="292">
        <f t="shared" ca="1" si="725"/>
        <v>0</v>
      </c>
      <c r="EA91" s="292">
        <f t="shared" ca="1" si="725"/>
        <v>0</v>
      </c>
      <c r="EB91" s="292">
        <f t="shared" ca="1" si="725"/>
        <v>0</v>
      </c>
      <c r="EC91" s="292">
        <f t="shared" ca="1" si="725"/>
        <v>0</v>
      </c>
      <c r="ED91" s="292">
        <f t="shared" ca="1" si="725"/>
        <v>0</v>
      </c>
      <c r="EE91" s="292">
        <f t="shared" ca="1" si="725"/>
        <v>0</v>
      </c>
      <c r="EF91" s="292">
        <f t="shared" ref="EF91:FA91" ca="1" si="726">EF68</f>
        <v>0</v>
      </c>
      <c r="EG91" s="292">
        <f t="shared" ca="1" si="726"/>
        <v>0</v>
      </c>
      <c r="EH91" s="292">
        <f t="shared" ca="1" si="726"/>
        <v>0</v>
      </c>
      <c r="EI91" s="292">
        <f t="shared" ca="1" si="726"/>
        <v>0</v>
      </c>
      <c r="EJ91" s="292">
        <f t="shared" ca="1" si="726"/>
        <v>0</v>
      </c>
      <c r="EK91" s="292">
        <f t="shared" ca="1" si="726"/>
        <v>0</v>
      </c>
      <c r="EL91" s="292">
        <f t="shared" ca="1" si="726"/>
        <v>0</v>
      </c>
      <c r="EM91" s="292">
        <f t="shared" ca="1" si="726"/>
        <v>0</v>
      </c>
      <c r="EN91" s="292">
        <f t="shared" ca="1" si="726"/>
        <v>0</v>
      </c>
      <c r="EO91" s="292">
        <f t="shared" ca="1" si="726"/>
        <v>0</v>
      </c>
      <c r="EP91" s="292">
        <f t="shared" ca="1" si="726"/>
        <v>0</v>
      </c>
      <c r="EQ91" s="292">
        <f t="shared" ca="1" si="726"/>
        <v>0</v>
      </c>
      <c r="ER91" s="292">
        <f t="shared" ca="1" si="726"/>
        <v>0</v>
      </c>
      <c r="ES91" s="292">
        <f t="shared" ca="1" si="726"/>
        <v>0</v>
      </c>
      <c r="ET91" s="292">
        <f t="shared" ca="1" si="726"/>
        <v>0</v>
      </c>
      <c r="EU91" s="292">
        <f t="shared" ca="1" si="726"/>
        <v>0</v>
      </c>
      <c r="EV91" s="292">
        <f t="shared" ca="1" si="726"/>
        <v>0</v>
      </c>
      <c r="EW91" s="292">
        <f t="shared" ca="1" si="726"/>
        <v>0</v>
      </c>
      <c r="EX91" s="292">
        <f t="shared" ca="1" si="726"/>
        <v>0</v>
      </c>
      <c r="EY91" s="292">
        <f t="shared" ca="1" si="726"/>
        <v>0</v>
      </c>
      <c r="EZ91" s="292">
        <f t="shared" ca="1" si="726"/>
        <v>0</v>
      </c>
      <c r="FA91" s="292">
        <f t="shared" ca="1" si="726"/>
        <v>0</v>
      </c>
    </row>
    <row r="92" spans="1:157" s="133" customFormat="1" outlineLevel="1" x14ac:dyDescent="0.2">
      <c r="A92" s="124"/>
      <c r="B92" s="124"/>
      <c r="C92" s="9" t="s">
        <v>35</v>
      </c>
      <c r="D92" s="128" t="s">
        <v>126</v>
      </c>
      <c r="G92" s="292">
        <f ca="1">-G195</f>
        <v>0</v>
      </c>
      <c r="H92" s="292">
        <f t="shared" ref="H92:BS92" ca="1" si="727">-H195</f>
        <v>0</v>
      </c>
      <c r="I92" s="292">
        <f t="shared" ca="1" si="727"/>
        <v>0</v>
      </c>
      <c r="J92" s="292">
        <f t="shared" ca="1" si="727"/>
        <v>0</v>
      </c>
      <c r="K92" s="292">
        <f t="shared" ca="1" si="727"/>
        <v>0</v>
      </c>
      <c r="L92" s="292">
        <f t="shared" ca="1" si="727"/>
        <v>0</v>
      </c>
      <c r="M92" s="292">
        <f t="shared" ca="1" si="727"/>
        <v>0</v>
      </c>
      <c r="N92" s="292">
        <f t="shared" ca="1" si="727"/>
        <v>0</v>
      </c>
      <c r="O92" s="292">
        <f t="shared" ca="1" si="727"/>
        <v>0</v>
      </c>
      <c r="P92" s="292">
        <f t="shared" ca="1" si="727"/>
        <v>0</v>
      </c>
      <c r="Q92" s="292">
        <f t="shared" ca="1" si="727"/>
        <v>0</v>
      </c>
      <c r="R92" s="292">
        <f t="shared" ca="1" si="727"/>
        <v>0</v>
      </c>
      <c r="S92" s="292">
        <f t="shared" ca="1" si="727"/>
        <v>0</v>
      </c>
      <c r="T92" s="292">
        <f t="shared" ca="1" si="727"/>
        <v>0</v>
      </c>
      <c r="U92" s="292">
        <f t="shared" ca="1" si="727"/>
        <v>0</v>
      </c>
      <c r="V92" s="292">
        <f t="shared" ca="1" si="727"/>
        <v>0</v>
      </c>
      <c r="W92" s="292">
        <f t="shared" ca="1" si="727"/>
        <v>0</v>
      </c>
      <c r="X92" s="292">
        <f t="shared" ca="1" si="727"/>
        <v>-1.2893516080713354</v>
      </c>
      <c r="Y92" s="292">
        <f ca="1">-Y195</f>
        <v>0</v>
      </c>
      <c r="Z92" s="292">
        <f t="shared" ca="1" si="727"/>
        <v>-16.530628783945957</v>
      </c>
      <c r="AA92" s="292">
        <f t="shared" ca="1" si="727"/>
        <v>-22.503512274003064</v>
      </c>
      <c r="AB92" s="292">
        <f t="shared" ca="1" si="727"/>
        <v>-2.5193256080765849</v>
      </c>
      <c r="AC92" s="292">
        <f t="shared" ca="1" si="727"/>
        <v>0</v>
      </c>
      <c r="AD92" s="292">
        <f t="shared" ca="1" si="727"/>
        <v>-18.127335789053433</v>
      </c>
      <c r="AE92" s="292">
        <f t="shared" ca="1" si="727"/>
        <v>-24.255104179280636</v>
      </c>
      <c r="AF92" s="292">
        <f t="shared" ca="1" si="727"/>
        <v>-3.8303537420848599</v>
      </c>
      <c r="AG92" s="292">
        <f t="shared" ca="1" si="727"/>
        <v>0</v>
      </c>
      <c r="AH92" s="292">
        <f t="shared" ca="1" si="727"/>
        <v>-19.81428142952079</v>
      </c>
      <c r="AI92" s="292">
        <f t="shared" ca="1" si="727"/>
        <v>-25.51695035705346</v>
      </c>
      <c r="AJ92" s="292">
        <f t="shared" ca="1" si="727"/>
        <v>-4.6446209236868228</v>
      </c>
      <c r="AK92" s="292">
        <f t="shared" ca="1" si="727"/>
        <v>0</v>
      </c>
      <c r="AL92" s="292">
        <f t="shared" ca="1" si="727"/>
        <v>-20.83482594489298</v>
      </c>
      <c r="AM92" s="292">
        <f t="shared" ca="1" si="727"/>
        <v>-27.209616290902421</v>
      </c>
      <c r="AN92" s="292">
        <f t="shared" ca="1" si="727"/>
        <v>-6.0845290682977016</v>
      </c>
      <c r="AO92" s="292">
        <f t="shared" ca="1" si="727"/>
        <v>-0.24338671540478884</v>
      </c>
      <c r="AP92" s="292">
        <f t="shared" ca="1" si="727"/>
        <v>-22.668672057670925</v>
      </c>
      <c r="AQ92" s="292">
        <f t="shared" ca="1" si="727"/>
        <v>-28.824728760453731</v>
      </c>
      <c r="AR92" s="292">
        <f t="shared" ca="1" si="727"/>
        <v>-7.2364771355717288</v>
      </c>
      <c r="AS92" s="292">
        <f t="shared" ca="1" si="727"/>
        <v>-0.86373406594914037</v>
      </c>
      <c r="AT92" s="292">
        <f t="shared" ca="1" si="727"/>
        <v>-24.111917581710379</v>
      </c>
      <c r="AU92" s="292">
        <f t="shared" ca="1" si="727"/>
        <v>-30.773829023581232</v>
      </c>
      <c r="AV92" s="292">
        <f t="shared" ca="1" si="727"/>
        <v>-8.8473490221692952</v>
      </c>
      <c r="AW92" s="292">
        <f t="shared" ca="1" si="727"/>
        <v>-2.2611980384037214</v>
      </c>
      <c r="AX92" s="292">
        <f t="shared" ca="1" si="727"/>
        <v>-26.151317948816189</v>
      </c>
      <c r="AY92" s="292">
        <f t="shared" ca="1" si="727"/>
        <v>-32.987906975227119</v>
      </c>
      <c r="AZ92" s="292">
        <f t="shared" ca="1" si="727"/>
        <v>-10.580326903744959</v>
      </c>
      <c r="BA92" s="292">
        <f t="shared" ca="1" si="727"/>
        <v>-3.8654672604220952</v>
      </c>
      <c r="BB92" s="292">
        <f t="shared" ca="1" si="727"/>
        <v>-28.326644793497127</v>
      </c>
      <c r="BC92" s="292">
        <f t="shared" ca="1" si="727"/>
        <v>-34.367852278774521</v>
      </c>
      <c r="BD92" s="292">
        <f t="shared" ca="1" si="727"/>
        <v>-11.473302534209544</v>
      </c>
      <c r="BE92" s="292">
        <f t="shared" ca="1" si="727"/>
        <v>-4.7200283019757183</v>
      </c>
      <c r="BF92" s="292">
        <f t="shared" ca="1" si="727"/>
        <v>-29.362670252098368</v>
      </c>
      <c r="BG92" s="292">
        <f t="shared" ca="1" si="727"/>
        <v>-36.437886810614067</v>
      </c>
      <c r="BH92" s="292">
        <f t="shared" ca="1" si="727"/>
        <v>-13.387364667826462</v>
      </c>
      <c r="BI92" s="292">
        <f t="shared" ca="1" si="727"/>
        <v>-6.5033418610253015</v>
      </c>
      <c r="BJ92" s="292">
        <f t="shared" ca="1" si="727"/>
        <v>-31.73613447248454</v>
      </c>
      <c r="BK92" s="292">
        <f t="shared" ca="1" si="727"/>
        <v>-38.998697733424898</v>
      </c>
      <c r="BL92" s="292">
        <f t="shared" ca="1" si="727"/>
        <v>-15.44451062172379</v>
      </c>
      <c r="BM92" s="292">
        <f t="shared" ca="1" si="727"/>
        <v>-8.4282237006645033</v>
      </c>
      <c r="BN92" s="292">
        <f t="shared" ca="1" si="727"/>
        <v>-34.266218555955021</v>
      </c>
      <c r="BO92" s="292">
        <f t="shared" ca="1" si="727"/>
        <v>-41.721958578347689</v>
      </c>
      <c r="BP92" s="292">
        <f t="shared" ca="1" si="727"/>
        <v>-17.654101014208635</v>
      </c>
      <c r="BQ92" s="292">
        <f t="shared" ca="1" si="727"/>
        <v>-10.504091673528691</v>
      </c>
      <c r="BR92" s="292">
        <f t="shared" ca="1" si="727"/>
        <v>-36.962779207405035</v>
      </c>
      <c r="BS92" s="292">
        <f t="shared" ca="1" si="727"/>
        <v>-44.617754692526674</v>
      </c>
      <c r="BT92" s="292">
        <f t="shared" ref="BT92:EE92" ca="1" si="728">-BT195</f>
        <v>-20.026087854730541</v>
      </c>
      <c r="BU92" s="292">
        <f t="shared" ca="1" si="728"/>
        <v>-12.740962077009613</v>
      </c>
      <c r="BV92" s="292">
        <f t="shared" ca="1" si="728"/>
        <v>-39.836287476133002</v>
      </c>
      <c r="BW92" s="292">
        <f t="shared" ca="1" si="728"/>
        <v>-47.696796932088276</v>
      </c>
      <c r="BX92" s="292">
        <f t="shared" ca="1" si="728"/>
        <v>-22.57105160948457</v>
      </c>
      <c r="BY92" s="292">
        <f t="shared" ca="1" si="728"/>
        <v>-15.149487240533283</v>
      </c>
      <c r="BZ92" s="292">
        <f t="shared" ca="1" si="728"/>
        <v>-42.897867073339768</v>
      </c>
      <c r="CA92" s="292">
        <f t="shared" ca="1" si="728"/>
        <v>-50.970460606808345</v>
      </c>
      <c r="CB92" s="292">
        <f t="shared" ca="1" si="728"/>
        <v>-25.300240590372802</v>
      </c>
      <c r="CC92" s="292">
        <f t="shared" ca="1" si="728"/>
        <v>-17.740995470807952</v>
      </c>
      <c r="CD92" s="292">
        <f t="shared" ca="1" si="728"/>
        <v>-46.159335087345681</v>
      </c>
      <c r="CE92" s="292">
        <f t="shared" ca="1" si="728"/>
        <v>-52.947584902393402</v>
      </c>
      <c r="CF92" s="292">
        <f t="shared" ca="1" si="728"/>
        <v>-26.728254765815493</v>
      </c>
      <c r="CG92" s="292">
        <f t="shared" ca="1" si="728"/>
        <v>-19.171766735680606</v>
      </c>
      <c r="CH92" s="292">
        <f t="shared" ca="1" si="728"/>
        <v>-47.654708200352843</v>
      </c>
      <c r="CI92" s="292">
        <f t="shared" ca="1" si="728"/>
        <v>-55.976524684357358</v>
      </c>
      <c r="CJ92" s="292">
        <f t="shared" ca="1" si="728"/>
        <v>-29.722706719769825</v>
      </c>
      <c r="CK92" s="292">
        <f t="shared" ca="1" si="728"/>
        <v>-22.027978832391256</v>
      </c>
      <c r="CL92" s="292">
        <f t="shared" ca="1" si="728"/>
        <v>-51.200314085005246</v>
      </c>
      <c r="CM92" s="292">
        <f t="shared" ca="1" si="728"/>
        <v>-59.749363299730007</v>
      </c>
      <c r="CN92" s="292">
        <f t="shared" ca="1" si="728"/>
        <v>-32.929812161629123</v>
      </c>
      <c r="CO92" s="292">
        <f t="shared" ca="1" si="728"/>
        <v>-25.09583539399641</v>
      </c>
      <c r="CP92" s="292">
        <f t="shared" ca="1" si="728"/>
        <v>-54.975582437287635</v>
      </c>
      <c r="CQ92" s="292">
        <f t="shared" ca="1" si="728"/>
        <v>-63.75930912406173</v>
      </c>
      <c r="CR92" s="292">
        <f t="shared" ca="1" si="728"/>
        <v>-36.363304830084871</v>
      </c>
      <c r="CS92" s="292">
        <f t="shared" ca="1" si="728"/>
        <v>-28.389181374934505</v>
      </c>
      <c r="CT92" s="292">
        <f t="shared" ca="1" si="728"/>
        <v>-58.994908149289095</v>
      </c>
      <c r="CU92" s="312">
        <f t="shared" ca="1" si="728"/>
        <v>-68.02106641386716</v>
      </c>
      <c r="CV92" s="292">
        <f t="shared" ca="1" si="728"/>
        <v>0</v>
      </c>
      <c r="CW92" s="292">
        <f t="shared" ca="1" si="728"/>
        <v>0</v>
      </c>
      <c r="CX92" s="292">
        <f t="shared" ca="1" si="728"/>
        <v>0</v>
      </c>
      <c r="CY92" s="292">
        <f t="shared" ca="1" si="728"/>
        <v>0</v>
      </c>
      <c r="CZ92" s="292">
        <f t="shared" ca="1" si="728"/>
        <v>0</v>
      </c>
      <c r="DA92" s="292">
        <f t="shared" ca="1" si="728"/>
        <v>0</v>
      </c>
      <c r="DB92" s="292">
        <f t="shared" ca="1" si="728"/>
        <v>0</v>
      </c>
      <c r="DC92" s="292">
        <f t="shared" ca="1" si="728"/>
        <v>0</v>
      </c>
      <c r="DD92" s="292">
        <f t="shared" ca="1" si="728"/>
        <v>0</v>
      </c>
      <c r="DE92" s="292">
        <f t="shared" ca="1" si="728"/>
        <v>0</v>
      </c>
      <c r="DF92" s="292">
        <f t="shared" ca="1" si="728"/>
        <v>0</v>
      </c>
      <c r="DG92" s="292">
        <f t="shared" ca="1" si="728"/>
        <v>0</v>
      </c>
      <c r="DH92" s="292">
        <f t="shared" ca="1" si="728"/>
        <v>0</v>
      </c>
      <c r="DI92" s="292">
        <f t="shared" ca="1" si="728"/>
        <v>0</v>
      </c>
      <c r="DJ92" s="292">
        <f t="shared" ca="1" si="728"/>
        <v>0</v>
      </c>
      <c r="DK92" s="292">
        <f t="shared" ca="1" si="728"/>
        <v>0</v>
      </c>
      <c r="DL92" s="292">
        <f t="shared" ca="1" si="728"/>
        <v>0</v>
      </c>
      <c r="DM92" s="292">
        <f t="shared" ca="1" si="728"/>
        <v>0</v>
      </c>
      <c r="DN92" s="292">
        <f t="shared" ca="1" si="728"/>
        <v>0</v>
      </c>
      <c r="DO92" s="292">
        <f t="shared" ca="1" si="728"/>
        <v>0</v>
      </c>
      <c r="DP92" s="292">
        <f t="shared" ca="1" si="728"/>
        <v>0</v>
      </c>
      <c r="DQ92" s="292">
        <f t="shared" ca="1" si="728"/>
        <v>0</v>
      </c>
      <c r="DR92" s="292">
        <f t="shared" ca="1" si="728"/>
        <v>0</v>
      </c>
      <c r="DS92" s="292">
        <f t="shared" ca="1" si="728"/>
        <v>0</v>
      </c>
      <c r="DT92" s="292">
        <f t="shared" ca="1" si="728"/>
        <v>0</v>
      </c>
      <c r="DU92" s="292">
        <f t="shared" ca="1" si="728"/>
        <v>0</v>
      </c>
      <c r="DV92" s="292">
        <f t="shared" ca="1" si="728"/>
        <v>0</v>
      </c>
      <c r="DW92" s="292">
        <f t="shared" ca="1" si="728"/>
        <v>0</v>
      </c>
      <c r="DX92" s="292">
        <f t="shared" ca="1" si="728"/>
        <v>0</v>
      </c>
      <c r="DY92" s="292">
        <f t="shared" ca="1" si="728"/>
        <v>0</v>
      </c>
      <c r="DZ92" s="292">
        <f t="shared" ca="1" si="728"/>
        <v>0</v>
      </c>
      <c r="EA92" s="292">
        <f t="shared" ca="1" si="728"/>
        <v>0</v>
      </c>
      <c r="EB92" s="292">
        <f t="shared" ca="1" si="728"/>
        <v>0</v>
      </c>
      <c r="EC92" s="292">
        <f t="shared" ca="1" si="728"/>
        <v>0</v>
      </c>
      <c r="ED92" s="292">
        <f t="shared" ca="1" si="728"/>
        <v>0</v>
      </c>
      <c r="EE92" s="292">
        <f t="shared" ca="1" si="728"/>
        <v>0</v>
      </c>
      <c r="EF92" s="292">
        <f t="shared" ref="EF92:FA92" ca="1" si="729">-EF195</f>
        <v>0</v>
      </c>
      <c r="EG92" s="292">
        <f t="shared" ca="1" si="729"/>
        <v>0</v>
      </c>
      <c r="EH92" s="292">
        <f t="shared" ca="1" si="729"/>
        <v>0</v>
      </c>
      <c r="EI92" s="292">
        <f t="shared" ca="1" si="729"/>
        <v>0</v>
      </c>
      <c r="EJ92" s="292">
        <f t="shared" ca="1" si="729"/>
        <v>0</v>
      </c>
      <c r="EK92" s="292">
        <f t="shared" ca="1" si="729"/>
        <v>0</v>
      </c>
      <c r="EL92" s="292">
        <f t="shared" ca="1" si="729"/>
        <v>0</v>
      </c>
      <c r="EM92" s="292">
        <f t="shared" ca="1" si="729"/>
        <v>0</v>
      </c>
      <c r="EN92" s="292">
        <f t="shared" ca="1" si="729"/>
        <v>0</v>
      </c>
      <c r="EO92" s="292">
        <f t="shared" ca="1" si="729"/>
        <v>0</v>
      </c>
      <c r="EP92" s="292">
        <f t="shared" ca="1" si="729"/>
        <v>0</v>
      </c>
      <c r="EQ92" s="292">
        <f t="shared" ca="1" si="729"/>
        <v>0</v>
      </c>
      <c r="ER92" s="292">
        <f t="shared" ca="1" si="729"/>
        <v>0</v>
      </c>
      <c r="ES92" s="292">
        <f t="shared" ca="1" si="729"/>
        <v>0</v>
      </c>
      <c r="ET92" s="292">
        <f t="shared" ca="1" si="729"/>
        <v>0</v>
      </c>
      <c r="EU92" s="292">
        <f t="shared" ca="1" si="729"/>
        <v>0</v>
      </c>
      <c r="EV92" s="292">
        <f t="shared" ca="1" si="729"/>
        <v>0</v>
      </c>
      <c r="EW92" s="292">
        <f t="shared" ca="1" si="729"/>
        <v>0</v>
      </c>
      <c r="EX92" s="292">
        <f t="shared" ca="1" si="729"/>
        <v>0</v>
      </c>
      <c r="EY92" s="292">
        <f t="shared" ca="1" si="729"/>
        <v>0</v>
      </c>
      <c r="EZ92" s="292">
        <f t="shared" ca="1" si="729"/>
        <v>0</v>
      </c>
      <c r="FA92" s="292">
        <f t="shared" ca="1" si="729"/>
        <v>0</v>
      </c>
    </row>
    <row r="93" spans="1:157" s="206" customFormat="1" outlineLevel="1" x14ac:dyDescent="0.2">
      <c r="A93"/>
      <c r="B93"/>
      <c r="C93" s="277" t="s">
        <v>439</v>
      </c>
      <c r="D93" s="64" t="s">
        <v>126</v>
      </c>
      <c r="E93" s="276"/>
      <c r="F93" s="276"/>
      <c r="G93" s="210">
        <f t="shared" ref="G93:W93" ca="1" si="730">SUM(G89:G92)</f>
        <v>0</v>
      </c>
      <c r="H93" s="210">
        <f t="shared" ca="1" si="730"/>
        <v>0</v>
      </c>
      <c r="I93" s="210">
        <f t="shared" ca="1" si="730"/>
        <v>0</v>
      </c>
      <c r="J93" s="210">
        <f t="shared" ca="1" si="730"/>
        <v>0</v>
      </c>
      <c r="K93" s="210">
        <f t="shared" ca="1" si="730"/>
        <v>0</v>
      </c>
      <c r="L93" s="210">
        <f t="shared" ca="1" si="730"/>
        <v>0</v>
      </c>
      <c r="M93" s="210">
        <f t="shared" ca="1" si="730"/>
        <v>0</v>
      </c>
      <c r="N93" s="210">
        <f t="shared" ca="1" si="730"/>
        <v>0</v>
      </c>
      <c r="O93" s="210">
        <f t="shared" ca="1" si="730"/>
        <v>0</v>
      </c>
      <c r="P93" s="210">
        <f t="shared" ca="1" si="730"/>
        <v>0</v>
      </c>
      <c r="Q93" s="210">
        <f t="shared" ca="1" si="730"/>
        <v>0</v>
      </c>
      <c r="R93" s="210">
        <f t="shared" ca="1" si="730"/>
        <v>0</v>
      </c>
      <c r="S93" s="210">
        <f t="shared" ca="1" si="730"/>
        <v>0</v>
      </c>
      <c r="T93" s="210">
        <f t="shared" ca="1" si="730"/>
        <v>0</v>
      </c>
      <c r="U93" s="210">
        <f t="shared" ca="1" si="730"/>
        <v>0</v>
      </c>
      <c r="V93" s="210">
        <f t="shared" ca="1" si="730"/>
        <v>0</v>
      </c>
      <c r="W93" s="210">
        <f t="shared" ca="1" si="730"/>
        <v>0</v>
      </c>
      <c r="X93" s="210">
        <f ca="1">SUM(X89:X92)</f>
        <v>9.2823158788425033</v>
      </c>
      <c r="Y93" s="210">
        <f t="shared" ref="Y93:CJ93" ca="1" si="731">SUM(Y89:Y92)</f>
        <v>2.8467462622716724</v>
      </c>
      <c r="Z93" s="210">
        <f t="shared" ca="1" si="731"/>
        <v>13.846103485956348</v>
      </c>
      <c r="AA93" s="210">
        <f t="shared" ca="1" si="731"/>
        <v>15.562059517686592</v>
      </c>
      <c r="AB93" s="210">
        <f t="shared" ca="1" si="731"/>
        <v>9.468838973983253</v>
      </c>
      <c r="AC93" s="210">
        <f t="shared" ca="1" si="731"/>
        <v>4.1033323536767909</v>
      </c>
      <c r="AD93" s="210">
        <f t="shared" ca="1" si="731"/>
        <v>14.136999402183989</v>
      </c>
      <c r="AE93" s="210">
        <f t="shared" ca="1" si="731"/>
        <v>15.892151676050496</v>
      </c>
      <c r="AF93" s="210">
        <f t="shared" ca="1" si="731"/>
        <v>9.6589054960511902</v>
      </c>
      <c r="AG93" s="210">
        <f t="shared" ca="1" si="731"/>
        <v>5.4416260246089081</v>
      </c>
      <c r="AH93" s="210">
        <f t="shared" ca="1" si="731"/>
        <v>14.433823893010029</v>
      </c>
      <c r="AI93" s="210">
        <f t="shared" ca="1" si="731"/>
        <v>16.053879363788631</v>
      </c>
      <c r="AJ93" s="210">
        <f t="shared" ca="1" si="731"/>
        <v>9.6807241606376024</v>
      </c>
      <c r="AK93" s="210">
        <f t="shared" ca="1" si="731"/>
        <v>6.1861694711246749</v>
      </c>
      <c r="AL93" s="210">
        <f t="shared" ca="1" si="731"/>
        <v>14.5137930573345</v>
      </c>
      <c r="AM93" s="210">
        <f t="shared" ca="1" si="731"/>
        <v>16.330726459965664</v>
      </c>
      <c r="AN93" s="210">
        <f t="shared" ca="1" si="731"/>
        <v>9.8741166404956964</v>
      </c>
      <c r="AO93" s="210">
        <f t="shared" ca="1" si="731"/>
        <v>7.4086161605129064</v>
      </c>
      <c r="AP93" s="210">
        <f t="shared" ca="1" si="731"/>
        <v>14.817706874239228</v>
      </c>
      <c r="AQ93" s="210">
        <f t="shared" ca="1" si="731"/>
        <v>16.560746187438113</v>
      </c>
      <c r="AR93" s="210">
        <f t="shared" ca="1" si="731"/>
        <v>9.957951875456839</v>
      </c>
      <c r="AS93" s="210">
        <f t="shared" ca="1" si="731"/>
        <v>7.902522408288716</v>
      </c>
      <c r="AT93" s="210">
        <f t="shared" ca="1" si="731"/>
        <v>14.980965315624978</v>
      </c>
      <c r="AU93" s="210">
        <f t="shared" ca="1" si="731"/>
        <v>16.869118730016549</v>
      </c>
      <c r="AV93" s="210">
        <f t="shared" ca="1" si="731"/>
        <v>10.156083011266295</v>
      </c>
      <c r="AW93" s="210">
        <f t="shared" ca="1" si="731"/>
        <v>8.1415971289003988</v>
      </c>
      <c r="AX93" s="210">
        <f t="shared" ca="1" si="731"/>
        <v>15.293954528402733</v>
      </c>
      <c r="AY93" s="210">
        <f t="shared" ca="1" si="731"/>
        <v>17.225228846084676</v>
      </c>
      <c r="AZ93" s="210">
        <f t="shared" ca="1" si="731"/>
        <v>10.357915275409377</v>
      </c>
      <c r="BA93" s="210">
        <f t="shared" ca="1" si="731"/>
        <v>8.2969817851233483</v>
      </c>
      <c r="BB93" s="210">
        <f t="shared" ca="1" si="731"/>
        <v>15.61326914508383</v>
      </c>
      <c r="BC93" s="210">
        <f t="shared" ca="1" si="731"/>
        <v>17.296216569512197</v>
      </c>
      <c r="BD93" s="210">
        <f t="shared" ca="1" si="731"/>
        <v>10.276646114372866</v>
      </c>
      <c r="BE93" s="210">
        <f t="shared" ca="1" si="731"/>
        <v>8.2001432146659408</v>
      </c>
      <c r="BF93" s="210">
        <f t="shared" ca="1" si="731"/>
        <v>15.566956228660651</v>
      </c>
      <c r="BG93" s="210">
        <f t="shared" ca="1" si="731"/>
        <v>17.555204451891477</v>
      </c>
      <c r="BH93" s="210">
        <f t="shared" ca="1" si="731"/>
        <v>10.479481887837077</v>
      </c>
      <c r="BI93" s="210">
        <f t="shared" ca="1" si="731"/>
        <v>8.3550959185216591</v>
      </c>
      <c r="BJ93" s="210">
        <f t="shared" ca="1" si="731"/>
        <v>15.890748393995775</v>
      </c>
      <c r="BK93" s="210">
        <f t="shared" ca="1" si="731"/>
        <v>17.924396436771666</v>
      </c>
      <c r="BL93" s="210">
        <f t="shared" ca="1" si="731"/>
        <v>10.686053971777834</v>
      </c>
      <c r="BM93" s="210">
        <f t="shared" ca="1" si="731"/>
        <v>8.5126796744501476</v>
      </c>
      <c r="BN93" s="210">
        <f t="shared" ca="1" si="731"/>
        <v>16.221040091215819</v>
      </c>
      <c r="BO93" s="210">
        <f t="shared" ca="1" si="731"/>
        <v>18.301123449389856</v>
      </c>
      <c r="BP93" s="210">
        <f t="shared" ca="1" si="731"/>
        <v>10.896422482241597</v>
      </c>
      <c r="BQ93" s="210">
        <f t="shared" ca="1" si="731"/>
        <v>8.6729290554941159</v>
      </c>
      <c r="BR93" s="210">
        <f t="shared" ca="1" si="731"/>
        <v>16.557954496422568</v>
      </c>
      <c r="BS93" s="210">
        <f t="shared" ca="1" si="731"/>
        <v>18.685532250687288</v>
      </c>
      <c r="BT93" s="210">
        <f t="shared" ca="1" si="731"/>
        <v>11.110648198235172</v>
      </c>
      <c r="BU93" s="210">
        <f t="shared" ca="1" si="731"/>
        <v>8.8358787064764748</v>
      </c>
      <c r="BV93" s="210">
        <f t="shared" ca="1" si="731"/>
        <v>16.901616885935574</v>
      </c>
      <c r="BW93" s="210">
        <f t="shared" ca="1" si="731"/>
        <v>19.07777223805779</v>
      </c>
      <c r="BX93" s="210">
        <f t="shared" ca="1" si="731"/>
        <v>11.328792556860037</v>
      </c>
      <c r="BY93" s="210">
        <f t="shared" ca="1" si="731"/>
        <v>9.0015633254276892</v>
      </c>
      <c r="BZ93" s="210">
        <f t="shared" ca="1" si="731"/>
        <v>17.252154664131709</v>
      </c>
      <c r="CA93" s="210">
        <f t="shared" ca="1" si="731"/>
        <v>19.477995485352196</v>
      </c>
      <c r="CB93" s="210">
        <f t="shared" ca="1" si="731"/>
        <v>11.55091764777135</v>
      </c>
      <c r="CC93" s="210">
        <f t="shared" ca="1" si="731"/>
        <v>9.1700176440192394</v>
      </c>
      <c r="CD93" s="210">
        <f t="shared" ca="1" si="731"/>
        <v>17.609697391352086</v>
      </c>
      <c r="CE93" s="210">
        <f t="shared" ca="1" si="731"/>
        <v>19.435675429430688</v>
      </c>
      <c r="CF93" s="210">
        <f t="shared" ca="1" si="731"/>
        <v>11.334985377352169</v>
      </c>
      <c r="CG93" s="210">
        <f t="shared" ca="1" si="731"/>
        <v>8.948415645687632</v>
      </c>
      <c r="CH93" s="210">
        <f t="shared" ca="1" si="731"/>
        <v>17.400953995800734</v>
      </c>
      <c r="CI93" s="210">
        <f t="shared" ca="1" si="731"/>
        <v>19.679901928063103</v>
      </c>
      <c r="CJ93" s="210">
        <f t="shared" ca="1" si="731"/>
        <v>11.555114566000171</v>
      </c>
      <c r="CK93" s="210">
        <f t="shared" ref="CK93:EV93" ca="1" si="732">SUM(CK89:CK92)</f>
        <v>9.1134974345986883</v>
      </c>
      <c r="CL93" s="210">
        <f t="shared" ca="1" si="732"/>
        <v>17.759744012157313</v>
      </c>
      <c r="CM93" s="210">
        <f t="shared" ca="1" si="732"/>
        <v>20.090714355309743</v>
      </c>
      <c r="CN93" s="210">
        <f t="shared" ca="1" si="732"/>
        <v>11.779181749403556</v>
      </c>
      <c r="CO93" s="210">
        <f t="shared" ca="1" si="732"/>
        <v>9.2812461878692289</v>
      </c>
      <c r="CP93" s="210">
        <f t="shared" ca="1" si="732"/>
        <v>18.125638850885018</v>
      </c>
      <c r="CQ93" s="210">
        <f t="shared" ca="1" si="732"/>
        <v>20.509817719843809</v>
      </c>
      <c r="CR93" s="210">
        <f t="shared" ca="1" si="732"/>
        <v>12.007246213357426</v>
      </c>
      <c r="CS93" s="210">
        <f t="shared" ca="1" si="732"/>
        <v>9.4516918059765267</v>
      </c>
      <c r="CT93" s="210">
        <f t="shared" ca="1" si="732"/>
        <v>18.498770044640274</v>
      </c>
      <c r="CU93" s="278">
        <f t="shared" ca="1" si="732"/>
        <v>20.93737055749439</v>
      </c>
      <c r="CV93" s="210">
        <f t="shared" ca="1" si="732"/>
        <v>19.359145747212487</v>
      </c>
      <c r="CW93" s="210">
        <f t="shared" ca="1" si="732"/>
        <v>-4.0012472901862992</v>
      </c>
      <c r="CX93" s="210">
        <f t="shared" ca="1" si="732"/>
        <v>14.960474583765521</v>
      </c>
      <c r="CY93" s="210">
        <f t="shared" ca="1" si="732"/>
        <v>19.362992797710039</v>
      </c>
      <c r="CZ93" s="210">
        <f t="shared" ca="1" si="732"/>
        <v>0.81112863905260468</v>
      </c>
      <c r="DA93" s="210">
        <f t="shared" ca="1" si="732"/>
        <v>-4.9812678395834631</v>
      </c>
      <c r="DB93" s="210">
        <f t="shared" ca="1" si="732"/>
        <v>14.097999959817733</v>
      </c>
      <c r="DC93" s="210">
        <f t="shared" ca="1" si="732"/>
        <v>19.317100563747296</v>
      </c>
      <c r="DD93" s="210">
        <f t="shared" ca="1" si="732"/>
        <v>0.63075250927223436</v>
      </c>
      <c r="DE93" s="210">
        <f t="shared" ca="1" si="732"/>
        <v>-5.2959507836985269</v>
      </c>
      <c r="DF93" s="210">
        <f t="shared" ca="1" si="732"/>
        <v>14.219805424285273</v>
      </c>
      <c r="DG93" s="210">
        <f t="shared" ca="1" si="732"/>
        <v>19.557294061828777</v>
      </c>
      <c r="DH93" s="210">
        <f t="shared" ca="1" si="732"/>
        <v>0.44069439040100189</v>
      </c>
      <c r="DI93" s="210">
        <f t="shared" ca="1" si="732"/>
        <v>-5.6234363425838332</v>
      </c>
      <c r="DJ93" s="210">
        <f t="shared" ca="1" si="732"/>
        <v>14.33878713365227</v>
      </c>
      <c r="DK93" s="210">
        <f t="shared" ca="1" si="732"/>
        <v>19.797341994018819</v>
      </c>
      <c r="DL93" s="210">
        <f t="shared" ca="1" si="732"/>
        <v>0.24057734616101278</v>
      </c>
      <c r="DM93" s="210">
        <f t="shared" ca="1" si="732"/>
        <v>-5.964174142024059</v>
      </c>
      <c r="DN93" s="210">
        <f t="shared" ca="1" si="732"/>
        <v>14.454723398386506</v>
      </c>
      <c r="DO93" s="210">
        <f t="shared" ca="1" si="732"/>
        <v>20.037083049169642</v>
      </c>
      <c r="DP93" s="210">
        <f t="shared" ca="1" si="732"/>
        <v>3.0011460213558827E-2</v>
      </c>
      <c r="DQ93" s="210">
        <f t="shared" ca="1" si="732"/>
        <v>-6.3186284861178219</v>
      </c>
      <c r="DR93" s="210">
        <f t="shared" ca="1" si="732"/>
        <v>14.567383051541377</v>
      </c>
      <c r="DS93" s="210">
        <f t="shared" ca="1" si="732"/>
        <v>20.276347793955345</v>
      </c>
      <c r="DT93" s="210">
        <f t="shared" ca="1" si="732"/>
        <v>-0.19140658310651659</v>
      </c>
      <c r="DU93" s="210">
        <f t="shared" ca="1" si="732"/>
        <v>-6.687278816361359</v>
      </c>
      <c r="DV93" s="210">
        <f t="shared" ca="1" si="732"/>
        <v>14.676525108183675</v>
      </c>
      <c r="DW93" s="210">
        <f t="shared" ca="1" si="732"/>
        <v>20.514958362547389</v>
      </c>
      <c r="DX93" s="210">
        <f t="shared" ca="1" si="732"/>
        <v>-0.42409393108694537</v>
      </c>
      <c r="DY93" s="210">
        <f t="shared" ca="1" si="732"/>
        <v>-7.070620184700612</v>
      </c>
      <c r="DZ93" s="210">
        <f t="shared" ca="1" si="732"/>
        <v>14.78189841354871</v>
      </c>
      <c r="EA93" s="210">
        <f t="shared" ca="1" si="732"/>
        <v>20.752728135687192</v>
      </c>
      <c r="EB93" s="210">
        <f t="shared" ca="1" si="732"/>
        <v>-0.66848200836048299</v>
      </c>
      <c r="EC93" s="210">
        <f t="shared" ca="1" si="732"/>
        <v>-7.4691637409691687</v>
      </c>
      <c r="ED93" s="210">
        <f t="shared" ca="1" si="732"/>
        <v>14.883241279566935</v>
      </c>
      <c r="EE93" s="210">
        <f t="shared" ca="1" si="732"/>
        <v>20.989461408815462</v>
      </c>
      <c r="EF93" s="210">
        <f t="shared" ca="1" si="732"/>
        <v>-0.92501697645963077</v>
      </c>
      <c r="EG93" s="210">
        <f t="shared" ca="1" si="732"/>
        <v>-7.8834372351410078</v>
      </c>
      <c r="EH93" s="210">
        <f t="shared" ca="1" si="732"/>
        <v>14.980281109395586</v>
      </c>
      <c r="EI93" s="210">
        <f t="shared" ca="1" si="732"/>
        <v>-426.49576623936605</v>
      </c>
      <c r="EJ93" s="210">
        <f t="shared" ca="1" si="732"/>
        <v>20.99939837536343</v>
      </c>
      <c r="EK93" s="210">
        <f t="shared" ca="1" si="732"/>
        <v>0</v>
      </c>
      <c r="EL93" s="210">
        <f t="shared" ca="1" si="732"/>
        <v>0</v>
      </c>
      <c r="EM93" s="210">
        <f t="shared" ca="1" si="732"/>
        <v>0</v>
      </c>
      <c r="EN93" s="210">
        <f t="shared" ca="1" si="732"/>
        <v>0</v>
      </c>
      <c r="EO93" s="210">
        <f t="shared" ca="1" si="732"/>
        <v>0</v>
      </c>
      <c r="EP93" s="210">
        <f t="shared" ca="1" si="732"/>
        <v>0</v>
      </c>
      <c r="EQ93" s="210">
        <f t="shared" ca="1" si="732"/>
        <v>0</v>
      </c>
      <c r="ER93" s="210">
        <f t="shared" ca="1" si="732"/>
        <v>0</v>
      </c>
      <c r="ES93" s="210">
        <f t="shared" ca="1" si="732"/>
        <v>0</v>
      </c>
      <c r="ET93" s="210">
        <f t="shared" ca="1" si="732"/>
        <v>0</v>
      </c>
      <c r="EU93" s="210">
        <f t="shared" ca="1" si="732"/>
        <v>0</v>
      </c>
      <c r="EV93" s="210">
        <f t="shared" ca="1" si="732"/>
        <v>0</v>
      </c>
      <c r="EW93" s="210">
        <f t="shared" ref="EW93:FA93" ca="1" si="733">SUM(EW89:EW92)</f>
        <v>0</v>
      </c>
      <c r="EX93" s="210">
        <f t="shared" ca="1" si="733"/>
        <v>0</v>
      </c>
      <c r="EY93" s="210">
        <f t="shared" ca="1" si="733"/>
        <v>0</v>
      </c>
      <c r="EZ93" s="210">
        <f t="shared" ca="1" si="733"/>
        <v>0</v>
      </c>
      <c r="FA93" s="210">
        <f t="shared" ca="1" si="733"/>
        <v>0</v>
      </c>
    </row>
    <row r="94" spans="1:157" outlineLevel="1" x14ac:dyDescent="0.2">
      <c r="C94" s="9" t="s">
        <v>422</v>
      </c>
      <c r="D94" s="21" t="s">
        <v>126</v>
      </c>
      <c r="E94" s="119"/>
      <c r="F94" s="119"/>
      <c r="G94" s="119">
        <f ca="1">-G117</f>
        <v>0</v>
      </c>
      <c r="H94" s="119">
        <f t="shared" ref="H94:BS94" ca="1" si="734">-H117</f>
        <v>0</v>
      </c>
      <c r="I94" s="119">
        <f t="shared" ca="1" si="734"/>
        <v>0</v>
      </c>
      <c r="J94" s="119">
        <f t="shared" ca="1" si="734"/>
        <v>0</v>
      </c>
      <c r="K94" s="119">
        <f t="shared" ca="1" si="734"/>
        <v>0</v>
      </c>
      <c r="L94" s="119">
        <f t="shared" ca="1" si="734"/>
        <v>0</v>
      </c>
      <c r="M94" s="119">
        <f t="shared" ca="1" si="734"/>
        <v>0</v>
      </c>
      <c r="N94" s="119">
        <f t="shared" ca="1" si="734"/>
        <v>0</v>
      </c>
      <c r="O94" s="119">
        <f t="shared" ca="1" si="734"/>
        <v>0</v>
      </c>
      <c r="P94" s="119">
        <f t="shared" ca="1" si="734"/>
        <v>0</v>
      </c>
      <c r="Q94" s="119">
        <f t="shared" ca="1" si="734"/>
        <v>0</v>
      </c>
      <c r="R94" s="119">
        <f t="shared" ca="1" si="734"/>
        <v>0</v>
      </c>
      <c r="S94" s="119">
        <f t="shared" ca="1" si="734"/>
        <v>0</v>
      </c>
      <c r="T94" s="119">
        <f t="shared" ca="1" si="734"/>
        <v>0</v>
      </c>
      <c r="U94" s="119">
        <f t="shared" ca="1" si="734"/>
        <v>0</v>
      </c>
      <c r="V94" s="119">
        <f t="shared" ca="1" si="734"/>
        <v>0</v>
      </c>
      <c r="W94" s="119">
        <f t="shared" ca="1" si="734"/>
        <v>0</v>
      </c>
      <c r="X94" s="119">
        <f t="shared" ca="1" si="734"/>
        <v>-9.2823158788425033</v>
      </c>
      <c r="Y94" s="119">
        <f t="shared" ca="1" si="734"/>
        <v>-2.8467462622716724</v>
      </c>
      <c r="Z94" s="119">
        <f t="shared" ca="1" si="734"/>
        <v>-10.747261718394128</v>
      </c>
      <c r="AA94" s="119">
        <f t="shared" ca="1" si="734"/>
        <v>0</v>
      </c>
      <c r="AB94" s="119">
        <f t="shared" ca="1" si="734"/>
        <v>-9.468838973983253</v>
      </c>
      <c r="AC94" s="119">
        <f t="shared" ca="1" si="734"/>
        <v>-4.1033323536767909</v>
      </c>
      <c r="AD94" s="119">
        <f t="shared" ca="1" si="734"/>
        <v>-11.043417162780088</v>
      </c>
      <c r="AE94" s="119">
        <f t="shared" ca="1" si="734"/>
        <v>0</v>
      </c>
      <c r="AF94" s="119">
        <f t="shared" ca="1" si="734"/>
        <v>-9.6589054960511902</v>
      </c>
      <c r="AG94" s="119">
        <f t="shared" ca="1" si="734"/>
        <v>-5.4416260246089081</v>
      </c>
      <c r="AH94" s="119">
        <f t="shared" ca="1" si="734"/>
        <v>-10.190200329956667</v>
      </c>
      <c r="AI94" s="119">
        <f t="shared" ca="1" si="734"/>
        <v>0</v>
      </c>
      <c r="AJ94" s="119">
        <f t="shared" ca="1" si="734"/>
        <v>-9.6807241606376024</v>
      </c>
      <c r="AK94" s="119">
        <f t="shared" ca="1" si="734"/>
        <v>-6.1861694711246749</v>
      </c>
      <c r="AL94" s="119">
        <f t="shared" ca="1" si="734"/>
        <v>-11.673348878603832</v>
      </c>
      <c r="AM94" s="119">
        <f t="shared" ca="1" si="734"/>
        <v>0</v>
      </c>
      <c r="AN94" s="119">
        <f t="shared" ca="1" si="734"/>
        <v>-9.8741166404956964</v>
      </c>
      <c r="AO94" s="119">
        <f t="shared" ca="1" si="734"/>
        <v>-7.4086161605129064</v>
      </c>
      <c r="AP94" s="119">
        <f t="shared" ca="1" si="734"/>
        <v>-11.232556346599836</v>
      </c>
      <c r="AQ94" s="119">
        <f t="shared" ca="1" si="734"/>
        <v>0</v>
      </c>
      <c r="AR94" s="119">
        <f t="shared" ca="1" si="734"/>
        <v>-9.957951875456839</v>
      </c>
      <c r="AS94" s="119">
        <f t="shared" ca="1" si="734"/>
        <v>-7.902522408288716</v>
      </c>
      <c r="AT94" s="119">
        <f t="shared" ca="1" si="734"/>
        <v>-12.334017445770471</v>
      </c>
      <c r="AU94" s="119">
        <f t="shared" ca="1" si="734"/>
        <v>0</v>
      </c>
      <c r="AV94" s="119">
        <f t="shared" ca="1" si="734"/>
        <v>-10.156083011266295</v>
      </c>
      <c r="AW94" s="119">
        <f t="shared" ca="1" si="734"/>
        <v>-8.1415971289003988</v>
      </c>
      <c r="AX94" s="119">
        <f t="shared" ca="1" si="734"/>
        <v>-12.673867577957722</v>
      </c>
      <c r="AY94" s="119">
        <f t="shared" ca="1" si="734"/>
        <v>0</v>
      </c>
      <c r="AZ94" s="119">
        <f t="shared" ca="1" si="734"/>
        <v>-10.357915275409377</v>
      </c>
      <c r="BA94" s="119">
        <f t="shared" ca="1" si="734"/>
        <v>-8.2969817851233483</v>
      </c>
      <c r="BB94" s="119">
        <f t="shared" ca="1" si="734"/>
        <v>-11.09086453066854</v>
      </c>
      <c r="BC94" s="119">
        <f t="shared" ca="1" si="734"/>
        <v>0</v>
      </c>
      <c r="BD94" s="119">
        <f t="shared" ca="1" si="734"/>
        <v>-10.276646114372866</v>
      </c>
      <c r="BE94" s="119">
        <f t="shared" ca="1" si="734"/>
        <v>-8.2001432146659408</v>
      </c>
      <c r="BF94" s="119">
        <f t="shared" ca="1" si="734"/>
        <v>-13.403455314285907</v>
      </c>
      <c r="BG94" s="119">
        <f t="shared" ca="1" si="734"/>
        <v>0</v>
      </c>
      <c r="BH94" s="119">
        <f t="shared" ca="1" si="734"/>
        <v>-10.479481887837077</v>
      </c>
      <c r="BI94" s="119">
        <f t="shared" ca="1" si="734"/>
        <v>-8.3550959185216591</v>
      </c>
      <c r="BJ94" s="119">
        <f t="shared" ca="1" si="734"/>
        <v>-13.772721666658526</v>
      </c>
      <c r="BK94" s="119">
        <f t="shared" ca="1" si="734"/>
        <v>0</v>
      </c>
      <c r="BL94" s="119">
        <f t="shared" ca="1" si="734"/>
        <v>-10.686053971777834</v>
      </c>
      <c r="BM94" s="119">
        <f t="shared" ca="1" si="734"/>
        <v>-8.5126796744501476</v>
      </c>
      <c r="BN94" s="119">
        <f t="shared" ca="1" si="734"/>
        <v>-14.152178321627559</v>
      </c>
      <c r="BO94" s="119">
        <f t="shared" ca="1" si="734"/>
        <v>0</v>
      </c>
      <c r="BP94" s="119">
        <f t="shared" ca="1" si="734"/>
        <v>-10.896422482241597</v>
      </c>
      <c r="BQ94" s="119">
        <f t="shared" ca="1" si="734"/>
        <v>-8.6729290554941159</v>
      </c>
      <c r="BR94" s="119">
        <f t="shared" ca="1" si="734"/>
        <v>-14.542107002716961</v>
      </c>
      <c r="BS94" s="119">
        <f t="shared" ca="1" si="734"/>
        <v>0</v>
      </c>
      <c r="BT94" s="119">
        <f t="shared" ref="BT94:EE94" ca="1" si="735">-BT117</f>
        <v>-11.110648198235172</v>
      </c>
      <c r="BU94" s="119">
        <f t="shared" ca="1" si="735"/>
        <v>-8.8358787064764748</v>
      </c>
      <c r="BV94" s="119">
        <f t="shared" ca="1" si="735"/>
        <v>-14.942797236912924</v>
      </c>
      <c r="BW94" s="119">
        <f t="shared" ca="1" si="735"/>
        <v>0</v>
      </c>
      <c r="BX94" s="119">
        <f t="shared" ca="1" si="735"/>
        <v>-11.328792556860037</v>
      </c>
      <c r="BY94" s="119">
        <f t="shared" ca="1" si="735"/>
        <v>-9.0015633254276892</v>
      </c>
      <c r="BZ94" s="119">
        <f t="shared" ca="1" si="735"/>
        <v>-15.354546571233087</v>
      </c>
      <c r="CA94" s="119">
        <f t="shared" ca="1" si="735"/>
        <v>0</v>
      </c>
      <c r="CB94" s="119">
        <f t="shared" ca="1" si="735"/>
        <v>-11.55091764777135</v>
      </c>
      <c r="CC94" s="119">
        <f t="shared" ca="1" si="735"/>
        <v>-9.1700176440192394</v>
      </c>
      <c r="CD94" s="119">
        <f t="shared" ca="1" si="735"/>
        <v>-12.799797109687248</v>
      </c>
      <c r="CE94" s="119">
        <f t="shared" ca="1" si="735"/>
        <v>0</v>
      </c>
      <c r="CF94" s="119">
        <f t="shared" ca="1" si="735"/>
        <v>-11.334985377352169</v>
      </c>
      <c r="CG94" s="119">
        <f t="shared" ca="1" si="735"/>
        <v>-8.948415645687632</v>
      </c>
      <c r="CH94" s="119">
        <f t="shared" ca="1" si="735"/>
        <v>-16.245573924625219</v>
      </c>
      <c r="CI94" s="119">
        <f t="shared" ca="1" si="735"/>
        <v>0</v>
      </c>
      <c r="CJ94" s="119">
        <f t="shared" ca="1" si="735"/>
        <v>-11.555114566000171</v>
      </c>
      <c r="CK94" s="119">
        <f t="shared" ca="1" si="735"/>
        <v>-9.1134974345986883</v>
      </c>
      <c r="CL94" s="119">
        <f t="shared" ca="1" si="735"/>
        <v>-16.693129516302335</v>
      </c>
      <c r="CM94" s="119">
        <f t="shared" ca="1" si="735"/>
        <v>0</v>
      </c>
      <c r="CN94" s="119">
        <f t="shared" ca="1" si="735"/>
        <v>-11.779181749403556</v>
      </c>
      <c r="CO94" s="119">
        <f t="shared" ca="1" si="735"/>
        <v>-9.2812461878692289</v>
      </c>
      <c r="CP94" s="119">
        <f t="shared" ca="1" si="735"/>
        <v>-17.153036586484575</v>
      </c>
      <c r="CQ94" s="119">
        <f t="shared" ca="1" si="735"/>
        <v>0</v>
      </c>
      <c r="CR94" s="119">
        <f t="shared" ca="1" si="735"/>
        <v>-12.007246213357426</v>
      </c>
      <c r="CS94" s="119">
        <f t="shared" ca="1" si="735"/>
        <v>-9.4516918059765267</v>
      </c>
      <c r="CT94" s="119">
        <f t="shared" ca="1" si="735"/>
        <v>0</v>
      </c>
      <c r="CU94" s="266">
        <f t="shared" ca="1" si="735"/>
        <v>0</v>
      </c>
      <c r="CV94" s="119">
        <f t="shared" ca="1" si="735"/>
        <v>0</v>
      </c>
      <c r="CW94" s="119">
        <f t="shared" ca="1" si="735"/>
        <v>0</v>
      </c>
      <c r="CX94" s="119">
        <f t="shared" ca="1" si="735"/>
        <v>0</v>
      </c>
      <c r="CY94" s="119">
        <f t="shared" ca="1" si="735"/>
        <v>0</v>
      </c>
      <c r="CZ94" s="119">
        <f t="shared" ca="1" si="735"/>
        <v>0</v>
      </c>
      <c r="DA94" s="119">
        <f t="shared" ca="1" si="735"/>
        <v>0</v>
      </c>
      <c r="DB94" s="119">
        <f t="shared" ca="1" si="735"/>
        <v>0</v>
      </c>
      <c r="DC94" s="119">
        <f t="shared" ca="1" si="735"/>
        <v>0</v>
      </c>
      <c r="DD94" s="119">
        <f t="shared" ca="1" si="735"/>
        <v>0</v>
      </c>
      <c r="DE94" s="119">
        <f t="shared" ca="1" si="735"/>
        <v>0</v>
      </c>
      <c r="DF94" s="119">
        <f t="shared" ca="1" si="735"/>
        <v>0</v>
      </c>
      <c r="DG94" s="119">
        <f t="shared" ca="1" si="735"/>
        <v>0</v>
      </c>
      <c r="DH94" s="119">
        <f t="shared" ca="1" si="735"/>
        <v>0</v>
      </c>
      <c r="DI94" s="119">
        <f t="shared" ca="1" si="735"/>
        <v>0</v>
      </c>
      <c r="DJ94" s="119">
        <f t="shared" ca="1" si="735"/>
        <v>0</v>
      </c>
      <c r="DK94" s="119">
        <f t="shared" ca="1" si="735"/>
        <v>0</v>
      </c>
      <c r="DL94" s="119">
        <f t="shared" ca="1" si="735"/>
        <v>0</v>
      </c>
      <c r="DM94" s="119">
        <f t="shared" ca="1" si="735"/>
        <v>0</v>
      </c>
      <c r="DN94" s="119">
        <f t="shared" ca="1" si="735"/>
        <v>0</v>
      </c>
      <c r="DO94" s="119">
        <f t="shared" ca="1" si="735"/>
        <v>0</v>
      </c>
      <c r="DP94" s="119">
        <f t="shared" ca="1" si="735"/>
        <v>0</v>
      </c>
      <c r="DQ94" s="119">
        <f t="shared" ca="1" si="735"/>
        <v>0</v>
      </c>
      <c r="DR94" s="119">
        <f t="shared" ca="1" si="735"/>
        <v>0</v>
      </c>
      <c r="DS94" s="119">
        <f t="shared" ca="1" si="735"/>
        <v>0</v>
      </c>
      <c r="DT94" s="119">
        <f t="shared" ca="1" si="735"/>
        <v>0</v>
      </c>
      <c r="DU94" s="119">
        <f t="shared" ca="1" si="735"/>
        <v>0</v>
      </c>
      <c r="DV94" s="119">
        <f t="shared" ca="1" si="735"/>
        <v>0</v>
      </c>
      <c r="DW94" s="119">
        <f t="shared" ca="1" si="735"/>
        <v>0</v>
      </c>
      <c r="DX94" s="119">
        <f t="shared" ca="1" si="735"/>
        <v>0</v>
      </c>
      <c r="DY94" s="119">
        <f t="shared" ca="1" si="735"/>
        <v>0</v>
      </c>
      <c r="DZ94" s="119">
        <f t="shared" ca="1" si="735"/>
        <v>0</v>
      </c>
      <c r="EA94" s="119">
        <f t="shared" ca="1" si="735"/>
        <v>0</v>
      </c>
      <c r="EB94" s="119">
        <f t="shared" ca="1" si="735"/>
        <v>0</v>
      </c>
      <c r="EC94" s="119">
        <f t="shared" ca="1" si="735"/>
        <v>0</v>
      </c>
      <c r="ED94" s="119">
        <f t="shared" ca="1" si="735"/>
        <v>0</v>
      </c>
      <c r="EE94" s="119">
        <f t="shared" ca="1" si="735"/>
        <v>0</v>
      </c>
      <c r="EF94" s="119">
        <f t="shared" ref="EF94:FA94" ca="1" si="736">-EF117</f>
        <v>0</v>
      </c>
      <c r="EG94" s="119">
        <f t="shared" ca="1" si="736"/>
        <v>0</v>
      </c>
      <c r="EH94" s="119">
        <f t="shared" ca="1" si="736"/>
        <v>0</v>
      </c>
      <c r="EI94" s="119">
        <f t="shared" ca="1" si="736"/>
        <v>0</v>
      </c>
      <c r="EJ94" s="119">
        <f t="shared" ca="1" si="736"/>
        <v>0</v>
      </c>
      <c r="EK94" s="119">
        <f t="shared" ca="1" si="736"/>
        <v>0</v>
      </c>
      <c r="EL94" s="119">
        <f t="shared" ca="1" si="736"/>
        <v>0</v>
      </c>
      <c r="EM94" s="119">
        <f t="shared" ca="1" si="736"/>
        <v>0</v>
      </c>
      <c r="EN94" s="119">
        <f t="shared" ca="1" si="736"/>
        <v>0</v>
      </c>
      <c r="EO94" s="119">
        <f t="shared" ca="1" si="736"/>
        <v>0</v>
      </c>
      <c r="EP94" s="119">
        <f t="shared" ca="1" si="736"/>
        <v>0</v>
      </c>
      <c r="EQ94" s="119">
        <f t="shared" ca="1" si="736"/>
        <v>0</v>
      </c>
      <c r="ER94" s="119">
        <f t="shared" ca="1" si="736"/>
        <v>0</v>
      </c>
      <c r="ES94" s="119">
        <f t="shared" ca="1" si="736"/>
        <v>0</v>
      </c>
      <c r="ET94" s="119">
        <f t="shared" ca="1" si="736"/>
        <v>0</v>
      </c>
      <c r="EU94" s="119">
        <f t="shared" ca="1" si="736"/>
        <v>0</v>
      </c>
      <c r="EV94" s="119">
        <f t="shared" ca="1" si="736"/>
        <v>0</v>
      </c>
      <c r="EW94" s="119">
        <f t="shared" ca="1" si="736"/>
        <v>0</v>
      </c>
      <c r="EX94" s="119">
        <f t="shared" ca="1" si="736"/>
        <v>0</v>
      </c>
      <c r="EY94" s="119">
        <f t="shared" ca="1" si="736"/>
        <v>0</v>
      </c>
      <c r="EZ94" s="119">
        <f t="shared" ca="1" si="736"/>
        <v>0</v>
      </c>
      <c r="FA94" s="119">
        <f t="shared" ca="1" si="736"/>
        <v>0</v>
      </c>
    </row>
    <row r="95" spans="1:157" outlineLevel="1" x14ac:dyDescent="0.2">
      <c r="C95" s="9" t="s">
        <v>423</v>
      </c>
      <c r="D95" s="21" t="s">
        <v>126</v>
      </c>
      <c r="E95" s="5"/>
      <c r="F95" s="21"/>
      <c r="G95" s="119">
        <f ca="1">-G118</f>
        <v>0</v>
      </c>
      <c r="H95" s="119">
        <f ca="1">H118</f>
        <v>0</v>
      </c>
      <c r="I95" s="119">
        <f t="shared" ref="I95:BT95" ca="1" si="737">I118</f>
        <v>0</v>
      </c>
      <c r="J95" s="119">
        <f t="shared" ca="1" si="737"/>
        <v>0</v>
      </c>
      <c r="K95" s="119">
        <f t="shared" ca="1" si="737"/>
        <v>0</v>
      </c>
      <c r="L95" s="119">
        <f t="shared" ca="1" si="737"/>
        <v>0</v>
      </c>
      <c r="M95" s="119">
        <f t="shared" ca="1" si="737"/>
        <v>0</v>
      </c>
      <c r="N95" s="119">
        <f t="shared" ca="1" si="737"/>
        <v>0</v>
      </c>
      <c r="O95" s="119">
        <f t="shared" ca="1" si="737"/>
        <v>0</v>
      </c>
      <c r="P95" s="119">
        <f t="shared" ca="1" si="737"/>
        <v>0</v>
      </c>
      <c r="Q95" s="119">
        <f t="shared" ca="1" si="737"/>
        <v>0</v>
      </c>
      <c r="R95" s="119">
        <f t="shared" ca="1" si="737"/>
        <v>0</v>
      </c>
      <c r="S95" s="119">
        <f t="shared" ca="1" si="737"/>
        <v>0</v>
      </c>
      <c r="T95" s="119">
        <f t="shared" ca="1" si="737"/>
        <v>0</v>
      </c>
      <c r="U95" s="119">
        <f t="shared" ca="1" si="737"/>
        <v>0</v>
      </c>
      <c r="V95" s="119">
        <f t="shared" ca="1" si="737"/>
        <v>0</v>
      </c>
      <c r="W95" s="119">
        <f t="shared" ca="1" si="737"/>
        <v>0</v>
      </c>
      <c r="X95" s="119">
        <f t="shared" ca="1" si="737"/>
        <v>0</v>
      </c>
      <c r="Y95" s="119">
        <f t="shared" ca="1" si="737"/>
        <v>0</v>
      </c>
      <c r="Z95" s="119">
        <f t="shared" ca="1" si="737"/>
        <v>0</v>
      </c>
      <c r="AA95" s="119">
        <f t="shared" ca="1" si="737"/>
        <v>0</v>
      </c>
      <c r="AB95" s="119">
        <f t="shared" ca="1" si="737"/>
        <v>0</v>
      </c>
      <c r="AC95" s="119">
        <f t="shared" ca="1" si="737"/>
        <v>0</v>
      </c>
      <c r="AD95" s="119">
        <f t="shared" ca="1" si="737"/>
        <v>0</v>
      </c>
      <c r="AE95" s="119">
        <f t="shared" ca="1" si="737"/>
        <v>0</v>
      </c>
      <c r="AF95" s="119">
        <f t="shared" ca="1" si="737"/>
        <v>0</v>
      </c>
      <c r="AG95" s="119">
        <f t="shared" ca="1" si="737"/>
        <v>0</v>
      </c>
      <c r="AH95" s="119">
        <f t="shared" ca="1" si="737"/>
        <v>0</v>
      </c>
      <c r="AI95" s="119">
        <f t="shared" ca="1" si="737"/>
        <v>0</v>
      </c>
      <c r="AJ95" s="119">
        <f t="shared" ca="1" si="737"/>
        <v>0</v>
      </c>
      <c r="AK95" s="119">
        <f t="shared" ca="1" si="737"/>
        <v>0</v>
      </c>
      <c r="AL95" s="119">
        <f t="shared" ca="1" si="737"/>
        <v>0</v>
      </c>
      <c r="AM95" s="119">
        <f t="shared" ca="1" si="737"/>
        <v>0</v>
      </c>
      <c r="AN95" s="119">
        <f t="shared" ca="1" si="737"/>
        <v>0</v>
      </c>
      <c r="AO95" s="119">
        <f t="shared" ca="1" si="737"/>
        <v>0</v>
      </c>
      <c r="AP95" s="119">
        <f t="shared" ca="1" si="737"/>
        <v>0</v>
      </c>
      <c r="AQ95" s="119">
        <f t="shared" ca="1" si="737"/>
        <v>0</v>
      </c>
      <c r="AR95" s="119">
        <f t="shared" ca="1" si="737"/>
        <v>0</v>
      </c>
      <c r="AS95" s="119">
        <f t="shared" ca="1" si="737"/>
        <v>0</v>
      </c>
      <c r="AT95" s="119">
        <f t="shared" ca="1" si="737"/>
        <v>0</v>
      </c>
      <c r="AU95" s="119">
        <f t="shared" ca="1" si="737"/>
        <v>0</v>
      </c>
      <c r="AV95" s="119">
        <f t="shared" ca="1" si="737"/>
        <v>0</v>
      </c>
      <c r="AW95" s="119">
        <f t="shared" ca="1" si="737"/>
        <v>0</v>
      </c>
      <c r="AX95" s="119">
        <f t="shared" ca="1" si="737"/>
        <v>0</v>
      </c>
      <c r="AY95" s="119">
        <f t="shared" ca="1" si="737"/>
        <v>0</v>
      </c>
      <c r="AZ95" s="119">
        <f t="shared" ca="1" si="737"/>
        <v>0</v>
      </c>
      <c r="BA95" s="119">
        <f t="shared" ca="1" si="737"/>
        <v>0</v>
      </c>
      <c r="BB95" s="119">
        <f t="shared" ca="1" si="737"/>
        <v>0</v>
      </c>
      <c r="BC95" s="119">
        <f t="shared" ca="1" si="737"/>
        <v>0</v>
      </c>
      <c r="BD95" s="119">
        <f t="shared" ca="1" si="737"/>
        <v>0</v>
      </c>
      <c r="BE95" s="119">
        <f t="shared" ca="1" si="737"/>
        <v>0</v>
      </c>
      <c r="BF95" s="119">
        <f t="shared" ca="1" si="737"/>
        <v>0</v>
      </c>
      <c r="BG95" s="119">
        <f t="shared" ca="1" si="737"/>
        <v>0</v>
      </c>
      <c r="BH95" s="119">
        <f t="shared" ca="1" si="737"/>
        <v>0</v>
      </c>
      <c r="BI95" s="119">
        <f t="shared" ca="1" si="737"/>
        <v>0</v>
      </c>
      <c r="BJ95" s="119">
        <f t="shared" ca="1" si="737"/>
        <v>0</v>
      </c>
      <c r="BK95" s="119">
        <f t="shared" ca="1" si="737"/>
        <v>0</v>
      </c>
      <c r="BL95" s="119">
        <f t="shared" ca="1" si="737"/>
        <v>0</v>
      </c>
      <c r="BM95" s="119">
        <f t="shared" ca="1" si="737"/>
        <v>0</v>
      </c>
      <c r="BN95" s="119">
        <f t="shared" ca="1" si="737"/>
        <v>0</v>
      </c>
      <c r="BO95" s="119">
        <f t="shared" ca="1" si="737"/>
        <v>0</v>
      </c>
      <c r="BP95" s="119">
        <f t="shared" ca="1" si="737"/>
        <v>0</v>
      </c>
      <c r="BQ95" s="119">
        <f t="shared" ca="1" si="737"/>
        <v>0</v>
      </c>
      <c r="BR95" s="119">
        <f t="shared" ca="1" si="737"/>
        <v>0</v>
      </c>
      <c r="BS95" s="119">
        <f t="shared" ca="1" si="737"/>
        <v>0</v>
      </c>
      <c r="BT95" s="119">
        <f t="shared" ca="1" si="737"/>
        <v>0</v>
      </c>
      <c r="BU95" s="119">
        <f t="shared" ref="BU95:EF95" ca="1" si="738">BU118</f>
        <v>0</v>
      </c>
      <c r="BV95" s="119">
        <f t="shared" ca="1" si="738"/>
        <v>0</v>
      </c>
      <c r="BW95" s="119">
        <f t="shared" ca="1" si="738"/>
        <v>0</v>
      </c>
      <c r="BX95" s="119">
        <f t="shared" ca="1" si="738"/>
        <v>0</v>
      </c>
      <c r="BY95" s="119">
        <f t="shared" ca="1" si="738"/>
        <v>0</v>
      </c>
      <c r="BZ95" s="119">
        <f t="shared" ca="1" si="738"/>
        <v>0</v>
      </c>
      <c r="CA95" s="119">
        <f t="shared" ca="1" si="738"/>
        <v>0</v>
      </c>
      <c r="CB95" s="119">
        <f t="shared" ca="1" si="738"/>
        <v>0</v>
      </c>
      <c r="CC95" s="119">
        <f t="shared" ca="1" si="738"/>
        <v>0</v>
      </c>
      <c r="CD95" s="119">
        <f t="shared" ca="1" si="738"/>
        <v>0</v>
      </c>
      <c r="CE95" s="119">
        <f t="shared" ca="1" si="738"/>
        <v>0</v>
      </c>
      <c r="CF95" s="119">
        <f t="shared" ca="1" si="738"/>
        <v>0</v>
      </c>
      <c r="CG95" s="119">
        <f t="shared" ca="1" si="738"/>
        <v>0</v>
      </c>
      <c r="CH95" s="119">
        <f t="shared" ca="1" si="738"/>
        <v>0</v>
      </c>
      <c r="CI95" s="119">
        <f t="shared" ca="1" si="738"/>
        <v>0</v>
      </c>
      <c r="CJ95" s="119">
        <f t="shared" ca="1" si="738"/>
        <v>0</v>
      </c>
      <c r="CK95" s="119">
        <f t="shared" ca="1" si="738"/>
        <v>0</v>
      </c>
      <c r="CL95" s="119">
        <f t="shared" ca="1" si="738"/>
        <v>0</v>
      </c>
      <c r="CM95" s="119">
        <f t="shared" ca="1" si="738"/>
        <v>0</v>
      </c>
      <c r="CN95" s="119">
        <f t="shared" ca="1" si="738"/>
        <v>0</v>
      </c>
      <c r="CO95" s="119">
        <f t="shared" ca="1" si="738"/>
        <v>0</v>
      </c>
      <c r="CP95" s="119">
        <f t="shared" ca="1" si="738"/>
        <v>0</v>
      </c>
      <c r="CQ95" s="119">
        <f t="shared" ca="1" si="738"/>
        <v>0</v>
      </c>
      <c r="CR95" s="119">
        <f t="shared" ca="1" si="738"/>
        <v>0</v>
      </c>
      <c r="CS95" s="119">
        <f t="shared" ca="1" si="738"/>
        <v>0</v>
      </c>
      <c r="CT95" s="119">
        <f t="shared" ca="1" si="738"/>
        <v>0</v>
      </c>
      <c r="CU95" s="266">
        <f t="shared" ca="1" si="738"/>
        <v>0</v>
      </c>
      <c r="CV95" s="119">
        <f t="shared" ca="1" si="738"/>
        <v>0</v>
      </c>
      <c r="CW95" s="119">
        <f t="shared" ca="1" si="738"/>
        <v>0</v>
      </c>
      <c r="CX95" s="119">
        <f t="shared" ca="1" si="738"/>
        <v>0</v>
      </c>
      <c r="CY95" s="119">
        <f t="shared" ca="1" si="738"/>
        <v>0</v>
      </c>
      <c r="CZ95" s="119">
        <f t="shared" ca="1" si="738"/>
        <v>0</v>
      </c>
      <c r="DA95" s="119">
        <f t="shared" ca="1" si="738"/>
        <v>0</v>
      </c>
      <c r="DB95" s="119">
        <f t="shared" ca="1" si="738"/>
        <v>0</v>
      </c>
      <c r="DC95" s="119">
        <f t="shared" ca="1" si="738"/>
        <v>0</v>
      </c>
      <c r="DD95" s="119">
        <f t="shared" ca="1" si="738"/>
        <v>0</v>
      </c>
      <c r="DE95" s="119">
        <f t="shared" ca="1" si="738"/>
        <v>0</v>
      </c>
      <c r="DF95" s="119">
        <f t="shared" ca="1" si="738"/>
        <v>0</v>
      </c>
      <c r="DG95" s="119">
        <f t="shared" ca="1" si="738"/>
        <v>0</v>
      </c>
      <c r="DH95" s="119">
        <f t="shared" ca="1" si="738"/>
        <v>0</v>
      </c>
      <c r="DI95" s="119">
        <f t="shared" ca="1" si="738"/>
        <v>0</v>
      </c>
      <c r="DJ95" s="119">
        <f t="shared" ca="1" si="738"/>
        <v>0</v>
      </c>
      <c r="DK95" s="119">
        <f t="shared" ca="1" si="738"/>
        <v>0</v>
      </c>
      <c r="DL95" s="119">
        <f t="shared" ca="1" si="738"/>
        <v>0</v>
      </c>
      <c r="DM95" s="119">
        <f t="shared" ca="1" si="738"/>
        <v>0</v>
      </c>
      <c r="DN95" s="119">
        <f t="shared" ca="1" si="738"/>
        <v>0</v>
      </c>
      <c r="DO95" s="119">
        <f t="shared" ca="1" si="738"/>
        <v>0</v>
      </c>
      <c r="DP95" s="119">
        <f t="shared" ca="1" si="738"/>
        <v>0</v>
      </c>
      <c r="DQ95" s="119">
        <f t="shared" ca="1" si="738"/>
        <v>0</v>
      </c>
      <c r="DR95" s="119">
        <f t="shared" ca="1" si="738"/>
        <v>0</v>
      </c>
      <c r="DS95" s="119">
        <f t="shared" ca="1" si="738"/>
        <v>0</v>
      </c>
      <c r="DT95" s="119">
        <f t="shared" ca="1" si="738"/>
        <v>0</v>
      </c>
      <c r="DU95" s="119">
        <f t="shared" ca="1" si="738"/>
        <v>0</v>
      </c>
      <c r="DV95" s="119">
        <f t="shared" ca="1" si="738"/>
        <v>0</v>
      </c>
      <c r="DW95" s="119">
        <f t="shared" ca="1" si="738"/>
        <v>0</v>
      </c>
      <c r="DX95" s="119">
        <f t="shared" ca="1" si="738"/>
        <v>0</v>
      </c>
      <c r="DY95" s="119">
        <f t="shared" ca="1" si="738"/>
        <v>0</v>
      </c>
      <c r="DZ95" s="119">
        <f t="shared" ca="1" si="738"/>
        <v>0</v>
      </c>
      <c r="EA95" s="119">
        <f t="shared" ca="1" si="738"/>
        <v>0</v>
      </c>
      <c r="EB95" s="119">
        <f t="shared" ca="1" si="738"/>
        <v>0</v>
      </c>
      <c r="EC95" s="119">
        <f t="shared" ca="1" si="738"/>
        <v>0</v>
      </c>
      <c r="ED95" s="119">
        <f t="shared" ca="1" si="738"/>
        <v>0</v>
      </c>
      <c r="EE95" s="119">
        <f t="shared" ca="1" si="738"/>
        <v>0</v>
      </c>
      <c r="EF95" s="119">
        <f t="shared" ca="1" si="738"/>
        <v>0</v>
      </c>
      <c r="EG95" s="119">
        <f t="shared" ref="EG95:FA95" ca="1" si="739">EG118</f>
        <v>0</v>
      </c>
      <c r="EH95" s="119">
        <f t="shared" ca="1" si="739"/>
        <v>0</v>
      </c>
      <c r="EI95" s="119">
        <f t="shared" ca="1" si="739"/>
        <v>0</v>
      </c>
      <c r="EJ95" s="119">
        <f t="shared" ca="1" si="739"/>
        <v>0</v>
      </c>
      <c r="EK95" s="119">
        <f t="shared" ca="1" si="739"/>
        <v>0</v>
      </c>
      <c r="EL95" s="119">
        <f t="shared" ca="1" si="739"/>
        <v>0</v>
      </c>
      <c r="EM95" s="119">
        <f t="shared" ca="1" si="739"/>
        <v>0</v>
      </c>
      <c r="EN95" s="119">
        <f t="shared" ca="1" si="739"/>
        <v>0</v>
      </c>
      <c r="EO95" s="119">
        <f t="shared" ca="1" si="739"/>
        <v>0</v>
      </c>
      <c r="EP95" s="119">
        <f t="shared" ca="1" si="739"/>
        <v>0</v>
      </c>
      <c r="EQ95" s="119">
        <f t="shared" ca="1" si="739"/>
        <v>0</v>
      </c>
      <c r="ER95" s="119">
        <f t="shared" ca="1" si="739"/>
        <v>0</v>
      </c>
      <c r="ES95" s="119">
        <f t="shared" ca="1" si="739"/>
        <v>0</v>
      </c>
      <c r="ET95" s="119">
        <f t="shared" ca="1" si="739"/>
        <v>0</v>
      </c>
      <c r="EU95" s="119">
        <f t="shared" ca="1" si="739"/>
        <v>0</v>
      </c>
      <c r="EV95" s="119">
        <f t="shared" ca="1" si="739"/>
        <v>0</v>
      </c>
      <c r="EW95" s="119">
        <f t="shared" ca="1" si="739"/>
        <v>0</v>
      </c>
      <c r="EX95" s="119">
        <f t="shared" ca="1" si="739"/>
        <v>0</v>
      </c>
      <c r="EY95" s="119">
        <f t="shared" ca="1" si="739"/>
        <v>0</v>
      </c>
      <c r="EZ95" s="119">
        <f t="shared" ca="1" si="739"/>
        <v>0</v>
      </c>
      <c r="FA95" s="119">
        <f t="shared" ca="1" si="739"/>
        <v>0</v>
      </c>
    </row>
    <row r="96" spans="1:157" outlineLevel="1" x14ac:dyDescent="0.2">
      <c r="C96" s="9" t="s">
        <v>424</v>
      </c>
      <c r="D96" s="21" t="s">
        <v>126</v>
      </c>
      <c r="E96" s="5"/>
      <c r="F96" s="21"/>
      <c r="G96" s="119">
        <f ca="1">G121</f>
        <v>0</v>
      </c>
      <c r="H96" s="119">
        <f ca="1">H121</f>
        <v>0</v>
      </c>
      <c r="I96" s="119">
        <f t="shared" ref="I96:BT96" ca="1" si="740">I121</f>
        <v>0</v>
      </c>
      <c r="J96" s="119">
        <f t="shared" ca="1" si="740"/>
        <v>0</v>
      </c>
      <c r="K96" s="119">
        <f t="shared" ca="1" si="740"/>
        <v>0</v>
      </c>
      <c r="L96" s="119">
        <f t="shared" ca="1" si="740"/>
        <v>0</v>
      </c>
      <c r="M96" s="119">
        <f t="shared" ca="1" si="740"/>
        <v>0</v>
      </c>
      <c r="N96" s="119">
        <f t="shared" ca="1" si="740"/>
        <v>0</v>
      </c>
      <c r="O96" s="119">
        <f t="shared" ca="1" si="740"/>
        <v>0</v>
      </c>
      <c r="P96" s="119">
        <f t="shared" ca="1" si="740"/>
        <v>0</v>
      </c>
      <c r="Q96" s="119">
        <f t="shared" ca="1" si="740"/>
        <v>0</v>
      </c>
      <c r="R96" s="119">
        <f t="shared" ca="1" si="740"/>
        <v>0</v>
      </c>
      <c r="S96" s="119">
        <f t="shared" ca="1" si="740"/>
        <v>0</v>
      </c>
      <c r="T96" s="119">
        <f t="shared" ca="1" si="740"/>
        <v>0</v>
      </c>
      <c r="U96" s="119">
        <f t="shared" ca="1" si="740"/>
        <v>0</v>
      </c>
      <c r="V96" s="119">
        <f t="shared" ca="1" si="740"/>
        <v>0</v>
      </c>
      <c r="W96" s="119">
        <f t="shared" ca="1" si="740"/>
        <v>0</v>
      </c>
      <c r="X96" s="119">
        <f t="shared" ca="1" si="740"/>
        <v>0</v>
      </c>
      <c r="Y96" s="119">
        <f t="shared" ca="1" si="740"/>
        <v>0</v>
      </c>
      <c r="Z96" s="119">
        <f t="shared" ca="1" si="740"/>
        <v>0</v>
      </c>
      <c r="AA96" s="119">
        <f t="shared" ca="1" si="740"/>
        <v>22.880605787972264</v>
      </c>
      <c r="AB96" s="119">
        <f t="shared" ca="1" si="740"/>
        <v>0</v>
      </c>
      <c r="AC96" s="119">
        <f t="shared" ca="1" si="740"/>
        <v>0</v>
      </c>
      <c r="AD96" s="119">
        <f t="shared" ca="1" si="740"/>
        <v>0</v>
      </c>
      <c r="AE96" s="119">
        <f t="shared" ca="1" si="740"/>
        <v>24.678515312925271</v>
      </c>
      <c r="AF96" s="119">
        <f t="shared" ca="1" si="740"/>
        <v>0</v>
      </c>
      <c r="AG96" s="119">
        <f t="shared" ca="1" si="740"/>
        <v>0</v>
      </c>
      <c r="AH96" s="119">
        <f t="shared" ca="1" si="740"/>
        <v>0</v>
      </c>
      <c r="AI96" s="119">
        <f t="shared" ca="1" si="740"/>
        <v>25.971764349510586</v>
      </c>
      <c r="AJ96" s="119">
        <f t="shared" ca="1" si="740"/>
        <v>0</v>
      </c>
      <c r="AK96" s="119">
        <f t="shared" ca="1" si="740"/>
        <v>0</v>
      </c>
      <c r="AL96" s="119">
        <f t="shared" ca="1" si="740"/>
        <v>0</v>
      </c>
      <c r="AM96" s="119">
        <f t="shared" ca="1" si="740"/>
        <v>27.46842988832644</v>
      </c>
      <c r="AN96" s="119">
        <f t="shared" ca="1" si="740"/>
        <v>0</v>
      </c>
      <c r="AO96" s="119">
        <f t="shared" ca="1" si="740"/>
        <v>0</v>
      </c>
      <c r="AP96" s="119">
        <f t="shared" ca="1" si="740"/>
        <v>0</v>
      </c>
      <c r="AQ96" s="119">
        <f t="shared" ca="1" si="740"/>
        <v>28.50505511373219</v>
      </c>
      <c r="AR96" s="119">
        <f t="shared" ca="1" si="740"/>
        <v>0</v>
      </c>
      <c r="AS96" s="119">
        <f t="shared" ca="1" si="740"/>
        <v>0</v>
      </c>
      <c r="AT96" s="119">
        <f t="shared" ca="1" si="740"/>
        <v>0</v>
      </c>
      <c r="AU96" s="119">
        <f t="shared" ca="1" si="740"/>
        <v>29.110537962723384</v>
      </c>
      <c r="AV96" s="119">
        <f t="shared" ca="1" si="740"/>
        <v>0</v>
      </c>
      <c r="AW96" s="119">
        <f t="shared" ca="1" si="740"/>
        <v>0</v>
      </c>
      <c r="AX96" s="119">
        <f t="shared" ca="1" si="740"/>
        <v>0</v>
      </c>
      <c r="AY96" s="119">
        <f t="shared" ca="1" si="740"/>
        <v>29.780055196362838</v>
      </c>
      <c r="AZ96" s="119">
        <f t="shared" ca="1" si="740"/>
        <v>0</v>
      </c>
      <c r="BA96" s="119">
        <f t="shared" ca="1" si="740"/>
        <v>0</v>
      </c>
      <c r="BB96" s="119">
        <f t="shared" ca="1" si="740"/>
        <v>0</v>
      </c>
      <c r="BC96" s="119">
        <f t="shared" ca="1" si="740"/>
        <v>30.339837677870037</v>
      </c>
      <c r="BD96" s="119">
        <f t="shared" ca="1" si="740"/>
        <v>0</v>
      </c>
      <c r="BE96" s="119">
        <f t="shared" ca="1" si="740"/>
        <v>0</v>
      </c>
      <c r="BF96" s="119">
        <f t="shared" ca="1" si="740"/>
        <v>0</v>
      </c>
      <c r="BG96" s="119">
        <f t="shared" ca="1" si="740"/>
        <v>30.686845700569336</v>
      </c>
      <c r="BH96" s="119">
        <f t="shared" ca="1" si="740"/>
        <v>0</v>
      </c>
      <c r="BI96" s="119">
        <f t="shared" ca="1" si="740"/>
        <v>0</v>
      </c>
      <c r="BJ96" s="119">
        <f t="shared" ca="1" si="740"/>
        <v>0</v>
      </c>
      <c r="BK96" s="119">
        <f t="shared" ca="1" si="740"/>
        <v>31.392662272978086</v>
      </c>
      <c r="BL96" s="119">
        <f t="shared" ca="1" si="740"/>
        <v>0</v>
      </c>
      <c r="BM96" s="119">
        <f t="shared" ca="1" si="740"/>
        <v>0</v>
      </c>
      <c r="BN96" s="119">
        <f t="shared" ca="1" si="740"/>
        <v>0</v>
      </c>
      <c r="BO96" s="119">
        <f t="shared" ca="1" si="740"/>
        <v>32.114720676272754</v>
      </c>
      <c r="BP96" s="119">
        <f t="shared" ca="1" si="740"/>
        <v>0</v>
      </c>
      <c r="BQ96" s="119">
        <f t="shared" ca="1" si="740"/>
        <v>0</v>
      </c>
      <c r="BR96" s="119">
        <f t="shared" ca="1" si="740"/>
        <v>0</v>
      </c>
      <c r="BS96" s="119">
        <f t="shared" ca="1" si="740"/>
        <v>32.853394872348701</v>
      </c>
      <c r="BT96" s="119">
        <f t="shared" ca="1" si="740"/>
        <v>0</v>
      </c>
      <c r="BU96" s="119">
        <f t="shared" ref="BU96:EF96" ca="1" si="741">BU121</f>
        <v>0</v>
      </c>
      <c r="BV96" s="119">
        <f t="shared" ca="1" si="741"/>
        <v>0</v>
      </c>
      <c r="BW96" s="119">
        <f t="shared" ca="1" si="741"/>
        <v>33.609067439482118</v>
      </c>
      <c r="BX96" s="119">
        <f t="shared" ca="1" si="741"/>
        <v>0</v>
      </c>
      <c r="BY96" s="119">
        <f t="shared" ca="1" si="741"/>
        <v>0</v>
      </c>
      <c r="BZ96" s="119">
        <f t="shared" ca="1" si="741"/>
        <v>0</v>
      </c>
      <c r="CA96" s="119">
        <f t="shared" ca="1" si="741"/>
        <v>34.382129771029042</v>
      </c>
      <c r="CB96" s="119">
        <f t="shared" ca="1" si="741"/>
        <v>0</v>
      </c>
      <c r="CC96" s="119">
        <f t="shared" ca="1" si="741"/>
        <v>0</v>
      </c>
      <c r="CD96" s="119">
        <f t="shared" ca="1" si="741"/>
        <v>0</v>
      </c>
      <c r="CE96" s="119">
        <f t="shared" ca="1" si="741"/>
        <v>34.98012242336371</v>
      </c>
      <c r="CF96" s="119">
        <f t="shared" ca="1" si="741"/>
        <v>0</v>
      </c>
      <c r="CG96" s="119">
        <f t="shared" ca="1" si="741"/>
        <v>0</v>
      </c>
      <c r="CH96" s="119">
        <f t="shared" ca="1" si="741"/>
        <v>0</v>
      </c>
      <c r="CI96" s="119">
        <f t="shared" ca="1" si="741"/>
        <v>35.244108602051327</v>
      </c>
      <c r="CJ96" s="119">
        <f t="shared" ca="1" si="741"/>
        <v>0</v>
      </c>
      <c r="CK96" s="119">
        <f t="shared" ca="1" si="741"/>
        <v>0</v>
      </c>
      <c r="CL96" s="119">
        <f t="shared" ca="1" si="741"/>
        <v>0</v>
      </c>
      <c r="CM96" s="119">
        <f t="shared" ca="1" si="741"/>
        <v>36.054844413663105</v>
      </c>
      <c r="CN96" s="119">
        <f t="shared" ca="1" si="741"/>
        <v>0</v>
      </c>
      <c r="CO96" s="119">
        <f t="shared" ca="1" si="741"/>
        <v>0</v>
      </c>
      <c r="CP96" s="119">
        <f t="shared" ca="1" si="741"/>
        <v>0</v>
      </c>
      <c r="CQ96" s="119">
        <f t="shared" ca="1" si="741"/>
        <v>36.88423918321098</v>
      </c>
      <c r="CR96" s="119">
        <f t="shared" ca="1" si="741"/>
        <v>0</v>
      </c>
      <c r="CS96" s="119">
        <f t="shared" ca="1" si="741"/>
        <v>0</v>
      </c>
      <c r="CT96" s="119">
        <f t="shared" ca="1" si="741"/>
        <v>23.198619694376703</v>
      </c>
      <c r="CU96" s="266">
        <f t="shared" ca="1" si="741"/>
        <v>69.836334793556901</v>
      </c>
      <c r="CV96" s="119">
        <f t="shared" ca="1" si="741"/>
        <v>0</v>
      </c>
      <c r="CW96" s="119">
        <f t="shared" ca="1" si="741"/>
        <v>0</v>
      </c>
      <c r="CX96" s="119">
        <f t="shared" ca="1" si="741"/>
        <v>0</v>
      </c>
      <c r="CY96" s="119">
        <f t="shared" ca="1" si="741"/>
        <v>0</v>
      </c>
      <c r="CZ96" s="119">
        <f t="shared" ca="1" si="741"/>
        <v>0</v>
      </c>
      <c r="DA96" s="119">
        <f t="shared" ca="1" si="741"/>
        <v>0</v>
      </c>
      <c r="DB96" s="119">
        <f t="shared" ca="1" si="741"/>
        <v>0</v>
      </c>
      <c r="DC96" s="119">
        <f t="shared" ca="1" si="741"/>
        <v>0</v>
      </c>
      <c r="DD96" s="119">
        <f t="shared" ca="1" si="741"/>
        <v>0</v>
      </c>
      <c r="DE96" s="119">
        <f t="shared" ca="1" si="741"/>
        <v>0</v>
      </c>
      <c r="DF96" s="119">
        <f t="shared" ca="1" si="741"/>
        <v>0</v>
      </c>
      <c r="DG96" s="119">
        <f t="shared" ca="1" si="741"/>
        <v>0</v>
      </c>
      <c r="DH96" s="119">
        <f t="shared" ca="1" si="741"/>
        <v>0</v>
      </c>
      <c r="DI96" s="119">
        <f t="shared" ca="1" si="741"/>
        <v>0</v>
      </c>
      <c r="DJ96" s="119">
        <f t="shared" ca="1" si="741"/>
        <v>0</v>
      </c>
      <c r="DK96" s="119">
        <f t="shared" ca="1" si="741"/>
        <v>0</v>
      </c>
      <c r="DL96" s="119">
        <f t="shared" ca="1" si="741"/>
        <v>0</v>
      </c>
      <c r="DM96" s="119">
        <f t="shared" ca="1" si="741"/>
        <v>0</v>
      </c>
      <c r="DN96" s="119">
        <f t="shared" ca="1" si="741"/>
        <v>0</v>
      </c>
      <c r="DO96" s="119">
        <f t="shared" ca="1" si="741"/>
        <v>0</v>
      </c>
      <c r="DP96" s="119">
        <f t="shared" ca="1" si="741"/>
        <v>0</v>
      </c>
      <c r="DQ96" s="119">
        <f t="shared" ca="1" si="741"/>
        <v>0</v>
      </c>
      <c r="DR96" s="119">
        <f t="shared" ca="1" si="741"/>
        <v>0</v>
      </c>
      <c r="DS96" s="119">
        <f t="shared" ca="1" si="741"/>
        <v>0</v>
      </c>
      <c r="DT96" s="119">
        <f t="shared" ca="1" si="741"/>
        <v>0</v>
      </c>
      <c r="DU96" s="119">
        <f t="shared" ca="1" si="741"/>
        <v>0</v>
      </c>
      <c r="DV96" s="119">
        <f t="shared" ca="1" si="741"/>
        <v>0</v>
      </c>
      <c r="DW96" s="119">
        <f t="shared" ca="1" si="741"/>
        <v>0</v>
      </c>
      <c r="DX96" s="119">
        <f t="shared" ca="1" si="741"/>
        <v>0</v>
      </c>
      <c r="DY96" s="119">
        <f t="shared" ca="1" si="741"/>
        <v>0</v>
      </c>
      <c r="DZ96" s="119">
        <f t="shared" ca="1" si="741"/>
        <v>0</v>
      </c>
      <c r="EA96" s="119">
        <f t="shared" ca="1" si="741"/>
        <v>0</v>
      </c>
      <c r="EB96" s="119">
        <f t="shared" ca="1" si="741"/>
        <v>0</v>
      </c>
      <c r="EC96" s="119">
        <f t="shared" ca="1" si="741"/>
        <v>0</v>
      </c>
      <c r="ED96" s="119">
        <f t="shared" ca="1" si="741"/>
        <v>0</v>
      </c>
      <c r="EE96" s="119">
        <f t="shared" ca="1" si="741"/>
        <v>0</v>
      </c>
      <c r="EF96" s="119">
        <f t="shared" ca="1" si="741"/>
        <v>0</v>
      </c>
      <c r="EG96" s="119">
        <f t="shared" ref="EG96:FA96" ca="1" si="742">EG121</f>
        <v>0</v>
      </c>
      <c r="EH96" s="119">
        <f t="shared" ca="1" si="742"/>
        <v>0</v>
      </c>
      <c r="EI96" s="119">
        <f t="shared" ca="1" si="742"/>
        <v>0</v>
      </c>
      <c r="EJ96" s="119">
        <f t="shared" ca="1" si="742"/>
        <v>0</v>
      </c>
      <c r="EK96" s="119">
        <f t="shared" ca="1" si="742"/>
        <v>0</v>
      </c>
      <c r="EL96" s="119">
        <f t="shared" ca="1" si="742"/>
        <v>0</v>
      </c>
      <c r="EM96" s="119">
        <f t="shared" ca="1" si="742"/>
        <v>0</v>
      </c>
      <c r="EN96" s="119">
        <f t="shared" ca="1" si="742"/>
        <v>0</v>
      </c>
      <c r="EO96" s="119">
        <f t="shared" ca="1" si="742"/>
        <v>0</v>
      </c>
      <c r="EP96" s="119">
        <f t="shared" ca="1" si="742"/>
        <v>0</v>
      </c>
      <c r="EQ96" s="119">
        <f t="shared" ca="1" si="742"/>
        <v>0</v>
      </c>
      <c r="ER96" s="119">
        <f t="shared" ca="1" si="742"/>
        <v>0</v>
      </c>
      <c r="ES96" s="119">
        <f t="shared" ca="1" si="742"/>
        <v>0</v>
      </c>
      <c r="ET96" s="119">
        <f t="shared" ca="1" si="742"/>
        <v>0</v>
      </c>
      <c r="EU96" s="119">
        <f t="shared" ca="1" si="742"/>
        <v>0</v>
      </c>
      <c r="EV96" s="119">
        <f t="shared" ca="1" si="742"/>
        <v>0</v>
      </c>
      <c r="EW96" s="119">
        <f t="shared" ca="1" si="742"/>
        <v>0</v>
      </c>
      <c r="EX96" s="119">
        <f t="shared" ca="1" si="742"/>
        <v>0</v>
      </c>
      <c r="EY96" s="119">
        <f t="shared" ca="1" si="742"/>
        <v>0</v>
      </c>
      <c r="EZ96" s="119">
        <f t="shared" ca="1" si="742"/>
        <v>0</v>
      </c>
      <c r="FA96" s="119">
        <f t="shared" ca="1" si="742"/>
        <v>0</v>
      </c>
    </row>
    <row r="97" spans="1:157" s="63" customFormat="1" outlineLevel="1" x14ac:dyDescent="0.2">
      <c r="A97"/>
      <c r="B97"/>
      <c r="C97" s="277" t="s">
        <v>433</v>
      </c>
      <c r="D97" s="64" t="s">
        <v>126</v>
      </c>
      <c r="E97" s="280"/>
      <c r="F97" s="286"/>
      <c r="G97" s="210">
        <f t="shared" ref="G97:AL97" ca="1" si="743">SUM(G93:G96)</f>
        <v>0</v>
      </c>
      <c r="H97" s="210">
        <f t="shared" ca="1" si="743"/>
        <v>0</v>
      </c>
      <c r="I97" s="210">
        <f t="shared" ca="1" si="743"/>
        <v>0</v>
      </c>
      <c r="J97" s="210">
        <f t="shared" ca="1" si="743"/>
        <v>0</v>
      </c>
      <c r="K97" s="210">
        <f t="shared" ca="1" si="743"/>
        <v>0</v>
      </c>
      <c r="L97" s="210">
        <f t="shared" ca="1" si="743"/>
        <v>0</v>
      </c>
      <c r="M97" s="210">
        <f t="shared" ca="1" si="743"/>
        <v>0</v>
      </c>
      <c r="N97" s="210">
        <f t="shared" ca="1" si="743"/>
        <v>0</v>
      </c>
      <c r="O97" s="210">
        <f t="shared" ca="1" si="743"/>
        <v>0</v>
      </c>
      <c r="P97" s="210">
        <f t="shared" ca="1" si="743"/>
        <v>0</v>
      </c>
      <c r="Q97" s="210">
        <f t="shared" ca="1" si="743"/>
        <v>0</v>
      </c>
      <c r="R97" s="210">
        <f t="shared" ca="1" si="743"/>
        <v>0</v>
      </c>
      <c r="S97" s="210">
        <f t="shared" ca="1" si="743"/>
        <v>0</v>
      </c>
      <c r="T97" s="210">
        <f t="shared" ca="1" si="743"/>
        <v>0</v>
      </c>
      <c r="U97" s="210">
        <f t="shared" ca="1" si="743"/>
        <v>0</v>
      </c>
      <c r="V97" s="210">
        <f t="shared" ca="1" si="743"/>
        <v>0</v>
      </c>
      <c r="W97" s="210">
        <f t="shared" ca="1" si="743"/>
        <v>0</v>
      </c>
      <c r="X97" s="210">
        <f t="shared" ca="1" si="743"/>
        <v>0</v>
      </c>
      <c r="Y97" s="210">
        <f t="shared" ca="1" si="743"/>
        <v>0</v>
      </c>
      <c r="Z97" s="210">
        <f t="shared" ca="1" si="743"/>
        <v>3.0988417675622202</v>
      </c>
      <c r="AA97" s="210">
        <f t="shared" ca="1" si="743"/>
        <v>38.442665305658856</v>
      </c>
      <c r="AB97" s="210">
        <f t="shared" ca="1" si="743"/>
        <v>0</v>
      </c>
      <c r="AC97" s="210">
        <f t="shared" ca="1" si="743"/>
        <v>0</v>
      </c>
      <c r="AD97" s="210">
        <f t="shared" ca="1" si="743"/>
        <v>3.0935822394039008</v>
      </c>
      <c r="AE97" s="210">
        <f t="shared" ca="1" si="743"/>
        <v>40.570666988975766</v>
      </c>
      <c r="AF97" s="210">
        <f t="shared" ca="1" si="743"/>
        <v>0</v>
      </c>
      <c r="AG97" s="210">
        <f t="shared" ca="1" si="743"/>
        <v>0</v>
      </c>
      <c r="AH97" s="210">
        <f t="shared" ca="1" si="743"/>
        <v>4.2436235630533616</v>
      </c>
      <c r="AI97" s="210">
        <f t="shared" ca="1" si="743"/>
        <v>42.025643713299218</v>
      </c>
      <c r="AJ97" s="210">
        <f t="shared" ca="1" si="743"/>
        <v>0</v>
      </c>
      <c r="AK97" s="210">
        <f t="shared" ca="1" si="743"/>
        <v>0</v>
      </c>
      <c r="AL97" s="210">
        <f t="shared" ca="1" si="743"/>
        <v>2.8404441787306673</v>
      </c>
      <c r="AM97" s="210">
        <f t="shared" ref="AM97:BR97" ca="1" si="744">SUM(AM93:AM96)</f>
        <v>43.799156348292101</v>
      </c>
      <c r="AN97" s="210">
        <f t="shared" ca="1" si="744"/>
        <v>0</v>
      </c>
      <c r="AO97" s="210">
        <f t="shared" ca="1" si="744"/>
        <v>0</v>
      </c>
      <c r="AP97" s="210">
        <f t="shared" ca="1" si="744"/>
        <v>3.5851505276393922</v>
      </c>
      <c r="AQ97" s="210">
        <f t="shared" ca="1" si="744"/>
        <v>45.065801301170303</v>
      </c>
      <c r="AR97" s="210">
        <f t="shared" ca="1" si="744"/>
        <v>0</v>
      </c>
      <c r="AS97" s="210">
        <f t="shared" ca="1" si="744"/>
        <v>0</v>
      </c>
      <c r="AT97" s="210">
        <f t="shared" ca="1" si="744"/>
        <v>2.6469478698545075</v>
      </c>
      <c r="AU97" s="210">
        <f t="shared" ca="1" si="744"/>
        <v>45.979656692739937</v>
      </c>
      <c r="AV97" s="210">
        <f t="shared" ca="1" si="744"/>
        <v>0</v>
      </c>
      <c r="AW97" s="210">
        <f t="shared" ca="1" si="744"/>
        <v>0</v>
      </c>
      <c r="AX97" s="210">
        <f t="shared" ca="1" si="744"/>
        <v>2.6200869504450104</v>
      </c>
      <c r="AY97" s="210">
        <f t="shared" ca="1" si="744"/>
        <v>47.005284042447514</v>
      </c>
      <c r="AZ97" s="210">
        <f t="shared" ca="1" si="744"/>
        <v>0</v>
      </c>
      <c r="BA97" s="210">
        <f t="shared" ca="1" si="744"/>
        <v>0</v>
      </c>
      <c r="BB97" s="210">
        <f t="shared" ca="1" si="744"/>
        <v>4.5224046144152901</v>
      </c>
      <c r="BC97" s="210">
        <f t="shared" ca="1" si="744"/>
        <v>47.636054247382233</v>
      </c>
      <c r="BD97" s="210">
        <f t="shared" ca="1" si="744"/>
        <v>0</v>
      </c>
      <c r="BE97" s="210">
        <f t="shared" ca="1" si="744"/>
        <v>0</v>
      </c>
      <c r="BF97" s="210">
        <f t="shared" ca="1" si="744"/>
        <v>2.1635009143747439</v>
      </c>
      <c r="BG97" s="210">
        <f t="shared" ca="1" si="744"/>
        <v>48.242050152460813</v>
      </c>
      <c r="BH97" s="210">
        <f t="shared" ca="1" si="744"/>
        <v>0</v>
      </c>
      <c r="BI97" s="210">
        <f t="shared" ca="1" si="744"/>
        <v>0</v>
      </c>
      <c r="BJ97" s="210">
        <f t="shared" ca="1" si="744"/>
        <v>2.1180267273372486</v>
      </c>
      <c r="BK97" s="210">
        <f t="shared" ca="1" si="744"/>
        <v>49.317058709749752</v>
      </c>
      <c r="BL97" s="210">
        <f t="shared" ca="1" si="744"/>
        <v>0</v>
      </c>
      <c r="BM97" s="210">
        <f t="shared" ca="1" si="744"/>
        <v>0</v>
      </c>
      <c r="BN97" s="210">
        <f t="shared" ca="1" si="744"/>
        <v>2.0688617695882598</v>
      </c>
      <c r="BO97" s="210">
        <f t="shared" ca="1" si="744"/>
        <v>50.415844125662609</v>
      </c>
      <c r="BP97" s="210">
        <f t="shared" ca="1" si="744"/>
        <v>0</v>
      </c>
      <c r="BQ97" s="210">
        <f t="shared" ca="1" si="744"/>
        <v>0</v>
      </c>
      <c r="BR97" s="210">
        <f t="shared" ca="1" si="744"/>
        <v>2.015847493705607</v>
      </c>
      <c r="BS97" s="210">
        <f t="shared" ref="BS97:CX97" ca="1" si="745">SUM(BS93:BS96)</f>
        <v>51.53892712303599</v>
      </c>
      <c r="BT97" s="210">
        <f t="shared" ca="1" si="745"/>
        <v>0</v>
      </c>
      <c r="BU97" s="210">
        <f t="shared" ca="1" si="745"/>
        <v>0</v>
      </c>
      <c r="BV97" s="210">
        <f t="shared" ca="1" si="745"/>
        <v>1.9588196490226508</v>
      </c>
      <c r="BW97" s="210">
        <f t="shared" ca="1" si="745"/>
        <v>52.686839677539908</v>
      </c>
      <c r="BX97" s="210">
        <f t="shared" ca="1" si="745"/>
        <v>0</v>
      </c>
      <c r="BY97" s="210">
        <f t="shared" ca="1" si="745"/>
        <v>0</v>
      </c>
      <c r="BZ97" s="210">
        <f t="shared" ca="1" si="745"/>
        <v>1.8976080928986221</v>
      </c>
      <c r="CA97" s="210">
        <f t="shared" ca="1" si="745"/>
        <v>53.860125256381238</v>
      </c>
      <c r="CB97" s="210">
        <f t="shared" ca="1" si="745"/>
        <v>0</v>
      </c>
      <c r="CC97" s="210">
        <f t="shared" ca="1" si="745"/>
        <v>0</v>
      </c>
      <c r="CD97" s="210">
        <f t="shared" ca="1" si="745"/>
        <v>4.809900281664838</v>
      </c>
      <c r="CE97" s="210">
        <f t="shared" ca="1" si="745"/>
        <v>54.415797852794398</v>
      </c>
      <c r="CF97" s="210">
        <f t="shared" ca="1" si="745"/>
        <v>0</v>
      </c>
      <c r="CG97" s="210">
        <f t="shared" ca="1" si="745"/>
        <v>0</v>
      </c>
      <c r="CH97" s="210">
        <f t="shared" ca="1" si="745"/>
        <v>1.1553800711755144</v>
      </c>
      <c r="CI97" s="210">
        <f t="shared" ca="1" si="745"/>
        <v>54.92401053011443</v>
      </c>
      <c r="CJ97" s="210">
        <f t="shared" ca="1" si="745"/>
        <v>0</v>
      </c>
      <c r="CK97" s="210">
        <f t="shared" ca="1" si="745"/>
        <v>0</v>
      </c>
      <c r="CL97" s="210">
        <f t="shared" ca="1" si="745"/>
        <v>1.0666144958549779</v>
      </c>
      <c r="CM97" s="210">
        <f t="shared" ca="1" si="745"/>
        <v>56.145558768972847</v>
      </c>
      <c r="CN97" s="210">
        <f t="shared" ca="1" si="745"/>
        <v>0</v>
      </c>
      <c r="CO97" s="210">
        <f t="shared" ca="1" si="745"/>
        <v>0</v>
      </c>
      <c r="CP97" s="210">
        <f t="shared" ca="1" si="745"/>
        <v>0.97260226440044306</v>
      </c>
      <c r="CQ97" s="210">
        <f t="shared" ca="1" si="745"/>
        <v>57.394056903054789</v>
      </c>
      <c r="CR97" s="210">
        <f t="shared" ca="1" si="745"/>
        <v>0</v>
      </c>
      <c r="CS97" s="210">
        <f t="shared" ca="1" si="745"/>
        <v>0</v>
      </c>
      <c r="CT97" s="210">
        <f t="shared" ca="1" si="745"/>
        <v>41.697389739016977</v>
      </c>
      <c r="CU97" s="278">
        <f t="shared" ca="1" si="745"/>
        <v>90.773705351051291</v>
      </c>
      <c r="CV97" s="210">
        <f t="shared" ca="1" si="745"/>
        <v>19.359145747212487</v>
      </c>
      <c r="CW97" s="210">
        <f t="shared" ca="1" si="745"/>
        <v>-4.0012472901862992</v>
      </c>
      <c r="CX97" s="210">
        <f t="shared" ca="1" si="745"/>
        <v>14.960474583765521</v>
      </c>
      <c r="CY97" s="210">
        <f t="shared" ref="CY97:ED97" ca="1" si="746">SUM(CY93:CY96)</f>
        <v>19.362992797710039</v>
      </c>
      <c r="CZ97" s="210">
        <f t="shared" ca="1" si="746"/>
        <v>0.81112863905260468</v>
      </c>
      <c r="DA97" s="210">
        <f t="shared" ca="1" si="746"/>
        <v>-4.9812678395834631</v>
      </c>
      <c r="DB97" s="210">
        <f t="shared" ca="1" si="746"/>
        <v>14.097999959817733</v>
      </c>
      <c r="DC97" s="210">
        <f t="shared" ca="1" si="746"/>
        <v>19.317100563747296</v>
      </c>
      <c r="DD97" s="210">
        <f t="shared" ca="1" si="746"/>
        <v>0.63075250927223436</v>
      </c>
      <c r="DE97" s="210">
        <f t="shared" ca="1" si="746"/>
        <v>-5.2959507836985269</v>
      </c>
      <c r="DF97" s="210">
        <f t="shared" ca="1" si="746"/>
        <v>14.219805424285273</v>
      </c>
      <c r="DG97" s="210">
        <f t="shared" ca="1" si="746"/>
        <v>19.557294061828777</v>
      </c>
      <c r="DH97" s="210">
        <f t="shared" ca="1" si="746"/>
        <v>0.44069439040100189</v>
      </c>
      <c r="DI97" s="210">
        <f t="shared" ca="1" si="746"/>
        <v>-5.6234363425838332</v>
      </c>
      <c r="DJ97" s="210">
        <f t="shared" ca="1" si="746"/>
        <v>14.33878713365227</v>
      </c>
      <c r="DK97" s="210">
        <f t="shared" ca="1" si="746"/>
        <v>19.797341994018819</v>
      </c>
      <c r="DL97" s="210">
        <f t="shared" ca="1" si="746"/>
        <v>0.24057734616101278</v>
      </c>
      <c r="DM97" s="210">
        <f t="shared" ca="1" si="746"/>
        <v>-5.964174142024059</v>
      </c>
      <c r="DN97" s="210">
        <f t="shared" ca="1" si="746"/>
        <v>14.454723398386506</v>
      </c>
      <c r="DO97" s="210">
        <f t="shared" ca="1" si="746"/>
        <v>20.037083049169642</v>
      </c>
      <c r="DP97" s="210">
        <f t="shared" ca="1" si="746"/>
        <v>3.0011460213558827E-2</v>
      </c>
      <c r="DQ97" s="210">
        <f t="shared" ca="1" si="746"/>
        <v>-6.3186284861178219</v>
      </c>
      <c r="DR97" s="210">
        <f t="shared" ca="1" si="746"/>
        <v>14.567383051541377</v>
      </c>
      <c r="DS97" s="210">
        <f t="shared" ca="1" si="746"/>
        <v>20.276347793955345</v>
      </c>
      <c r="DT97" s="210">
        <f t="shared" ca="1" si="746"/>
        <v>-0.19140658310651659</v>
      </c>
      <c r="DU97" s="210">
        <f t="shared" ca="1" si="746"/>
        <v>-6.687278816361359</v>
      </c>
      <c r="DV97" s="210">
        <f t="shared" ca="1" si="746"/>
        <v>14.676525108183675</v>
      </c>
      <c r="DW97" s="210">
        <f t="shared" ca="1" si="746"/>
        <v>20.514958362547389</v>
      </c>
      <c r="DX97" s="210">
        <f t="shared" ca="1" si="746"/>
        <v>-0.42409393108694537</v>
      </c>
      <c r="DY97" s="210">
        <f t="shared" ca="1" si="746"/>
        <v>-7.070620184700612</v>
      </c>
      <c r="DZ97" s="210">
        <f t="shared" ca="1" si="746"/>
        <v>14.78189841354871</v>
      </c>
      <c r="EA97" s="210">
        <f t="shared" ca="1" si="746"/>
        <v>20.752728135687192</v>
      </c>
      <c r="EB97" s="210">
        <f t="shared" ca="1" si="746"/>
        <v>-0.66848200836048299</v>
      </c>
      <c r="EC97" s="210">
        <f t="shared" ca="1" si="746"/>
        <v>-7.4691637409691687</v>
      </c>
      <c r="ED97" s="210">
        <f t="shared" ca="1" si="746"/>
        <v>14.883241279566935</v>
      </c>
      <c r="EE97" s="210">
        <f t="shared" ref="EE97:FA97" ca="1" si="747">SUM(EE93:EE96)</f>
        <v>20.989461408815462</v>
      </c>
      <c r="EF97" s="210">
        <f t="shared" ca="1" si="747"/>
        <v>-0.92501697645963077</v>
      </c>
      <c r="EG97" s="210">
        <f t="shared" ca="1" si="747"/>
        <v>-7.8834372351410078</v>
      </c>
      <c r="EH97" s="210">
        <f t="shared" ca="1" si="747"/>
        <v>14.980281109395586</v>
      </c>
      <c r="EI97" s="210">
        <f t="shared" ca="1" si="747"/>
        <v>-426.49576623936605</v>
      </c>
      <c r="EJ97" s="210">
        <f t="shared" ca="1" si="747"/>
        <v>20.99939837536343</v>
      </c>
      <c r="EK97" s="210">
        <f t="shared" ca="1" si="747"/>
        <v>0</v>
      </c>
      <c r="EL97" s="210">
        <f t="shared" ca="1" si="747"/>
        <v>0</v>
      </c>
      <c r="EM97" s="210">
        <f t="shared" ca="1" si="747"/>
        <v>0</v>
      </c>
      <c r="EN97" s="210">
        <f t="shared" ca="1" si="747"/>
        <v>0</v>
      </c>
      <c r="EO97" s="210">
        <f t="shared" ca="1" si="747"/>
        <v>0</v>
      </c>
      <c r="EP97" s="210">
        <f t="shared" ca="1" si="747"/>
        <v>0</v>
      </c>
      <c r="EQ97" s="210">
        <f t="shared" ca="1" si="747"/>
        <v>0</v>
      </c>
      <c r="ER97" s="210">
        <f t="shared" ca="1" si="747"/>
        <v>0</v>
      </c>
      <c r="ES97" s="210">
        <f t="shared" ca="1" si="747"/>
        <v>0</v>
      </c>
      <c r="ET97" s="210">
        <f t="shared" ca="1" si="747"/>
        <v>0</v>
      </c>
      <c r="EU97" s="210">
        <f t="shared" ca="1" si="747"/>
        <v>0</v>
      </c>
      <c r="EV97" s="210">
        <f t="shared" ca="1" si="747"/>
        <v>0</v>
      </c>
      <c r="EW97" s="210">
        <f t="shared" ca="1" si="747"/>
        <v>0</v>
      </c>
      <c r="EX97" s="210">
        <f t="shared" ca="1" si="747"/>
        <v>0</v>
      </c>
      <c r="EY97" s="210">
        <f t="shared" ca="1" si="747"/>
        <v>0</v>
      </c>
      <c r="EZ97" s="210">
        <f t="shared" ca="1" si="747"/>
        <v>0</v>
      </c>
      <c r="FA97" s="210">
        <f t="shared" ca="1" si="747"/>
        <v>0</v>
      </c>
    </row>
    <row r="98" spans="1:157" outlineLevel="1" x14ac:dyDescent="0.2">
      <c r="C98" s="9" t="s">
        <v>425</v>
      </c>
      <c r="D98" s="21" t="s">
        <v>126</v>
      </c>
      <c r="E98" s="5"/>
      <c r="F98" s="213"/>
      <c r="G98" s="109">
        <f ca="1">IF(G122&lt;G114-0.01,MAX(0,G97)*-1,0)</f>
        <v>0</v>
      </c>
      <c r="H98" s="109">
        <f t="shared" ref="H98:BS98" ca="1" si="748">IF(H122&lt;H114-0.01,MAX(0,H97)*-1,0)</f>
        <v>0</v>
      </c>
      <c r="I98" s="109">
        <f t="shared" ca="1" si="748"/>
        <v>0</v>
      </c>
      <c r="J98" s="109">
        <f t="shared" ca="1" si="748"/>
        <v>0</v>
      </c>
      <c r="K98" s="109">
        <f t="shared" ca="1" si="748"/>
        <v>0</v>
      </c>
      <c r="L98" s="109">
        <f t="shared" ca="1" si="748"/>
        <v>0</v>
      </c>
      <c r="M98" s="109">
        <f t="shared" ca="1" si="748"/>
        <v>0</v>
      </c>
      <c r="N98" s="109">
        <f t="shared" ca="1" si="748"/>
        <v>0</v>
      </c>
      <c r="O98" s="109">
        <f t="shared" ca="1" si="748"/>
        <v>0</v>
      </c>
      <c r="P98" s="109">
        <f t="shared" ca="1" si="748"/>
        <v>0</v>
      </c>
      <c r="Q98" s="109">
        <f t="shared" ca="1" si="748"/>
        <v>0</v>
      </c>
      <c r="R98" s="109">
        <f t="shared" ca="1" si="748"/>
        <v>0</v>
      </c>
      <c r="S98" s="109">
        <f t="shared" ca="1" si="748"/>
        <v>0</v>
      </c>
      <c r="T98" s="109">
        <f t="shared" ca="1" si="748"/>
        <v>0</v>
      </c>
      <c r="U98" s="109">
        <f t="shared" ca="1" si="748"/>
        <v>0</v>
      </c>
      <c r="V98" s="109">
        <f t="shared" ca="1" si="748"/>
        <v>0</v>
      </c>
      <c r="W98" s="109">
        <f t="shared" ca="1" si="748"/>
        <v>0</v>
      </c>
      <c r="X98" s="109">
        <f t="shared" ca="1" si="748"/>
        <v>0</v>
      </c>
      <c r="Y98" s="109">
        <f t="shared" ca="1" si="748"/>
        <v>0</v>
      </c>
      <c r="Z98" s="109">
        <f t="shared" ca="1" si="748"/>
        <v>0</v>
      </c>
      <c r="AA98" s="109">
        <f t="shared" ca="1" si="748"/>
        <v>0</v>
      </c>
      <c r="AB98" s="109">
        <f t="shared" ca="1" si="748"/>
        <v>0</v>
      </c>
      <c r="AC98" s="109">
        <f t="shared" ca="1" si="748"/>
        <v>0</v>
      </c>
      <c r="AD98" s="109">
        <f t="shared" ca="1" si="748"/>
        <v>0</v>
      </c>
      <c r="AE98" s="109">
        <f t="shared" ca="1" si="748"/>
        <v>0</v>
      </c>
      <c r="AF98" s="109">
        <f t="shared" ca="1" si="748"/>
        <v>0</v>
      </c>
      <c r="AG98" s="109">
        <f t="shared" ca="1" si="748"/>
        <v>0</v>
      </c>
      <c r="AH98" s="109">
        <f t="shared" ca="1" si="748"/>
        <v>0</v>
      </c>
      <c r="AI98" s="109">
        <f t="shared" ca="1" si="748"/>
        <v>0</v>
      </c>
      <c r="AJ98" s="109">
        <f t="shared" ca="1" si="748"/>
        <v>0</v>
      </c>
      <c r="AK98" s="109">
        <f t="shared" ca="1" si="748"/>
        <v>0</v>
      </c>
      <c r="AL98" s="109">
        <f t="shared" ca="1" si="748"/>
        <v>0</v>
      </c>
      <c r="AM98" s="109">
        <f t="shared" ca="1" si="748"/>
        <v>0</v>
      </c>
      <c r="AN98" s="109">
        <f t="shared" ca="1" si="748"/>
        <v>0</v>
      </c>
      <c r="AO98" s="109">
        <f t="shared" ca="1" si="748"/>
        <v>0</v>
      </c>
      <c r="AP98" s="109">
        <f t="shared" ca="1" si="748"/>
        <v>0</v>
      </c>
      <c r="AQ98" s="109">
        <f t="shared" ca="1" si="748"/>
        <v>0</v>
      </c>
      <c r="AR98" s="109">
        <f t="shared" ca="1" si="748"/>
        <v>0</v>
      </c>
      <c r="AS98" s="109">
        <f t="shared" ca="1" si="748"/>
        <v>0</v>
      </c>
      <c r="AT98" s="109">
        <f t="shared" ca="1" si="748"/>
        <v>0</v>
      </c>
      <c r="AU98" s="109">
        <f t="shared" ca="1" si="748"/>
        <v>0</v>
      </c>
      <c r="AV98" s="109">
        <f t="shared" ca="1" si="748"/>
        <v>0</v>
      </c>
      <c r="AW98" s="109">
        <f t="shared" ca="1" si="748"/>
        <v>0</v>
      </c>
      <c r="AX98" s="109">
        <f t="shared" ca="1" si="748"/>
        <v>0</v>
      </c>
      <c r="AY98" s="109">
        <f t="shared" ca="1" si="748"/>
        <v>0</v>
      </c>
      <c r="AZ98" s="109">
        <f t="shared" ca="1" si="748"/>
        <v>0</v>
      </c>
      <c r="BA98" s="109">
        <f t="shared" ca="1" si="748"/>
        <v>0</v>
      </c>
      <c r="BB98" s="109">
        <f t="shared" ca="1" si="748"/>
        <v>0</v>
      </c>
      <c r="BC98" s="109">
        <f t="shared" ca="1" si="748"/>
        <v>0</v>
      </c>
      <c r="BD98" s="109">
        <f t="shared" ca="1" si="748"/>
        <v>0</v>
      </c>
      <c r="BE98" s="109">
        <f t="shared" ca="1" si="748"/>
        <v>0</v>
      </c>
      <c r="BF98" s="109">
        <f t="shared" ca="1" si="748"/>
        <v>0</v>
      </c>
      <c r="BG98" s="109">
        <f t="shared" ca="1" si="748"/>
        <v>0</v>
      </c>
      <c r="BH98" s="109">
        <f t="shared" ca="1" si="748"/>
        <v>0</v>
      </c>
      <c r="BI98" s="109">
        <f t="shared" ca="1" si="748"/>
        <v>0</v>
      </c>
      <c r="BJ98" s="109">
        <f t="shared" ca="1" si="748"/>
        <v>0</v>
      </c>
      <c r="BK98" s="109">
        <f t="shared" ca="1" si="748"/>
        <v>0</v>
      </c>
      <c r="BL98" s="109">
        <f t="shared" ca="1" si="748"/>
        <v>0</v>
      </c>
      <c r="BM98" s="109">
        <f t="shared" ca="1" si="748"/>
        <v>0</v>
      </c>
      <c r="BN98" s="109">
        <f t="shared" ca="1" si="748"/>
        <v>0</v>
      </c>
      <c r="BO98" s="109">
        <f t="shared" ca="1" si="748"/>
        <v>0</v>
      </c>
      <c r="BP98" s="109">
        <f t="shared" ca="1" si="748"/>
        <v>0</v>
      </c>
      <c r="BQ98" s="109">
        <f t="shared" ca="1" si="748"/>
        <v>0</v>
      </c>
      <c r="BR98" s="109">
        <f t="shared" ca="1" si="748"/>
        <v>0</v>
      </c>
      <c r="BS98" s="109">
        <f t="shared" ca="1" si="748"/>
        <v>0</v>
      </c>
      <c r="BT98" s="109">
        <f t="shared" ref="BT98:EE98" ca="1" si="749">IF(BT122&lt;BT114-0.01,MAX(0,BT97)*-1,0)</f>
        <v>0</v>
      </c>
      <c r="BU98" s="109">
        <f t="shared" ca="1" si="749"/>
        <v>0</v>
      </c>
      <c r="BV98" s="109">
        <f t="shared" ca="1" si="749"/>
        <v>0</v>
      </c>
      <c r="BW98" s="109">
        <f t="shared" ca="1" si="749"/>
        <v>0</v>
      </c>
      <c r="BX98" s="109">
        <f t="shared" ca="1" si="749"/>
        <v>0</v>
      </c>
      <c r="BY98" s="109">
        <f t="shared" ca="1" si="749"/>
        <v>0</v>
      </c>
      <c r="BZ98" s="109">
        <f t="shared" ca="1" si="749"/>
        <v>0</v>
      </c>
      <c r="CA98" s="109">
        <f t="shared" ca="1" si="749"/>
        <v>0</v>
      </c>
      <c r="CB98" s="109">
        <f t="shared" ca="1" si="749"/>
        <v>0</v>
      </c>
      <c r="CC98" s="109">
        <f t="shared" ca="1" si="749"/>
        <v>0</v>
      </c>
      <c r="CD98" s="109">
        <f t="shared" ca="1" si="749"/>
        <v>0</v>
      </c>
      <c r="CE98" s="109">
        <f t="shared" ca="1" si="749"/>
        <v>0</v>
      </c>
      <c r="CF98" s="109">
        <f t="shared" ca="1" si="749"/>
        <v>0</v>
      </c>
      <c r="CG98" s="109">
        <f t="shared" ca="1" si="749"/>
        <v>0</v>
      </c>
      <c r="CH98" s="109">
        <f t="shared" ca="1" si="749"/>
        <v>0</v>
      </c>
      <c r="CI98" s="109">
        <f t="shared" ca="1" si="749"/>
        <v>0</v>
      </c>
      <c r="CJ98" s="109">
        <f t="shared" ca="1" si="749"/>
        <v>0</v>
      </c>
      <c r="CK98" s="109">
        <f t="shared" ca="1" si="749"/>
        <v>0</v>
      </c>
      <c r="CL98" s="109">
        <f t="shared" ca="1" si="749"/>
        <v>0</v>
      </c>
      <c r="CM98" s="109">
        <f t="shared" ca="1" si="749"/>
        <v>0</v>
      </c>
      <c r="CN98" s="109">
        <f t="shared" ca="1" si="749"/>
        <v>0</v>
      </c>
      <c r="CO98" s="109">
        <f t="shared" ca="1" si="749"/>
        <v>0</v>
      </c>
      <c r="CP98" s="109">
        <f t="shared" ca="1" si="749"/>
        <v>0</v>
      </c>
      <c r="CQ98" s="109">
        <f t="shared" ca="1" si="749"/>
        <v>0</v>
      </c>
      <c r="CR98" s="109">
        <f t="shared" ca="1" si="749"/>
        <v>0</v>
      </c>
      <c r="CS98" s="109">
        <f t="shared" ca="1" si="749"/>
        <v>0</v>
      </c>
      <c r="CT98" s="109">
        <f t="shared" ca="1" si="749"/>
        <v>0</v>
      </c>
      <c r="CU98" s="257">
        <f t="shared" ca="1" si="749"/>
        <v>0</v>
      </c>
      <c r="CV98" s="109">
        <f t="shared" ca="1" si="749"/>
        <v>0</v>
      </c>
      <c r="CW98" s="109">
        <f t="shared" ca="1" si="749"/>
        <v>0</v>
      </c>
      <c r="CX98" s="109">
        <f t="shared" ca="1" si="749"/>
        <v>0</v>
      </c>
      <c r="CY98" s="109">
        <f t="shared" ca="1" si="749"/>
        <v>0</v>
      </c>
      <c r="CZ98" s="109">
        <f t="shared" ca="1" si="749"/>
        <v>0</v>
      </c>
      <c r="DA98" s="109">
        <f t="shared" ca="1" si="749"/>
        <v>0</v>
      </c>
      <c r="DB98" s="109">
        <f t="shared" ca="1" si="749"/>
        <v>0</v>
      </c>
      <c r="DC98" s="109">
        <f t="shared" ca="1" si="749"/>
        <v>0</v>
      </c>
      <c r="DD98" s="109">
        <f t="shared" ca="1" si="749"/>
        <v>0</v>
      </c>
      <c r="DE98" s="109">
        <f t="shared" ca="1" si="749"/>
        <v>0</v>
      </c>
      <c r="DF98" s="109">
        <f t="shared" ca="1" si="749"/>
        <v>0</v>
      </c>
      <c r="DG98" s="109">
        <f t="shared" ca="1" si="749"/>
        <v>0</v>
      </c>
      <c r="DH98" s="109">
        <f t="shared" ca="1" si="749"/>
        <v>0</v>
      </c>
      <c r="DI98" s="109">
        <f t="shared" ca="1" si="749"/>
        <v>0</v>
      </c>
      <c r="DJ98" s="109">
        <f t="shared" ca="1" si="749"/>
        <v>0</v>
      </c>
      <c r="DK98" s="109">
        <f t="shared" ca="1" si="749"/>
        <v>0</v>
      </c>
      <c r="DL98" s="109">
        <f t="shared" ca="1" si="749"/>
        <v>0</v>
      </c>
      <c r="DM98" s="109">
        <f t="shared" ca="1" si="749"/>
        <v>0</v>
      </c>
      <c r="DN98" s="109">
        <f t="shared" ca="1" si="749"/>
        <v>0</v>
      </c>
      <c r="DO98" s="109">
        <f t="shared" ca="1" si="749"/>
        <v>0</v>
      </c>
      <c r="DP98" s="109">
        <f t="shared" ca="1" si="749"/>
        <v>0</v>
      </c>
      <c r="DQ98" s="109">
        <f t="shared" ca="1" si="749"/>
        <v>0</v>
      </c>
      <c r="DR98" s="109">
        <f t="shared" ca="1" si="749"/>
        <v>0</v>
      </c>
      <c r="DS98" s="109">
        <f t="shared" ca="1" si="749"/>
        <v>0</v>
      </c>
      <c r="DT98" s="109">
        <f t="shared" ca="1" si="749"/>
        <v>0</v>
      </c>
      <c r="DU98" s="109">
        <f t="shared" ca="1" si="749"/>
        <v>0</v>
      </c>
      <c r="DV98" s="109">
        <f t="shared" ca="1" si="749"/>
        <v>0</v>
      </c>
      <c r="DW98" s="109">
        <f t="shared" ca="1" si="749"/>
        <v>0</v>
      </c>
      <c r="DX98" s="109">
        <f t="shared" ca="1" si="749"/>
        <v>0</v>
      </c>
      <c r="DY98" s="109">
        <f t="shared" ca="1" si="749"/>
        <v>0</v>
      </c>
      <c r="DZ98" s="109">
        <f t="shared" ca="1" si="749"/>
        <v>0</v>
      </c>
      <c r="EA98" s="109">
        <f t="shared" ca="1" si="749"/>
        <v>0</v>
      </c>
      <c r="EB98" s="109">
        <f t="shared" ca="1" si="749"/>
        <v>0</v>
      </c>
      <c r="EC98" s="109">
        <f t="shared" ca="1" si="749"/>
        <v>0</v>
      </c>
      <c r="ED98" s="109">
        <f t="shared" ca="1" si="749"/>
        <v>0</v>
      </c>
      <c r="EE98" s="109">
        <f t="shared" ca="1" si="749"/>
        <v>0</v>
      </c>
      <c r="EF98" s="109">
        <f t="shared" ref="EF98:FA98" ca="1" si="750">IF(EF122&lt;EF114-0.01,MAX(0,EF97)*-1,0)</f>
        <v>0</v>
      </c>
      <c r="EG98" s="109">
        <f t="shared" ca="1" si="750"/>
        <v>0</v>
      </c>
      <c r="EH98" s="109">
        <f t="shared" ca="1" si="750"/>
        <v>0</v>
      </c>
      <c r="EI98" s="109">
        <f t="shared" ca="1" si="750"/>
        <v>0</v>
      </c>
      <c r="EJ98" s="109">
        <f t="shared" ca="1" si="750"/>
        <v>0</v>
      </c>
      <c r="EK98" s="109">
        <f t="shared" ca="1" si="750"/>
        <v>0</v>
      </c>
      <c r="EL98" s="109">
        <f t="shared" ca="1" si="750"/>
        <v>0</v>
      </c>
      <c r="EM98" s="109">
        <f t="shared" ca="1" si="750"/>
        <v>0</v>
      </c>
      <c r="EN98" s="109">
        <f t="shared" ca="1" si="750"/>
        <v>0</v>
      </c>
      <c r="EO98" s="109">
        <f t="shared" ca="1" si="750"/>
        <v>0</v>
      </c>
      <c r="EP98" s="109">
        <f t="shared" ca="1" si="750"/>
        <v>0</v>
      </c>
      <c r="EQ98" s="109">
        <f t="shared" ca="1" si="750"/>
        <v>0</v>
      </c>
      <c r="ER98" s="109">
        <f t="shared" ca="1" si="750"/>
        <v>0</v>
      </c>
      <c r="ES98" s="109">
        <f t="shared" ca="1" si="750"/>
        <v>0</v>
      </c>
      <c r="ET98" s="109">
        <f t="shared" ca="1" si="750"/>
        <v>0</v>
      </c>
      <c r="EU98" s="109">
        <f t="shared" ca="1" si="750"/>
        <v>0</v>
      </c>
      <c r="EV98" s="109">
        <f t="shared" ca="1" si="750"/>
        <v>0</v>
      </c>
      <c r="EW98" s="109">
        <f t="shared" ca="1" si="750"/>
        <v>0</v>
      </c>
      <c r="EX98" s="109">
        <f t="shared" ca="1" si="750"/>
        <v>0</v>
      </c>
      <c r="EY98" s="109">
        <f t="shared" ca="1" si="750"/>
        <v>0</v>
      </c>
      <c r="EZ98" s="109">
        <f t="shared" ca="1" si="750"/>
        <v>0</v>
      </c>
      <c r="FA98" s="109">
        <f t="shared" ca="1" si="750"/>
        <v>0</v>
      </c>
    </row>
    <row r="99" spans="1:157" s="206" customFormat="1" outlineLevel="1" x14ac:dyDescent="0.2">
      <c r="A99"/>
      <c r="B99"/>
      <c r="C99" s="277" t="s">
        <v>441</v>
      </c>
      <c r="D99" s="64" t="s">
        <v>126</v>
      </c>
      <c r="E99" s="276"/>
      <c r="F99" s="276"/>
      <c r="G99" s="210">
        <f ca="1">SUM(G97:G98)</f>
        <v>0</v>
      </c>
      <c r="H99" s="210">
        <f t="shared" ref="H99:BS99" ca="1" si="751">SUM(H97:H98)</f>
        <v>0</v>
      </c>
      <c r="I99" s="210">
        <f t="shared" ca="1" si="751"/>
        <v>0</v>
      </c>
      <c r="J99" s="210">
        <f t="shared" ca="1" si="751"/>
        <v>0</v>
      </c>
      <c r="K99" s="210">
        <f t="shared" ca="1" si="751"/>
        <v>0</v>
      </c>
      <c r="L99" s="210">
        <f t="shared" ca="1" si="751"/>
        <v>0</v>
      </c>
      <c r="M99" s="210">
        <f t="shared" ca="1" si="751"/>
        <v>0</v>
      </c>
      <c r="N99" s="210">
        <f t="shared" ca="1" si="751"/>
        <v>0</v>
      </c>
      <c r="O99" s="210">
        <f t="shared" ca="1" si="751"/>
        <v>0</v>
      </c>
      <c r="P99" s="210">
        <f t="shared" ca="1" si="751"/>
        <v>0</v>
      </c>
      <c r="Q99" s="210">
        <f t="shared" ca="1" si="751"/>
        <v>0</v>
      </c>
      <c r="R99" s="210">
        <f t="shared" ca="1" si="751"/>
        <v>0</v>
      </c>
      <c r="S99" s="210">
        <f t="shared" ca="1" si="751"/>
        <v>0</v>
      </c>
      <c r="T99" s="210">
        <f t="shared" ca="1" si="751"/>
        <v>0</v>
      </c>
      <c r="U99" s="210">
        <f t="shared" ca="1" si="751"/>
        <v>0</v>
      </c>
      <c r="V99" s="210">
        <f t="shared" ca="1" si="751"/>
        <v>0</v>
      </c>
      <c r="W99" s="210">
        <f t="shared" ca="1" si="751"/>
        <v>0</v>
      </c>
      <c r="X99" s="210">
        <f t="shared" ca="1" si="751"/>
        <v>0</v>
      </c>
      <c r="Y99" s="210">
        <f t="shared" ca="1" si="751"/>
        <v>0</v>
      </c>
      <c r="Z99" s="210">
        <f t="shared" ca="1" si="751"/>
        <v>3.0988417675622202</v>
      </c>
      <c r="AA99" s="210">
        <f t="shared" ca="1" si="751"/>
        <v>38.442665305658856</v>
      </c>
      <c r="AB99" s="210">
        <f t="shared" ca="1" si="751"/>
        <v>0</v>
      </c>
      <c r="AC99" s="210">
        <f t="shared" ca="1" si="751"/>
        <v>0</v>
      </c>
      <c r="AD99" s="210">
        <f t="shared" ca="1" si="751"/>
        <v>3.0935822394039008</v>
      </c>
      <c r="AE99" s="210">
        <f t="shared" ca="1" si="751"/>
        <v>40.570666988975766</v>
      </c>
      <c r="AF99" s="210">
        <f t="shared" ca="1" si="751"/>
        <v>0</v>
      </c>
      <c r="AG99" s="210">
        <f t="shared" ca="1" si="751"/>
        <v>0</v>
      </c>
      <c r="AH99" s="210">
        <f t="shared" ca="1" si="751"/>
        <v>4.2436235630533616</v>
      </c>
      <c r="AI99" s="210">
        <f t="shared" ca="1" si="751"/>
        <v>42.025643713299218</v>
      </c>
      <c r="AJ99" s="210">
        <f t="shared" ca="1" si="751"/>
        <v>0</v>
      </c>
      <c r="AK99" s="210">
        <f t="shared" ca="1" si="751"/>
        <v>0</v>
      </c>
      <c r="AL99" s="210">
        <f t="shared" ca="1" si="751"/>
        <v>2.8404441787306673</v>
      </c>
      <c r="AM99" s="210">
        <f t="shared" ca="1" si="751"/>
        <v>43.799156348292101</v>
      </c>
      <c r="AN99" s="210">
        <f t="shared" ca="1" si="751"/>
        <v>0</v>
      </c>
      <c r="AO99" s="210">
        <f t="shared" ca="1" si="751"/>
        <v>0</v>
      </c>
      <c r="AP99" s="210">
        <f t="shared" ca="1" si="751"/>
        <v>3.5851505276393922</v>
      </c>
      <c r="AQ99" s="210">
        <f t="shared" ca="1" si="751"/>
        <v>45.065801301170303</v>
      </c>
      <c r="AR99" s="210">
        <f t="shared" ca="1" si="751"/>
        <v>0</v>
      </c>
      <c r="AS99" s="210">
        <f t="shared" ca="1" si="751"/>
        <v>0</v>
      </c>
      <c r="AT99" s="210">
        <f t="shared" ca="1" si="751"/>
        <v>2.6469478698545075</v>
      </c>
      <c r="AU99" s="210">
        <f t="shared" ca="1" si="751"/>
        <v>45.979656692739937</v>
      </c>
      <c r="AV99" s="210">
        <f t="shared" ca="1" si="751"/>
        <v>0</v>
      </c>
      <c r="AW99" s="210">
        <f t="shared" ca="1" si="751"/>
        <v>0</v>
      </c>
      <c r="AX99" s="210">
        <f t="shared" ca="1" si="751"/>
        <v>2.6200869504450104</v>
      </c>
      <c r="AY99" s="210">
        <f t="shared" ca="1" si="751"/>
        <v>47.005284042447514</v>
      </c>
      <c r="AZ99" s="210">
        <f t="shared" ca="1" si="751"/>
        <v>0</v>
      </c>
      <c r="BA99" s="210">
        <f t="shared" ca="1" si="751"/>
        <v>0</v>
      </c>
      <c r="BB99" s="210">
        <f t="shared" ca="1" si="751"/>
        <v>4.5224046144152901</v>
      </c>
      <c r="BC99" s="210">
        <f t="shared" ca="1" si="751"/>
        <v>47.636054247382233</v>
      </c>
      <c r="BD99" s="210">
        <f t="shared" ca="1" si="751"/>
        <v>0</v>
      </c>
      <c r="BE99" s="210">
        <f t="shared" ca="1" si="751"/>
        <v>0</v>
      </c>
      <c r="BF99" s="210">
        <f t="shared" ca="1" si="751"/>
        <v>2.1635009143747439</v>
      </c>
      <c r="BG99" s="210">
        <f t="shared" ca="1" si="751"/>
        <v>48.242050152460813</v>
      </c>
      <c r="BH99" s="210">
        <f t="shared" ca="1" si="751"/>
        <v>0</v>
      </c>
      <c r="BI99" s="210">
        <f t="shared" ca="1" si="751"/>
        <v>0</v>
      </c>
      <c r="BJ99" s="210">
        <f t="shared" ca="1" si="751"/>
        <v>2.1180267273372486</v>
      </c>
      <c r="BK99" s="210">
        <f t="shared" ca="1" si="751"/>
        <v>49.317058709749752</v>
      </c>
      <c r="BL99" s="210">
        <f t="shared" ca="1" si="751"/>
        <v>0</v>
      </c>
      <c r="BM99" s="210">
        <f t="shared" ca="1" si="751"/>
        <v>0</v>
      </c>
      <c r="BN99" s="210">
        <f t="shared" ca="1" si="751"/>
        <v>2.0688617695882598</v>
      </c>
      <c r="BO99" s="210">
        <f t="shared" ca="1" si="751"/>
        <v>50.415844125662609</v>
      </c>
      <c r="BP99" s="210">
        <f t="shared" ca="1" si="751"/>
        <v>0</v>
      </c>
      <c r="BQ99" s="210">
        <f t="shared" ca="1" si="751"/>
        <v>0</v>
      </c>
      <c r="BR99" s="210">
        <f t="shared" ca="1" si="751"/>
        <v>2.015847493705607</v>
      </c>
      <c r="BS99" s="210">
        <f t="shared" ca="1" si="751"/>
        <v>51.53892712303599</v>
      </c>
      <c r="BT99" s="210">
        <f t="shared" ref="BT99:EE99" ca="1" si="752">SUM(BT97:BT98)</f>
        <v>0</v>
      </c>
      <c r="BU99" s="210">
        <f t="shared" ca="1" si="752"/>
        <v>0</v>
      </c>
      <c r="BV99" s="210">
        <f t="shared" ca="1" si="752"/>
        <v>1.9588196490226508</v>
      </c>
      <c r="BW99" s="210">
        <f t="shared" ca="1" si="752"/>
        <v>52.686839677539908</v>
      </c>
      <c r="BX99" s="210">
        <f t="shared" ca="1" si="752"/>
        <v>0</v>
      </c>
      <c r="BY99" s="210">
        <f t="shared" ca="1" si="752"/>
        <v>0</v>
      </c>
      <c r="BZ99" s="210">
        <f t="shared" ca="1" si="752"/>
        <v>1.8976080928986221</v>
      </c>
      <c r="CA99" s="210">
        <f t="shared" ca="1" si="752"/>
        <v>53.860125256381238</v>
      </c>
      <c r="CB99" s="210">
        <f t="shared" ca="1" si="752"/>
        <v>0</v>
      </c>
      <c r="CC99" s="210">
        <f t="shared" ca="1" si="752"/>
        <v>0</v>
      </c>
      <c r="CD99" s="210">
        <f t="shared" ca="1" si="752"/>
        <v>4.809900281664838</v>
      </c>
      <c r="CE99" s="210">
        <f t="shared" ca="1" si="752"/>
        <v>54.415797852794398</v>
      </c>
      <c r="CF99" s="210">
        <f t="shared" ca="1" si="752"/>
        <v>0</v>
      </c>
      <c r="CG99" s="210">
        <f t="shared" ca="1" si="752"/>
        <v>0</v>
      </c>
      <c r="CH99" s="210">
        <f t="shared" ca="1" si="752"/>
        <v>1.1553800711755144</v>
      </c>
      <c r="CI99" s="210">
        <f t="shared" ca="1" si="752"/>
        <v>54.92401053011443</v>
      </c>
      <c r="CJ99" s="210">
        <f t="shared" ca="1" si="752"/>
        <v>0</v>
      </c>
      <c r="CK99" s="210">
        <f t="shared" ca="1" si="752"/>
        <v>0</v>
      </c>
      <c r="CL99" s="210">
        <f t="shared" ca="1" si="752"/>
        <v>1.0666144958549779</v>
      </c>
      <c r="CM99" s="210">
        <f t="shared" ca="1" si="752"/>
        <v>56.145558768972847</v>
      </c>
      <c r="CN99" s="210">
        <f t="shared" ca="1" si="752"/>
        <v>0</v>
      </c>
      <c r="CO99" s="210">
        <f t="shared" ca="1" si="752"/>
        <v>0</v>
      </c>
      <c r="CP99" s="210">
        <f t="shared" ca="1" si="752"/>
        <v>0.97260226440044306</v>
      </c>
      <c r="CQ99" s="210">
        <f t="shared" ca="1" si="752"/>
        <v>57.394056903054789</v>
      </c>
      <c r="CR99" s="210">
        <f t="shared" ca="1" si="752"/>
        <v>0</v>
      </c>
      <c r="CS99" s="210">
        <f t="shared" ca="1" si="752"/>
        <v>0</v>
      </c>
      <c r="CT99" s="210">
        <f t="shared" ca="1" si="752"/>
        <v>41.697389739016977</v>
      </c>
      <c r="CU99" s="278">
        <f t="shared" ca="1" si="752"/>
        <v>90.773705351051291</v>
      </c>
      <c r="CV99" s="210">
        <f t="shared" ca="1" si="752"/>
        <v>19.359145747212487</v>
      </c>
      <c r="CW99" s="210">
        <f t="shared" ca="1" si="752"/>
        <v>-4.0012472901862992</v>
      </c>
      <c r="CX99" s="210">
        <f t="shared" ca="1" si="752"/>
        <v>14.960474583765521</v>
      </c>
      <c r="CY99" s="210">
        <f t="shared" ca="1" si="752"/>
        <v>19.362992797710039</v>
      </c>
      <c r="CZ99" s="210">
        <f t="shared" ca="1" si="752"/>
        <v>0.81112863905260468</v>
      </c>
      <c r="DA99" s="210">
        <f t="shared" ca="1" si="752"/>
        <v>-4.9812678395834631</v>
      </c>
      <c r="DB99" s="210">
        <f t="shared" ca="1" si="752"/>
        <v>14.097999959817733</v>
      </c>
      <c r="DC99" s="210">
        <f t="shared" ca="1" si="752"/>
        <v>19.317100563747296</v>
      </c>
      <c r="DD99" s="210">
        <f t="shared" ca="1" si="752"/>
        <v>0.63075250927223436</v>
      </c>
      <c r="DE99" s="210">
        <f t="shared" ca="1" si="752"/>
        <v>-5.2959507836985269</v>
      </c>
      <c r="DF99" s="210">
        <f t="shared" ca="1" si="752"/>
        <v>14.219805424285273</v>
      </c>
      <c r="DG99" s="210">
        <f t="shared" ca="1" si="752"/>
        <v>19.557294061828777</v>
      </c>
      <c r="DH99" s="210">
        <f t="shared" ca="1" si="752"/>
        <v>0.44069439040100189</v>
      </c>
      <c r="DI99" s="210">
        <f t="shared" ca="1" si="752"/>
        <v>-5.6234363425838332</v>
      </c>
      <c r="DJ99" s="210">
        <f t="shared" ca="1" si="752"/>
        <v>14.33878713365227</v>
      </c>
      <c r="DK99" s="210">
        <f t="shared" ca="1" si="752"/>
        <v>19.797341994018819</v>
      </c>
      <c r="DL99" s="210">
        <f t="shared" ca="1" si="752"/>
        <v>0.24057734616101278</v>
      </c>
      <c r="DM99" s="210">
        <f t="shared" ca="1" si="752"/>
        <v>-5.964174142024059</v>
      </c>
      <c r="DN99" s="210">
        <f t="shared" ca="1" si="752"/>
        <v>14.454723398386506</v>
      </c>
      <c r="DO99" s="210">
        <f t="shared" ca="1" si="752"/>
        <v>20.037083049169642</v>
      </c>
      <c r="DP99" s="210">
        <f t="shared" ca="1" si="752"/>
        <v>3.0011460213558827E-2</v>
      </c>
      <c r="DQ99" s="210">
        <f t="shared" ca="1" si="752"/>
        <v>-6.3186284861178219</v>
      </c>
      <c r="DR99" s="210">
        <f t="shared" ca="1" si="752"/>
        <v>14.567383051541377</v>
      </c>
      <c r="DS99" s="210">
        <f t="shared" ca="1" si="752"/>
        <v>20.276347793955345</v>
      </c>
      <c r="DT99" s="210">
        <f t="shared" ca="1" si="752"/>
        <v>-0.19140658310651659</v>
      </c>
      <c r="DU99" s="210">
        <f t="shared" ca="1" si="752"/>
        <v>-6.687278816361359</v>
      </c>
      <c r="DV99" s="210">
        <f t="shared" ca="1" si="752"/>
        <v>14.676525108183675</v>
      </c>
      <c r="DW99" s="210">
        <f t="shared" ca="1" si="752"/>
        <v>20.514958362547389</v>
      </c>
      <c r="DX99" s="210">
        <f t="shared" ca="1" si="752"/>
        <v>-0.42409393108694537</v>
      </c>
      <c r="DY99" s="210">
        <f t="shared" ca="1" si="752"/>
        <v>-7.070620184700612</v>
      </c>
      <c r="DZ99" s="210">
        <f t="shared" ca="1" si="752"/>
        <v>14.78189841354871</v>
      </c>
      <c r="EA99" s="210">
        <f t="shared" ca="1" si="752"/>
        <v>20.752728135687192</v>
      </c>
      <c r="EB99" s="210">
        <f t="shared" ca="1" si="752"/>
        <v>-0.66848200836048299</v>
      </c>
      <c r="EC99" s="210">
        <f t="shared" ca="1" si="752"/>
        <v>-7.4691637409691687</v>
      </c>
      <c r="ED99" s="210">
        <f t="shared" ca="1" si="752"/>
        <v>14.883241279566935</v>
      </c>
      <c r="EE99" s="210">
        <f t="shared" ca="1" si="752"/>
        <v>20.989461408815462</v>
      </c>
      <c r="EF99" s="210">
        <f t="shared" ref="EF99:FA99" ca="1" si="753">SUM(EF97:EF98)</f>
        <v>-0.92501697645963077</v>
      </c>
      <c r="EG99" s="210">
        <f t="shared" ca="1" si="753"/>
        <v>-7.8834372351410078</v>
      </c>
      <c r="EH99" s="210">
        <f t="shared" ca="1" si="753"/>
        <v>14.980281109395586</v>
      </c>
      <c r="EI99" s="210">
        <f t="shared" ca="1" si="753"/>
        <v>-426.49576623936605</v>
      </c>
      <c r="EJ99" s="210">
        <f t="shared" ca="1" si="753"/>
        <v>20.99939837536343</v>
      </c>
      <c r="EK99" s="210">
        <f t="shared" ca="1" si="753"/>
        <v>0</v>
      </c>
      <c r="EL99" s="210">
        <f t="shared" ca="1" si="753"/>
        <v>0</v>
      </c>
      <c r="EM99" s="210">
        <f t="shared" ca="1" si="753"/>
        <v>0</v>
      </c>
      <c r="EN99" s="210">
        <f t="shared" ca="1" si="753"/>
        <v>0</v>
      </c>
      <c r="EO99" s="210">
        <f t="shared" ca="1" si="753"/>
        <v>0</v>
      </c>
      <c r="EP99" s="210">
        <f t="shared" ca="1" si="753"/>
        <v>0</v>
      </c>
      <c r="EQ99" s="210">
        <f t="shared" ca="1" si="753"/>
        <v>0</v>
      </c>
      <c r="ER99" s="210">
        <f t="shared" ca="1" si="753"/>
        <v>0</v>
      </c>
      <c r="ES99" s="210">
        <f t="shared" ca="1" si="753"/>
        <v>0</v>
      </c>
      <c r="ET99" s="210">
        <f t="shared" ca="1" si="753"/>
        <v>0</v>
      </c>
      <c r="EU99" s="210">
        <f t="shared" ca="1" si="753"/>
        <v>0</v>
      </c>
      <c r="EV99" s="210">
        <f t="shared" ca="1" si="753"/>
        <v>0</v>
      </c>
      <c r="EW99" s="210">
        <f t="shared" ca="1" si="753"/>
        <v>0</v>
      </c>
      <c r="EX99" s="210">
        <f t="shared" ca="1" si="753"/>
        <v>0</v>
      </c>
      <c r="EY99" s="210">
        <f t="shared" ca="1" si="753"/>
        <v>0</v>
      </c>
      <c r="EZ99" s="210">
        <f t="shared" ca="1" si="753"/>
        <v>0</v>
      </c>
      <c r="FA99" s="210">
        <f t="shared" ca="1" si="753"/>
        <v>0</v>
      </c>
    </row>
    <row r="100" spans="1:157" outlineLevel="1" x14ac:dyDescent="0.2">
      <c r="C100" s="9" t="s">
        <v>426</v>
      </c>
      <c r="D100" s="21" t="s">
        <v>126</v>
      </c>
      <c r="E100" s="119"/>
      <c r="F100" s="119"/>
      <c r="G100" s="119">
        <f t="shared" ref="G100:AL100" ca="1" si="754">-G129</f>
        <v>0</v>
      </c>
      <c r="H100" s="119">
        <f t="shared" ca="1" si="754"/>
        <v>0</v>
      </c>
      <c r="I100" s="119">
        <f t="shared" ca="1" si="754"/>
        <v>0</v>
      </c>
      <c r="J100" s="119">
        <f t="shared" ca="1" si="754"/>
        <v>0</v>
      </c>
      <c r="K100" s="119">
        <f t="shared" ca="1" si="754"/>
        <v>0</v>
      </c>
      <c r="L100" s="119">
        <f t="shared" ca="1" si="754"/>
        <v>0</v>
      </c>
      <c r="M100" s="119">
        <f t="shared" ca="1" si="754"/>
        <v>0</v>
      </c>
      <c r="N100" s="119">
        <f t="shared" ca="1" si="754"/>
        <v>0</v>
      </c>
      <c r="O100" s="119">
        <f t="shared" ca="1" si="754"/>
        <v>0</v>
      </c>
      <c r="P100" s="119">
        <f t="shared" ca="1" si="754"/>
        <v>0</v>
      </c>
      <c r="Q100" s="119">
        <f t="shared" ca="1" si="754"/>
        <v>0</v>
      </c>
      <c r="R100" s="119">
        <f t="shared" ca="1" si="754"/>
        <v>0</v>
      </c>
      <c r="S100" s="119">
        <f t="shared" ca="1" si="754"/>
        <v>0</v>
      </c>
      <c r="T100" s="119">
        <f t="shared" ca="1" si="754"/>
        <v>0</v>
      </c>
      <c r="U100" s="119">
        <f t="shared" ca="1" si="754"/>
        <v>0</v>
      </c>
      <c r="V100" s="119">
        <f t="shared" ca="1" si="754"/>
        <v>0</v>
      </c>
      <c r="W100" s="119">
        <f t="shared" ca="1" si="754"/>
        <v>0</v>
      </c>
      <c r="X100" s="119">
        <f t="shared" ca="1" si="754"/>
        <v>0</v>
      </c>
      <c r="Y100" s="119">
        <f t="shared" ca="1" si="754"/>
        <v>0</v>
      </c>
      <c r="Z100" s="119">
        <f t="shared" ca="1" si="754"/>
        <v>0</v>
      </c>
      <c r="AA100" s="119">
        <f t="shared" ca="1" si="754"/>
        <v>0</v>
      </c>
      <c r="AB100" s="119">
        <f t="shared" ca="1" si="754"/>
        <v>0</v>
      </c>
      <c r="AC100" s="119">
        <f t="shared" ca="1" si="754"/>
        <v>0</v>
      </c>
      <c r="AD100" s="119">
        <f t="shared" ca="1" si="754"/>
        <v>0</v>
      </c>
      <c r="AE100" s="119">
        <f t="shared" ca="1" si="754"/>
        <v>0</v>
      </c>
      <c r="AF100" s="119">
        <f t="shared" ca="1" si="754"/>
        <v>0</v>
      </c>
      <c r="AG100" s="119">
        <f t="shared" ca="1" si="754"/>
        <v>0</v>
      </c>
      <c r="AH100" s="119">
        <f t="shared" ca="1" si="754"/>
        <v>0</v>
      </c>
      <c r="AI100" s="119">
        <f t="shared" ca="1" si="754"/>
        <v>0</v>
      </c>
      <c r="AJ100" s="119">
        <f t="shared" ca="1" si="754"/>
        <v>0</v>
      </c>
      <c r="AK100" s="119">
        <f t="shared" ca="1" si="754"/>
        <v>0</v>
      </c>
      <c r="AL100" s="119">
        <f t="shared" ca="1" si="754"/>
        <v>0</v>
      </c>
      <c r="AM100" s="119">
        <f ca="1">-AM129</f>
        <v>-1.5324344354689647</v>
      </c>
      <c r="AN100" s="119">
        <f t="shared" ref="AN100:CY100" ca="1" si="755">-AN129</f>
        <v>0</v>
      </c>
      <c r="AO100" s="119">
        <f t="shared" ca="1" si="755"/>
        <v>0</v>
      </c>
      <c r="AP100" s="119">
        <f t="shared" ca="1" si="755"/>
        <v>-3.5851505276393922</v>
      </c>
      <c r="AQ100" s="119">
        <f t="shared" ca="1" si="755"/>
        <v>-2.6400687461308063</v>
      </c>
      <c r="AR100" s="119">
        <f t="shared" ca="1" si="755"/>
        <v>0</v>
      </c>
      <c r="AS100" s="119">
        <f t="shared" ca="1" si="755"/>
        <v>0</v>
      </c>
      <c r="AT100" s="119">
        <f t="shared" ca="1" si="755"/>
        <v>-2.6469478698545075</v>
      </c>
      <c r="AU100" s="119">
        <f t="shared" ca="1" si="755"/>
        <v>-3.7339018857599484</v>
      </c>
      <c r="AV100" s="119">
        <f t="shared" ca="1" si="755"/>
        <v>0</v>
      </c>
      <c r="AW100" s="119">
        <f t="shared" ca="1" si="755"/>
        <v>0</v>
      </c>
      <c r="AX100" s="119">
        <f t="shared" ca="1" si="755"/>
        <v>-2.6200869504450104</v>
      </c>
      <c r="AY100" s="119">
        <f t="shared" ca="1" si="755"/>
        <v>-3.9202840490598092</v>
      </c>
      <c r="AZ100" s="119">
        <f t="shared" ca="1" si="755"/>
        <v>0</v>
      </c>
      <c r="BA100" s="119">
        <f t="shared" ca="1" si="755"/>
        <v>0</v>
      </c>
      <c r="BB100" s="119">
        <f t="shared" ca="1" si="755"/>
        <v>-4.5224046144152901</v>
      </c>
      <c r="BC100" s="119">
        <f t="shared" ca="1" si="755"/>
        <v>-2.181475660077151</v>
      </c>
      <c r="BD100" s="119">
        <f t="shared" ca="1" si="755"/>
        <v>0</v>
      </c>
      <c r="BE100" s="119">
        <f t="shared" ca="1" si="755"/>
        <v>0</v>
      </c>
      <c r="BF100" s="119">
        <f t="shared" ca="1" si="755"/>
        <v>-2.1635009143747439</v>
      </c>
      <c r="BG100" s="119">
        <f t="shared" ca="1" si="755"/>
        <v>-4.707976366980013</v>
      </c>
      <c r="BH100" s="119">
        <f t="shared" ca="1" si="755"/>
        <v>0</v>
      </c>
      <c r="BI100" s="119">
        <f t="shared" ca="1" si="755"/>
        <v>0</v>
      </c>
      <c r="BJ100" s="119">
        <f t="shared" ca="1" si="755"/>
        <v>-2.1180267273372486</v>
      </c>
      <c r="BK100" s="119">
        <f t="shared" ca="1" si="755"/>
        <v>-4.9252374860513797</v>
      </c>
      <c r="BL100" s="119">
        <f t="shared" ca="1" si="755"/>
        <v>0</v>
      </c>
      <c r="BM100" s="119">
        <f t="shared" ca="1" si="755"/>
        <v>0</v>
      </c>
      <c r="BN100" s="119">
        <f t="shared" ca="1" si="755"/>
        <v>-2.0688617695882598</v>
      </c>
      <c r="BO100" s="119">
        <f t="shared" ca="1" si="755"/>
        <v>-5.1504840491350805</v>
      </c>
      <c r="BP100" s="119">
        <f t="shared" ca="1" si="755"/>
        <v>0</v>
      </c>
      <c r="BQ100" s="119">
        <f t="shared" ca="1" si="755"/>
        <v>0</v>
      </c>
      <c r="BR100" s="119">
        <f t="shared" ca="1" si="755"/>
        <v>-2.015847493705607</v>
      </c>
      <c r="BS100" s="119">
        <f t="shared" ca="1" si="755"/>
        <v>-5.3839819704858201</v>
      </c>
      <c r="BT100" s="119">
        <f t="shared" ca="1" si="755"/>
        <v>0</v>
      </c>
      <c r="BU100" s="119">
        <f t="shared" ca="1" si="755"/>
        <v>0</v>
      </c>
      <c r="BV100" s="119">
        <f t="shared" ca="1" si="755"/>
        <v>-1.9588196490226508</v>
      </c>
      <c r="BW100" s="119">
        <f t="shared" ca="1" si="755"/>
        <v>-5.6260055517735665</v>
      </c>
      <c r="BX100" s="119">
        <f t="shared" ca="1" si="755"/>
        <v>0</v>
      </c>
      <c r="BY100" s="119">
        <f t="shared" ca="1" si="755"/>
        <v>0</v>
      </c>
      <c r="BZ100" s="119">
        <f t="shared" ca="1" si="755"/>
        <v>-1.8976080928986221</v>
      </c>
      <c r="CA100" s="119">
        <f t="shared" ca="1" si="755"/>
        <v>-5.8768377379174979</v>
      </c>
      <c r="CB100" s="119">
        <f t="shared" ca="1" si="755"/>
        <v>0</v>
      </c>
      <c r="CC100" s="119">
        <f t="shared" ca="1" si="755"/>
        <v>0</v>
      </c>
      <c r="CD100" s="119">
        <f t="shared" ca="1" si="755"/>
        <v>-4.809900281664838</v>
      </c>
      <c r="CE100" s="119">
        <f t="shared" ca="1" si="755"/>
        <v>-3.1589066949216971</v>
      </c>
      <c r="CF100" s="119">
        <f t="shared" ca="1" si="755"/>
        <v>0</v>
      </c>
      <c r="CG100" s="119">
        <f t="shared" ca="1" si="755"/>
        <v>0</v>
      </c>
      <c r="CH100" s="119">
        <f t="shared" ca="1" si="755"/>
        <v>-1.1553800711755144</v>
      </c>
      <c r="CI100" s="119">
        <f t="shared" ca="1" si="755"/>
        <v>-7.0126470798256975</v>
      </c>
      <c r="CJ100" s="119">
        <f t="shared" ca="1" si="755"/>
        <v>0</v>
      </c>
      <c r="CK100" s="119">
        <f t="shared" ca="1" si="755"/>
        <v>0</v>
      </c>
      <c r="CL100" s="119">
        <f t="shared" ca="1" si="755"/>
        <v>-1.0666144958549779</v>
      </c>
      <c r="CM100" s="119">
        <f t="shared" ca="1" si="755"/>
        <v>-7.3056133339212437</v>
      </c>
      <c r="CN100" s="119">
        <f t="shared" ca="1" si="755"/>
        <v>0</v>
      </c>
      <c r="CO100" s="119">
        <f t="shared" ca="1" si="755"/>
        <v>0</v>
      </c>
      <c r="CP100" s="119">
        <f t="shared" ca="1" si="755"/>
        <v>-0.97260226440044306</v>
      </c>
      <c r="CQ100" s="119">
        <f t="shared" ca="1" si="755"/>
        <v>-7.6089312611201905</v>
      </c>
      <c r="CR100" s="119">
        <f t="shared" ca="1" si="755"/>
        <v>0</v>
      </c>
      <c r="CS100" s="119">
        <f t="shared" ca="1" si="755"/>
        <v>0</v>
      </c>
      <c r="CT100" s="119">
        <f t="shared" ca="1" si="755"/>
        <v>-6.576649880490379</v>
      </c>
      <c r="CU100" s="266">
        <f t="shared" ca="1" si="755"/>
        <v>-2.2194219831682886</v>
      </c>
      <c r="CV100" s="119">
        <f t="shared" ca="1" si="755"/>
        <v>-2.233165190788597</v>
      </c>
      <c r="CW100" s="119">
        <f t="shared" ca="1" si="755"/>
        <v>0</v>
      </c>
      <c r="CX100" s="119">
        <f t="shared" ca="1" si="755"/>
        <v>-4.5079009367140515</v>
      </c>
      <c r="CY100" s="119">
        <f t="shared" ca="1" si="755"/>
        <v>-2.2749075327474912</v>
      </c>
      <c r="CZ100" s="119">
        <f t="shared" ref="CZ100:FA100" ca="1" si="756">-CZ129</f>
        <v>-0.81112863905260468</v>
      </c>
      <c r="DA100" s="119">
        <f t="shared" ca="1" si="756"/>
        <v>0</v>
      </c>
      <c r="DB100" s="119">
        <f t="shared" ca="1" si="756"/>
        <v>-6.0984641416376064</v>
      </c>
      <c r="DC100" s="119">
        <f t="shared" ca="1" si="756"/>
        <v>-2.3317802210661682</v>
      </c>
      <c r="DD100" s="119">
        <f t="shared" ca="1" si="756"/>
        <v>-0.63075250927223436</v>
      </c>
      <c r="DE100" s="119">
        <f t="shared" ca="1" si="756"/>
        <v>0</v>
      </c>
      <c r="DF100" s="119">
        <f t="shared" ca="1" si="756"/>
        <v>-6.4515800909352095</v>
      </c>
      <c r="DG100" s="119">
        <f t="shared" ca="1" si="756"/>
        <v>-2.390074726592843</v>
      </c>
      <c r="DH100" s="119">
        <f t="shared" ca="1" si="756"/>
        <v>-0.44069439040100189</v>
      </c>
      <c r="DI100" s="119">
        <f t="shared" ca="1" si="756"/>
        <v>0</v>
      </c>
      <c r="DJ100" s="119">
        <f t="shared" ca="1" si="756"/>
        <v>-6.8186965248116564</v>
      </c>
      <c r="DK100" s="119">
        <f t="shared" ca="1" si="756"/>
        <v>-2.449826594757667</v>
      </c>
      <c r="DL100" s="119">
        <f t="shared" ca="1" si="756"/>
        <v>-0.24057734616101278</v>
      </c>
      <c r="DM100" s="119">
        <f t="shared" ca="1" si="756"/>
        <v>0</v>
      </c>
      <c r="DN100" s="119">
        <f t="shared" ca="1" si="756"/>
        <v>-7.2002983419319264</v>
      </c>
      <c r="DO100" s="119">
        <f t="shared" ca="1" si="756"/>
        <v>-2.5110722596265873</v>
      </c>
      <c r="DP100" s="119">
        <f t="shared" ca="1" si="756"/>
        <v>-3.0011460213558827E-2</v>
      </c>
      <c r="DQ100" s="119">
        <f t="shared" ca="1" si="756"/>
        <v>0</v>
      </c>
      <c r="DR100" s="119">
        <f t="shared" ca="1" si="756"/>
        <v>-7.5968861200817628</v>
      </c>
      <c r="DS100" s="119">
        <f t="shared" ca="1" si="756"/>
        <v>-2.5738490661172762</v>
      </c>
      <c r="DT100" s="119">
        <f t="shared" ca="1" si="756"/>
        <v>0</v>
      </c>
      <c r="DU100" s="119">
        <f t="shared" ca="1" si="756"/>
        <v>0</v>
      </c>
      <c r="DV100" s="119">
        <f t="shared" ca="1" si="756"/>
        <v>-7.8175700198026732</v>
      </c>
      <c r="DW100" s="119">
        <f t="shared" ca="1" si="756"/>
        <v>-2.6381952927702059</v>
      </c>
      <c r="DX100" s="119">
        <f t="shared" ca="1" si="756"/>
        <v>0</v>
      </c>
      <c r="DY100" s="119">
        <f t="shared" ca="1" si="756"/>
        <v>0</v>
      </c>
      <c r="DZ100" s="119">
        <f t="shared" ca="1" si="756"/>
        <v>-8.013009270297772</v>
      </c>
      <c r="EA100" s="119">
        <f t="shared" ca="1" si="756"/>
        <v>-2.7041501750894383</v>
      </c>
      <c r="EB100" s="119">
        <f t="shared" ca="1" si="756"/>
        <v>0</v>
      </c>
      <c r="EC100" s="119">
        <f t="shared" ca="1" si="756"/>
        <v>0</v>
      </c>
      <c r="ED100" s="119">
        <f t="shared" ca="1" si="756"/>
        <v>-8.2133345020552042</v>
      </c>
      <c r="EE100" s="119">
        <f t="shared" ca="1" si="756"/>
        <v>-2.7717539294666835</v>
      </c>
      <c r="EF100" s="119">
        <f t="shared" ca="1" si="756"/>
        <v>0</v>
      </c>
      <c r="EG100" s="119">
        <f t="shared" ca="1" si="756"/>
        <v>0</v>
      </c>
      <c r="EH100" s="119">
        <f t="shared" ca="1" si="756"/>
        <v>-8.41866786460659</v>
      </c>
      <c r="EI100" s="119">
        <f t="shared" ca="1" si="756"/>
        <v>0</v>
      </c>
      <c r="EJ100" s="119">
        <f t="shared" ca="1" si="756"/>
        <v>-5.6996880230691431</v>
      </c>
      <c r="EK100" s="119">
        <f t="shared" ca="1" si="756"/>
        <v>0</v>
      </c>
      <c r="EL100" s="119">
        <f t="shared" ca="1" si="756"/>
        <v>0</v>
      </c>
      <c r="EM100" s="119">
        <f t="shared" ca="1" si="756"/>
        <v>0</v>
      </c>
      <c r="EN100" s="119">
        <f t="shared" ca="1" si="756"/>
        <v>0</v>
      </c>
      <c r="EO100" s="119">
        <f t="shared" ca="1" si="756"/>
        <v>0</v>
      </c>
      <c r="EP100" s="119">
        <f t="shared" ca="1" si="756"/>
        <v>0</v>
      </c>
      <c r="EQ100" s="119">
        <f t="shared" ca="1" si="756"/>
        <v>0</v>
      </c>
      <c r="ER100" s="119">
        <f t="shared" ca="1" si="756"/>
        <v>0</v>
      </c>
      <c r="ES100" s="119">
        <f t="shared" ca="1" si="756"/>
        <v>0</v>
      </c>
      <c r="ET100" s="119">
        <f t="shared" ca="1" si="756"/>
        <v>0</v>
      </c>
      <c r="EU100" s="119">
        <f t="shared" ca="1" si="756"/>
        <v>0</v>
      </c>
      <c r="EV100" s="119">
        <f t="shared" ca="1" si="756"/>
        <v>0</v>
      </c>
      <c r="EW100" s="119">
        <f t="shared" ca="1" si="756"/>
        <v>0</v>
      </c>
      <c r="EX100" s="119">
        <f t="shared" ca="1" si="756"/>
        <v>0</v>
      </c>
      <c r="EY100" s="119">
        <f t="shared" ca="1" si="756"/>
        <v>0</v>
      </c>
      <c r="EZ100" s="119">
        <f t="shared" ca="1" si="756"/>
        <v>0</v>
      </c>
      <c r="FA100" s="119">
        <f t="shared" ca="1" si="756"/>
        <v>0</v>
      </c>
    </row>
    <row r="101" spans="1:157" s="206" customFormat="1" outlineLevel="1" x14ac:dyDescent="0.2">
      <c r="A101"/>
      <c r="B101"/>
      <c r="C101" s="277" t="s">
        <v>440</v>
      </c>
      <c r="D101" s="64" t="s">
        <v>126</v>
      </c>
      <c r="E101" s="276"/>
      <c r="F101" s="276"/>
      <c r="G101" s="210">
        <f ca="1">SUM(G99:G100)</f>
        <v>0</v>
      </c>
      <c r="H101" s="210">
        <f t="shared" ref="H101:BS101" ca="1" si="757">SUM(H99:H100)</f>
        <v>0</v>
      </c>
      <c r="I101" s="210">
        <f t="shared" ca="1" si="757"/>
        <v>0</v>
      </c>
      <c r="J101" s="210">
        <f t="shared" ca="1" si="757"/>
        <v>0</v>
      </c>
      <c r="K101" s="210">
        <f t="shared" ca="1" si="757"/>
        <v>0</v>
      </c>
      <c r="L101" s="210">
        <f t="shared" ca="1" si="757"/>
        <v>0</v>
      </c>
      <c r="M101" s="210">
        <f t="shared" ca="1" si="757"/>
        <v>0</v>
      </c>
      <c r="N101" s="210">
        <f t="shared" ca="1" si="757"/>
        <v>0</v>
      </c>
      <c r="O101" s="210">
        <f t="shared" ca="1" si="757"/>
        <v>0</v>
      </c>
      <c r="P101" s="210">
        <f t="shared" ca="1" si="757"/>
        <v>0</v>
      </c>
      <c r="Q101" s="210">
        <f t="shared" ca="1" si="757"/>
        <v>0</v>
      </c>
      <c r="R101" s="210">
        <f t="shared" ca="1" si="757"/>
        <v>0</v>
      </c>
      <c r="S101" s="210">
        <f t="shared" ca="1" si="757"/>
        <v>0</v>
      </c>
      <c r="T101" s="210">
        <f t="shared" ca="1" si="757"/>
        <v>0</v>
      </c>
      <c r="U101" s="210">
        <f t="shared" ca="1" si="757"/>
        <v>0</v>
      </c>
      <c r="V101" s="210">
        <f t="shared" ca="1" si="757"/>
        <v>0</v>
      </c>
      <c r="W101" s="210">
        <f t="shared" ca="1" si="757"/>
        <v>0</v>
      </c>
      <c r="X101" s="210">
        <f t="shared" ca="1" si="757"/>
        <v>0</v>
      </c>
      <c r="Y101" s="210">
        <f t="shared" ca="1" si="757"/>
        <v>0</v>
      </c>
      <c r="Z101" s="210">
        <f t="shared" ca="1" si="757"/>
        <v>3.0988417675622202</v>
      </c>
      <c r="AA101" s="210">
        <f t="shared" ca="1" si="757"/>
        <v>38.442665305658856</v>
      </c>
      <c r="AB101" s="210">
        <f t="shared" ca="1" si="757"/>
        <v>0</v>
      </c>
      <c r="AC101" s="210">
        <f t="shared" ca="1" si="757"/>
        <v>0</v>
      </c>
      <c r="AD101" s="210">
        <f t="shared" ca="1" si="757"/>
        <v>3.0935822394039008</v>
      </c>
      <c r="AE101" s="210">
        <f t="shared" ca="1" si="757"/>
        <v>40.570666988975766</v>
      </c>
      <c r="AF101" s="210">
        <f t="shared" ca="1" si="757"/>
        <v>0</v>
      </c>
      <c r="AG101" s="210">
        <f t="shared" ca="1" si="757"/>
        <v>0</v>
      </c>
      <c r="AH101" s="210">
        <f t="shared" ca="1" si="757"/>
        <v>4.2436235630533616</v>
      </c>
      <c r="AI101" s="210">
        <f t="shared" ca="1" si="757"/>
        <v>42.025643713299218</v>
      </c>
      <c r="AJ101" s="210">
        <f t="shared" ca="1" si="757"/>
        <v>0</v>
      </c>
      <c r="AK101" s="210">
        <f t="shared" ca="1" si="757"/>
        <v>0</v>
      </c>
      <c r="AL101" s="210">
        <f t="shared" ca="1" si="757"/>
        <v>2.8404441787306673</v>
      </c>
      <c r="AM101" s="210">
        <f t="shared" ca="1" si="757"/>
        <v>42.266721912823137</v>
      </c>
      <c r="AN101" s="210">
        <f t="shared" ca="1" si="757"/>
        <v>0</v>
      </c>
      <c r="AO101" s="210">
        <f t="shared" ca="1" si="757"/>
        <v>0</v>
      </c>
      <c r="AP101" s="210">
        <f t="shared" ca="1" si="757"/>
        <v>0</v>
      </c>
      <c r="AQ101" s="210">
        <f t="shared" ca="1" si="757"/>
        <v>42.425732555039495</v>
      </c>
      <c r="AR101" s="210">
        <f t="shared" ca="1" si="757"/>
        <v>0</v>
      </c>
      <c r="AS101" s="210">
        <f t="shared" ca="1" si="757"/>
        <v>0</v>
      </c>
      <c r="AT101" s="210">
        <f t="shared" ca="1" si="757"/>
        <v>0</v>
      </c>
      <c r="AU101" s="210">
        <f t="shared" ca="1" si="757"/>
        <v>42.245754806979988</v>
      </c>
      <c r="AV101" s="210">
        <f t="shared" ca="1" si="757"/>
        <v>0</v>
      </c>
      <c r="AW101" s="210">
        <f t="shared" ca="1" si="757"/>
        <v>0</v>
      </c>
      <c r="AX101" s="210">
        <f t="shared" ca="1" si="757"/>
        <v>0</v>
      </c>
      <c r="AY101" s="210">
        <f t="shared" ca="1" si="757"/>
        <v>43.084999993387704</v>
      </c>
      <c r="AZ101" s="210">
        <f t="shared" ca="1" si="757"/>
        <v>0</v>
      </c>
      <c r="BA101" s="210">
        <f t="shared" ca="1" si="757"/>
        <v>0</v>
      </c>
      <c r="BB101" s="210">
        <f t="shared" ca="1" si="757"/>
        <v>0</v>
      </c>
      <c r="BC101" s="210">
        <f t="shared" ca="1" si="757"/>
        <v>45.454578587305079</v>
      </c>
      <c r="BD101" s="210">
        <f t="shared" ca="1" si="757"/>
        <v>0</v>
      </c>
      <c r="BE101" s="210">
        <f t="shared" ca="1" si="757"/>
        <v>0</v>
      </c>
      <c r="BF101" s="210">
        <f t="shared" ca="1" si="757"/>
        <v>0</v>
      </c>
      <c r="BG101" s="210">
        <f t="shared" ca="1" si="757"/>
        <v>43.5340737854808</v>
      </c>
      <c r="BH101" s="210">
        <f t="shared" ca="1" si="757"/>
        <v>0</v>
      </c>
      <c r="BI101" s="210">
        <f t="shared" ca="1" si="757"/>
        <v>0</v>
      </c>
      <c r="BJ101" s="210">
        <f t="shared" ca="1" si="757"/>
        <v>0</v>
      </c>
      <c r="BK101" s="210">
        <f t="shared" ca="1" si="757"/>
        <v>44.391821223698372</v>
      </c>
      <c r="BL101" s="210">
        <f t="shared" ca="1" si="757"/>
        <v>0</v>
      </c>
      <c r="BM101" s="210">
        <f t="shared" ca="1" si="757"/>
        <v>0</v>
      </c>
      <c r="BN101" s="210">
        <f t="shared" ca="1" si="757"/>
        <v>0</v>
      </c>
      <c r="BO101" s="210">
        <f t="shared" ca="1" si="757"/>
        <v>45.265360076527529</v>
      </c>
      <c r="BP101" s="210">
        <f t="shared" ca="1" si="757"/>
        <v>0</v>
      </c>
      <c r="BQ101" s="210">
        <f t="shared" ca="1" si="757"/>
        <v>0</v>
      </c>
      <c r="BR101" s="210">
        <f t="shared" ca="1" si="757"/>
        <v>0</v>
      </c>
      <c r="BS101" s="210">
        <f t="shared" ca="1" si="757"/>
        <v>46.154945152550169</v>
      </c>
      <c r="BT101" s="210">
        <f t="shared" ref="BT101:EE101" ca="1" si="758">SUM(BT99:BT100)</f>
        <v>0</v>
      </c>
      <c r="BU101" s="210">
        <f t="shared" ca="1" si="758"/>
        <v>0</v>
      </c>
      <c r="BV101" s="210">
        <f t="shared" ca="1" si="758"/>
        <v>0</v>
      </c>
      <c r="BW101" s="210">
        <f t="shared" ca="1" si="758"/>
        <v>47.060834125766341</v>
      </c>
      <c r="BX101" s="210">
        <f t="shared" ca="1" si="758"/>
        <v>0</v>
      </c>
      <c r="BY101" s="210">
        <f t="shared" ca="1" si="758"/>
        <v>0</v>
      </c>
      <c r="BZ101" s="210">
        <f t="shared" ca="1" si="758"/>
        <v>0</v>
      </c>
      <c r="CA101" s="210">
        <f t="shared" ca="1" si="758"/>
        <v>47.98328751846374</v>
      </c>
      <c r="CB101" s="210">
        <f t="shared" ca="1" si="758"/>
        <v>0</v>
      </c>
      <c r="CC101" s="210">
        <f t="shared" ca="1" si="758"/>
        <v>0</v>
      </c>
      <c r="CD101" s="210">
        <f t="shared" ca="1" si="758"/>
        <v>0</v>
      </c>
      <c r="CE101" s="210">
        <f t="shared" ca="1" si="758"/>
        <v>51.256891157872701</v>
      </c>
      <c r="CF101" s="210">
        <f t="shared" ca="1" si="758"/>
        <v>0</v>
      </c>
      <c r="CG101" s="210">
        <f t="shared" ca="1" si="758"/>
        <v>0</v>
      </c>
      <c r="CH101" s="210">
        <f t="shared" ca="1" si="758"/>
        <v>0</v>
      </c>
      <c r="CI101" s="210">
        <f t="shared" ca="1" si="758"/>
        <v>47.911363450288732</v>
      </c>
      <c r="CJ101" s="210">
        <f t="shared" ca="1" si="758"/>
        <v>0</v>
      </c>
      <c r="CK101" s="210">
        <f t="shared" ca="1" si="758"/>
        <v>0</v>
      </c>
      <c r="CL101" s="210">
        <f t="shared" ca="1" si="758"/>
        <v>0</v>
      </c>
      <c r="CM101" s="210">
        <f t="shared" ca="1" si="758"/>
        <v>48.839945435051604</v>
      </c>
      <c r="CN101" s="210">
        <f t="shared" ca="1" si="758"/>
        <v>0</v>
      </c>
      <c r="CO101" s="210">
        <f t="shared" ca="1" si="758"/>
        <v>0</v>
      </c>
      <c r="CP101" s="210">
        <f t="shared" ca="1" si="758"/>
        <v>0</v>
      </c>
      <c r="CQ101" s="210">
        <f t="shared" ca="1" si="758"/>
        <v>49.785125641934599</v>
      </c>
      <c r="CR101" s="210">
        <f t="shared" ca="1" si="758"/>
        <v>0</v>
      </c>
      <c r="CS101" s="210">
        <f t="shared" ca="1" si="758"/>
        <v>0</v>
      </c>
      <c r="CT101" s="210">
        <f t="shared" ca="1" si="758"/>
        <v>35.120739858526598</v>
      </c>
      <c r="CU101" s="278">
        <f t="shared" ca="1" si="758"/>
        <v>88.554283367883002</v>
      </c>
      <c r="CV101" s="210">
        <f t="shared" ca="1" si="758"/>
        <v>17.12598055642389</v>
      </c>
      <c r="CW101" s="210">
        <f t="shared" ca="1" si="758"/>
        <v>-4.0012472901862992</v>
      </c>
      <c r="CX101" s="210">
        <f t="shared" ca="1" si="758"/>
        <v>10.452573647051469</v>
      </c>
      <c r="CY101" s="210">
        <f t="shared" ca="1" si="758"/>
        <v>17.088085264962547</v>
      </c>
      <c r="CZ101" s="210">
        <f t="shared" ca="1" si="758"/>
        <v>0</v>
      </c>
      <c r="DA101" s="210">
        <f t="shared" ca="1" si="758"/>
        <v>-4.9812678395834631</v>
      </c>
      <c r="DB101" s="210">
        <f t="shared" ca="1" si="758"/>
        <v>7.9995358181801262</v>
      </c>
      <c r="DC101" s="210">
        <f t="shared" ca="1" si="758"/>
        <v>16.985320342681128</v>
      </c>
      <c r="DD101" s="210">
        <f t="shared" ca="1" si="758"/>
        <v>0</v>
      </c>
      <c r="DE101" s="210">
        <f t="shared" ca="1" si="758"/>
        <v>-5.2959507836985269</v>
      </c>
      <c r="DF101" s="210">
        <f t="shared" ca="1" si="758"/>
        <v>7.7682253333500633</v>
      </c>
      <c r="DG101" s="210">
        <f t="shared" ca="1" si="758"/>
        <v>17.167219335235934</v>
      </c>
      <c r="DH101" s="210">
        <f t="shared" ca="1" si="758"/>
        <v>0</v>
      </c>
      <c r="DI101" s="210">
        <f t="shared" ca="1" si="758"/>
        <v>-5.6234363425838332</v>
      </c>
      <c r="DJ101" s="210">
        <f t="shared" ca="1" si="758"/>
        <v>7.5200906088406132</v>
      </c>
      <c r="DK101" s="210">
        <f t="shared" ca="1" si="758"/>
        <v>17.347515399261152</v>
      </c>
      <c r="DL101" s="210">
        <f t="shared" ca="1" si="758"/>
        <v>0</v>
      </c>
      <c r="DM101" s="210">
        <f t="shared" ca="1" si="758"/>
        <v>-5.964174142024059</v>
      </c>
      <c r="DN101" s="210">
        <f t="shared" ca="1" si="758"/>
        <v>7.2544250564545791</v>
      </c>
      <c r="DO101" s="210">
        <f t="shared" ca="1" si="758"/>
        <v>17.526010789543054</v>
      </c>
      <c r="DP101" s="210">
        <f t="shared" ca="1" si="758"/>
        <v>0</v>
      </c>
      <c r="DQ101" s="210">
        <f t="shared" ca="1" si="758"/>
        <v>-6.3186284861178219</v>
      </c>
      <c r="DR101" s="210">
        <f t="shared" ca="1" si="758"/>
        <v>6.9704969314596141</v>
      </c>
      <c r="DS101" s="210">
        <f t="shared" ca="1" si="758"/>
        <v>17.702498727838069</v>
      </c>
      <c r="DT101" s="210">
        <f t="shared" ca="1" si="758"/>
        <v>-0.19140658310651659</v>
      </c>
      <c r="DU101" s="210">
        <f t="shared" ca="1" si="758"/>
        <v>-6.687278816361359</v>
      </c>
      <c r="DV101" s="210">
        <f t="shared" ca="1" si="758"/>
        <v>6.858955088381002</v>
      </c>
      <c r="DW101" s="210">
        <f t="shared" ca="1" si="758"/>
        <v>17.876763069777184</v>
      </c>
      <c r="DX101" s="210">
        <f t="shared" ca="1" si="758"/>
        <v>-0.42409393108694537</v>
      </c>
      <c r="DY101" s="210">
        <f t="shared" ca="1" si="758"/>
        <v>-7.070620184700612</v>
      </c>
      <c r="DZ101" s="210">
        <f t="shared" ca="1" si="758"/>
        <v>6.7688891432509379</v>
      </c>
      <c r="EA101" s="210">
        <f t="shared" ca="1" si="758"/>
        <v>18.048577960597754</v>
      </c>
      <c r="EB101" s="210">
        <f t="shared" ca="1" si="758"/>
        <v>-0.66848200836048299</v>
      </c>
      <c r="EC101" s="210">
        <f t="shared" ca="1" si="758"/>
        <v>-7.4691637409691687</v>
      </c>
      <c r="ED101" s="210">
        <f t="shared" ca="1" si="758"/>
        <v>6.6699067775117307</v>
      </c>
      <c r="EE101" s="210">
        <f t="shared" ca="1" si="758"/>
        <v>18.217707479348778</v>
      </c>
      <c r="EF101" s="210">
        <f t="shared" ref="EF101:FA101" ca="1" si="759">SUM(EF99:EF100)</f>
        <v>-0.92501697645963077</v>
      </c>
      <c r="EG101" s="210">
        <f t="shared" ca="1" si="759"/>
        <v>-7.8834372351410078</v>
      </c>
      <c r="EH101" s="210">
        <f t="shared" ca="1" si="759"/>
        <v>6.5616132447889957</v>
      </c>
      <c r="EI101" s="210">
        <f t="shared" ca="1" si="759"/>
        <v>-426.49576623936605</v>
      </c>
      <c r="EJ101" s="210">
        <f t="shared" ca="1" si="759"/>
        <v>15.299710352294287</v>
      </c>
      <c r="EK101" s="210">
        <f t="shared" ca="1" si="759"/>
        <v>0</v>
      </c>
      <c r="EL101" s="210">
        <f t="shared" ca="1" si="759"/>
        <v>0</v>
      </c>
      <c r="EM101" s="210">
        <f t="shared" ca="1" si="759"/>
        <v>0</v>
      </c>
      <c r="EN101" s="210">
        <f t="shared" ca="1" si="759"/>
        <v>0</v>
      </c>
      <c r="EO101" s="210">
        <f t="shared" ca="1" si="759"/>
        <v>0</v>
      </c>
      <c r="EP101" s="210">
        <f t="shared" ca="1" si="759"/>
        <v>0</v>
      </c>
      <c r="EQ101" s="210">
        <f t="shared" ca="1" si="759"/>
        <v>0</v>
      </c>
      <c r="ER101" s="210">
        <f t="shared" ca="1" si="759"/>
        <v>0</v>
      </c>
      <c r="ES101" s="210">
        <f t="shared" ca="1" si="759"/>
        <v>0</v>
      </c>
      <c r="ET101" s="210">
        <f t="shared" ca="1" si="759"/>
        <v>0</v>
      </c>
      <c r="EU101" s="210">
        <f t="shared" ca="1" si="759"/>
        <v>0</v>
      </c>
      <c r="EV101" s="210">
        <f t="shared" ca="1" si="759"/>
        <v>0</v>
      </c>
      <c r="EW101" s="210">
        <f t="shared" ca="1" si="759"/>
        <v>0</v>
      </c>
      <c r="EX101" s="210">
        <f t="shared" ca="1" si="759"/>
        <v>0</v>
      </c>
      <c r="EY101" s="210">
        <f t="shared" ca="1" si="759"/>
        <v>0</v>
      </c>
      <c r="EZ101" s="210">
        <f t="shared" ca="1" si="759"/>
        <v>0</v>
      </c>
      <c r="FA101" s="210">
        <f t="shared" ca="1" si="759"/>
        <v>0</v>
      </c>
    </row>
    <row r="102" spans="1:157" outlineLevel="1" x14ac:dyDescent="0.2">
      <c r="C102" s="9" t="s">
        <v>427</v>
      </c>
      <c r="D102" s="21" t="s">
        <v>126</v>
      </c>
      <c r="E102" s="119"/>
      <c r="F102" s="119"/>
      <c r="G102" s="119">
        <f t="shared" ref="G102:AL102" ca="1" si="760">-G138</f>
        <v>0</v>
      </c>
      <c r="H102" s="119">
        <f t="shared" ca="1" si="760"/>
        <v>0</v>
      </c>
      <c r="I102" s="119">
        <f t="shared" ca="1" si="760"/>
        <v>0</v>
      </c>
      <c r="J102" s="119">
        <f t="shared" ca="1" si="760"/>
        <v>0</v>
      </c>
      <c r="K102" s="119">
        <f t="shared" ca="1" si="760"/>
        <v>0</v>
      </c>
      <c r="L102" s="119">
        <f t="shared" ca="1" si="760"/>
        <v>0</v>
      </c>
      <c r="M102" s="119">
        <f t="shared" ca="1" si="760"/>
        <v>0</v>
      </c>
      <c r="N102" s="119">
        <f t="shared" ca="1" si="760"/>
        <v>0</v>
      </c>
      <c r="O102" s="119">
        <f t="shared" ca="1" si="760"/>
        <v>0</v>
      </c>
      <c r="P102" s="119">
        <f t="shared" ca="1" si="760"/>
        <v>0</v>
      </c>
      <c r="Q102" s="119">
        <f t="shared" ca="1" si="760"/>
        <v>0</v>
      </c>
      <c r="R102" s="119">
        <f t="shared" ca="1" si="760"/>
        <v>0</v>
      </c>
      <c r="S102" s="119">
        <f t="shared" ca="1" si="760"/>
        <v>0</v>
      </c>
      <c r="T102" s="119">
        <f t="shared" ca="1" si="760"/>
        <v>0</v>
      </c>
      <c r="U102" s="119">
        <f t="shared" ca="1" si="760"/>
        <v>0</v>
      </c>
      <c r="V102" s="119">
        <f t="shared" ca="1" si="760"/>
        <v>0</v>
      </c>
      <c r="W102" s="119">
        <f t="shared" ca="1" si="760"/>
        <v>0</v>
      </c>
      <c r="X102" s="119">
        <f t="shared" ca="1" si="760"/>
        <v>0</v>
      </c>
      <c r="Y102" s="119">
        <f t="shared" ca="1" si="760"/>
        <v>0</v>
      </c>
      <c r="Z102" s="119">
        <f t="shared" ca="1" si="760"/>
        <v>0</v>
      </c>
      <c r="AA102" s="119">
        <f t="shared" ca="1" si="760"/>
        <v>0</v>
      </c>
      <c r="AB102" s="119">
        <f t="shared" ca="1" si="760"/>
        <v>0</v>
      </c>
      <c r="AC102" s="119">
        <f t="shared" ca="1" si="760"/>
        <v>0</v>
      </c>
      <c r="AD102" s="119">
        <f t="shared" ca="1" si="760"/>
        <v>0</v>
      </c>
      <c r="AE102" s="119">
        <f t="shared" ca="1" si="760"/>
        <v>0</v>
      </c>
      <c r="AF102" s="119">
        <f t="shared" ca="1" si="760"/>
        <v>0</v>
      </c>
      <c r="AG102" s="119">
        <f t="shared" ca="1" si="760"/>
        <v>0</v>
      </c>
      <c r="AH102" s="119">
        <f t="shared" ca="1" si="760"/>
        <v>0</v>
      </c>
      <c r="AI102" s="119">
        <f t="shared" ca="1" si="760"/>
        <v>0</v>
      </c>
      <c r="AJ102" s="119">
        <f t="shared" ca="1" si="760"/>
        <v>0</v>
      </c>
      <c r="AK102" s="119">
        <f t="shared" ca="1" si="760"/>
        <v>0</v>
      </c>
      <c r="AL102" s="119">
        <f t="shared" ca="1" si="760"/>
        <v>0</v>
      </c>
      <c r="AM102" s="119">
        <f ca="1">-AM138</f>
        <v>-4.5973033064068947</v>
      </c>
      <c r="AN102" s="119">
        <f t="shared" ref="AN102:CY102" ca="1" si="761">-AN138</f>
        <v>0</v>
      </c>
      <c r="AO102" s="119">
        <f t="shared" ca="1" si="761"/>
        <v>0</v>
      </c>
      <c r="AP102" s="119">
        <f t="shared" ca="1" si="761"/>
        <v>0</v>
      </c>
      <c r="AQ102" s="119">
        <f t="shared" ca="1" si="761"/>
        <v>-18.486078051663267</v>
      </c>
      <c r="AR102" s="119">
        <f t="shared" ca="1" si="761"/>
        <v>0</v>
      </c>
      <c r="AS102" s="119">
        <f t="shared" ca="1" si="761"/>
        <v>0</v>
      </c>
      <c r="AT102" s="119">
        <f t="shared" ca="1" si="761"/>
        <v>0</v>
      </c>
      <c r="AU102" s="119">
        <f t="shared" ca="1" si="761"/>
        <v>-18.182838254638632</v>
      </c>
      <c r="AV102" s="119">
        <f t="shared" ca="1" si="761"/>
        <v>0</v>
      </c>
      <c r="AW102" s="119">
        <f t="shared" ca="1" si="761"/>
        <v>0</v>
      </c>
      <c r="AX102" s="119">
        <f t="shared" ca="1" si="761"/>
        <v>0</v>
      </c>
      <c r="AY102" s="119">
        <f t="shared" ca="1" si="761"/>
        <v>-17.872017462688401</v>
      </c>
      <c r="AZ102" s="119">
        <f t="shared" ca="1" si="761"/>
        <v>0</v>
      </c>
      <c r="BA102" s="119">
        <f t="shared" ca="1" si="761"/>
        <v>0</v>
      </c>
      <c r="BB102" s="119">
        <f t="shared" ca="1" si="761"/>
        <v>0</v>
      </c>
      <c r="BC102" s="119">
        <f t="shared" ca="1" si="761"/>
        <v>-17.553426150939394</v>
      </c>
      <c r="BD102" s="119">
        <f t="shared" ca="1" si="761"/>
        <v>0</v>
      </c>
      <c r="BE102" s="119">
        <f t="shared" ca="1" si="761"/>
        <v>0</v>
      </c>
      <c r="BF102" s="119">
        <f t="shared" ca="1" si="761"/>
        <v>0</v>
      </c>
      <c r="BG102" s="119">
        <f t="shared" ca="1" si="761"/>
        <v>-17.226870056396653</v>
      </c>
      <c r="BH102" s="119">
        <f t="shared" ca="1" si="761"/>
        <v>0</v>
      </c>
      <c r="BI102" s="119">
        <f t="shared" ca="1" si="761"/>
        <v>0</v>
      </c>
      <c r="BJ102" s="119">
        <f t="shared" ca="1" si="761"/>
        <v>0</v>
      </c>
      <c r="BK102" s="119">
        <f t="shared" ca="1" si="761"/>
        <v>-16.892150059490373</v>
      </c>
      <c r="BL102" s="119">
        <f t="shared" ca="1" si="761"/>
        <v>0</v>
      </c>
      <c r="BM102" s="119">
        <f t="shared" ca="1" si="761"/>
        <v>0</v>
      </c>
      <c r="BN102" s="119">
        <f t="shared" ca="1" si="761"/>
        <v>0</v>
      </c>
      <c r="BO102" s="119">
        <f t="shared" ca="1" si="761"/>
        <v>-16.549062062661399</v>
      </c>
      <c r="BP102" s="119">
        <f t="shared" ca="1" si="761"/>
        <v>0</v>
      </c>
      <c r="BQ102" s="119">
        <f t="shared" ca="1" si="761"/>
        <v>0</v>
      </c>
      <c r="BR102" s="119">
        <f t="shared" ca="1" si="761"/>
        <v>0</v>
      </c>
      <c r="BS102" s="119">
        <f t="shared" ca="1" si="761"/>
        <v>-16.197396865911728</v>
      </c>
      <c r="BT102" s="119">
        <f t="shared" ca="1" si="761"/>
        <v>0</v>
      </c>
      <c r="BU102" s="119">
        <f t="shared" ca="1" si="761"/>
        <v>0</v>
      </c>
      <c r="BV102" s="119">
        <f t="shared" ca="1" si="761"/>
        <v>0</v>
      </c>
      <c r="BW102" s="119">
        <f t="shared" ca="1" si="761"/>
        <v>-15.836940039243347</v>
      </c>
      <c r="BX102" s="119">
        <f t="shared" ca="1" si="761"/>
        <v>0</v>
      </c>
      <c r="BY102" s="119">
        <f t="shared" ca="1" si="761"/>
        <v>0</v>
      </c>
      <c r="BZ102" s="119">
        <f t="shared" ca="1" si="761"/>
        <v>0</v>
      </c>
      <c r="CA102" s="119">
        <f t="shared" ca="1" si="761"/>
        <v>-15.467471791908167</v>
      </c>
      <c r="CB102" s="119">
        <f t="shared" ca="1" si="761"/>
        <v>0</v>
      </c>
      <c r="CC102" s="119">
        <f t="shared" ca="1" si="761"/>
        <v>0</v>
      </c>
      <c r="CD102" s="119">
        <f t="shared" ca="1" si="761"/>
        <v>0</v>
      </c>
      <c r="CE102" s="119">
        <f t="shared" ca="1" si="761"/>
        <v>-15.088766838389715</v>
      </c>
      <c r="CF102" s="119">
        <f t="shared" ca="1" si="761"/>
        <v>0</v>
      </c>
      <c r="CG102" s="119">
        <f t="shared" ca="1" si="761"/>
        <v>0</v>
      </c>
      <c r="CH102" s="119">
        <f t="shared" ca="1" si="761"/>
        <v>0</v>
      </c>
      <c r="CI102" s="119">
        <f t="shared" ca="1" si="761"/>
        <v>-14.70059426103318</v>
      </c>
      <c r="CJ102" s="119">
        <f t="shared" ca="1" si="761"/>
        <v>0</v>
      </c>
      <c r="CK102" s="119">
        <f t="shared" ca="1" si="761"/>
        <v>0</v>
      </c>
      <c r="CL102" s="119">
        <f t="shared" ca="1" si="761"/>
        <v>0</v>
      </c>
      <c r="CM102" s="119">
        <f t="shared" ca="1" si="761"/>
        <v>-14.302717369242874</v>
      </c>
      <c r="CN102" s="119">
        <f t="shared" ca="1" si="761"/>
        <v>0</v>
      </c>
      <c r="CO102" s="119">
        <f t="shared" ca="1" si="761"/>
        <v>0</v>
      </c>
      <c r="CP102" s="119">
        <f t="shared" ca="1" si="761"/>
        <v>0</v>
      </c>
      <c r="CQ102" s="119">
        <f t="shared" ca="1" si="761"/>
        <v>-13.89489355515766</v>
      </c>
      <c r="CR102" s="119">
        <f t="shared" ca="1" si="761"/>
        <v>0</v>
      </c>
      <c r="CS102" s="119">
        <f t="shared" ca="1" si="761"/>
        <v>0</v>
      </c>
      <c r="CT102" s="119">
        <f t="shared" ca="1" si="761"/>
        <v>-10.095520331467993</v>
      </c>
      <c r="CU102" s="266">
        <f t="shared" ca="1" si="761"/>
        <v>-3.2788479467677933</v>
      </c>
      <c r="CV102" s="119">
        <f t="shared" ca="1" si="761"/>
        <v>-3.25247220559709</v>
      </c>
      <c r="CW102" s="119">
        <f t="shared" ca="1" si="761"/>
        <v>0</v>
      </c>
      <c r="CX102" s="119">
        <f t="shared" ca="1" si="761"/>
        <v>-6.4579177082336532</v>
      </c>
      <c r="CY102" s="119">
        <f t="shared" ca="1" si="761"/>
        <v>-3.1723609799076358</v>
      </c>
      <c r="CZ102" s="119">
        <f t="shared" ref="CZ102:FA102" ca="1" si="762">-CZ138</f>
        <v>0</v>
      </c>
      <c r="DA102" s="119">
        <f t="shared" ca="1" si="762"/>
        <v>0</v>
      </c>
      <c r="DB102" s="119">
        <f t="shared" ca="1" si="762"/>
        <v>-7.9995358181801262</v>
      </c>
      <c r="DC102" s="119">
        <f t="shared" ca="1" si="762"/>
        <v>-4.5284627100868011</v>
      </c>
      <c r="DD102" s="119">
        <f t="shared" ca="1" si="762"/>
        <v>0</v>
      </c>
      <c r="DE102" s="119">
        <f t="shared" ca="1" si="762"/>
        <v>0</v>
      </c>
      <c r="DF102" s="119">
        <f t="shared" ca="1" si="762"/>
        <v>-7.7682253333500633</v>
      </c>
      <c r="DG102" s="119">
        <f t="shared" ca="1" si="762"/>
        <v>-4.3119606457870354</v>
      </c>
      <c r="DH102" s="119">
        <f t="shared" ca="1" si="762"/>
        <v>0</v>
      </c>
      <c r="DI102" s="119">
        <f t="shared" ca="1" si="762"/>
        <v>0</v>
      </c>
      <c r="DJ102" s="119">
        <f t="shared" ca="1" si="762"/>
        <v>-7.5200906088406132</v>
      </c>
      <c r="DK102" s="119">
        <f t="shared" ca="1" si="762"/>
        <v>-4.1011996181763983</v>
      </c>
      <c r="DL102" s="119">
        <f t="shared" ca="1" si="762"/>
        <v>0</v>
      </c>
      <c r="DM102" s="119">
        <f t="shared" ca="1" si="762"/>
        <v>0</v>
      </c>
      <c r="DN102" s="119">
        <f t="shared" ca="1" si="762"/>
        <v>-7.2544250564545791</v>
      </c>
      <c r="DO102" s="119">
        <f t="shared" ca="1" si="762"/>
        <v>-3.8966120391260777</v>
      </c>
      <c r="DP102" s="119">
        <f t="shared" ca="1" si="762"/>
        <v>0</v>
      </c>
      <c r="DQ102" s="119">
        <f t="shared" ca="1" si="762"/>
        <v>0</v>
      </c>
      <c r="DR102" s="119">
        <f t="shared" ca="1" si="762"/>
        <v>-6.9704969314596141</v>
      </c>
      <c r="DS102" s="119">
        <f t="shared" ca="1" si="762"/>
        <v>-3.6986486987033578</v>
      </c>
      <c r="DT102" s="119">
        <f t="shared" ca="1" si="762"/>
        <v>0</v>
      </c>
      <c r="DU102" s="119">
        <f t="shared" ca="1" si="762"/>
        <v>0</v>
      </c>
      <c r="DV102" s="119">
        <f t="shared" ca="1" si="762"/>
        <v>-6.858955088381002</v>
      </c>
      <c r="DW102" s="119">
        <f t="shared" ca="1" si="762"/>
        <v>-3.3144293761993158</v>
      </c>
      <c r="DX102" s="119">
        <f t="shared" ca="1" si="762"/>
        <v>0</v>
      </c>
      <c r="DY102" s="119">
        <f t="shared" ca="1" si="762"/>
        <v>0</v>
      </c>
      <c r="DZ102" s="119">
        <f t="shared" ca="1" si="762"/>
        <v>-6.7688891432509379</v>
      </c>
      <c r="EA102" s="119">
        <f t="shared" ca="1" si="762"/>
        <v>-2.8960937551669659</v>
      </c>
      <c r="EB102" s="119">
        <f t="shared" ca="1" si="762"/>
        <v>0</v>
      </c>
      <c r="EC102" s="119">
        <f t="shared" ca="1" si="762"/>
        <v>0</v>
      </c>
      <c r="ED102" s="119">
        <f t="shared" ca="1" si="762"/>
        <v>-6.6699067775117307</v>
      </c>
      <c r="EE102" s="119">
        <f t="shared" ca="1" si="762"/>
        <v>-2.4740321870133535</v>
      </c>
      <c r="EF102" s="119">
        <f t="shared" ca="1" si="762"/>
        <v>0</v>
      </c>
      <c r="EG102" s="119">
        <f t="shared" ca="1" si="762"/>
        <v>0</v>
      </c>
      <c r="EH102" s="119">
        <f t="shared" ca="1" si="762"/>
        <v>-6.5244815649249892</v>
      </c>
      <c r="EI102" s="119">
        <f t="shared" ca="1" si="762"/>
        <v>0</v>
      </c>
      <c r="EJ102" s="119">
        <f t="shared" ca="1" si="762"/>
        <v>-4.1590831493576781</v>
      </c>
      <c r="EK102" s="119">
        <f t="shared" ca="1" si="762"/>
        <v>0</v>
      </c>
      <c r="EL102" s="119">
        <f t="shared" ca="1" si="762"/>
        <v>0</v>
      </c>
      <c r="EM102" s="119">
        <f t="shared" ca="1" si="762"/>
        <v>0</v>
      </c>
      <c r="EN102" s="119">
        <f t="shared" ca="1" si="762"/>
        <v>0</v>
      </c>
      <c r="EO102" s="119">
        <f t="shared" ca="1" si="762"/>
        <v>0</v>
      </c>
      <c r="EP102" s="119">
        <f t="shared" ca="1" si="762"/>
        <v>0</v>
      </c>
      <c r="EQ102" s="119">
        <f t="shared" ca="1" si="762"/>
        <v>0</v>
      </c>
      <c r="ER102" s="119">
        <f t="shared" ca="1" si="762"/>
        <v>0</v>
      </c>
      <c r="ES102" s="119">
        <f t="shared" ca="1" si="762"/>
        <v>0</v>
      </c>
      <c r="ET102" s="119">
        <f t="shared" ca="1" si="762"/>
        <v>0</v>
      </c>
      <c r="EU102" s="119">
        <f t="shared" ca="1" si="762"/>
        <v>0</v>
      </c>
      <c r="EV102" s="119">
        <f t="shared" ca="1" si="762"/>
        <v>0</v>
      </c>
      <c r="EW102" s="119">
        <f t="shared" ca="1" si="762"/>
        <v>0</v>
      </c>
      <c r="EX102" s="119">
        <f t="shared" ca="1" si="762"/>
        <v>0</v>
      </c>
      <c r="EY102" s="119">
        <f t="shared" ca="1" si="762"/>
        <v>0</v>
      </c>
      <c r="EZ102" s="119">
        <f t="shared" ca="1" si="762"/>
        <v>0</v>
      </c>
      <c r="FA102" s="119">
        <f t="shared" ca="1" si="762"/>
        <v>0</v>
      </c>
    </row>
    <row r="103" spans="1:157" s="206" customFormat="1" outlineLevel="1" x14ac:dyDescent="0.2">
      <c r="A103"/>
      <c r="B103"/>
      <c r="C103" s="277" t="s">
        <v>442</v>
      </c>
      <c r="D103" s="64" t="s">
        <v>126</v>
      </c>
      <c r="E103" s="276"/>
      <c r="F103" s="276"/>
      <c r="G103" s="210">
        <f t="shared" ref="G103:AL103" ca="1" si="763">SUM(G101:G102)</f>
        <v>0</v>
      </c>
      <c r="H103" s="210">
        <f t="shared" ca="1" si="763"/>
        <v>0</v>
      </c>
      <c r="I103" s="210">
        <f t="shared" ca="1" si="763"/>
        <v>0</v>
      </c>
      <c r="J103" s="210">
        <f t="shared" ca="1" si="763"/>
        <v>0</v>
      </c>
      <c r="K103" s="210">
        <f t="shared" ca="1" si="763"/>
        <v>0</v>
      </c>
      <c r="L103" s="210">
        <f t="shared" ca="1" si="763"/>
        <v>0</v>
      </c>
      <c r="M103" s="210">
        <f t="shared" ca="1" si="763"/>
        <v>0</v>
      </c>
      <c r="N103" s="210">
        <f t="shared" ca="1" si="763"/>
        <v>0</v>
      </c>
      <c r="O103" s="210">
        <f t="shared" ca="1" si="763"/>
        <v>0</v>
      </c>
      <c r="P103" s="210">
        <f t="shared" ca="1" si="763"/>
        <v>0</v>
      </c>
      <c r="Q103" s="210">
        <f t="shared" ca="1" si="763"/>
        <v>0</v>
      </c>
      <c r="R103" s="210">
        <f t="shared" ca="1" si="763"/>
        <v>0</v>
      </c>
      <c r="S103" s="210">
        <f t="shared" ca="1" si="763"/>
        <v>0</v>
      </c>
      <c r="T103" s="210">
        <f t="shared" ca="1" si="763"/>
        <v>0</v>
      </c>
      <c r="U103" s="210">
        <f t="shared" ca="1" si="763"/>
        <v>0</v>
      </c>
      <c r="V103" s="210">
        <f t="shared" ca="1" si="763"/>
        <v>0</v>
      </c>
      <c r="W103" s="210">
        <f t="shared" ca="1" si="763"/>
        <v>0</v>
      </c>
      <c r="X103" s="210">
        <f t="shared" ca="1" si="763"/>
        <v>0</v>
      </c>
      <c r="Y103" s="210">
        <f t="shared" ca="1" si="763"/>
        <v>0</v>
      </c>
      <c r="Z103" s="210">
        <f t="shared" ca="1" si="763"/>
        <v>3.0988417675622202</v>
      </c>
      <c r="AA103" s="210">
        <f t="shared" ca="1" si="763"/>
        <v>38.442665305658856</v>
      </c>
      <c r="AB103" s="210">
        <f t="shared" ca="1" si="763"/>
        <v>0</v>
      </c>
      <c r="AC103" s="210">
        <f t="shared" ca="1" si="763"/>
        <v>0</v>
      </c>
      <c r="AD103" s="210">
        <f t="shared" ca="1" si="763"/>
        <v>3.0935822394039008</v>
      </c>
      <c r="AE103" s="210">
        <f t="shared" ca="1" si="763"/>
        <v>40.570666988975766</v>
      </c>
      <c r="AF103" s="210">
        <f t="shared" ca="1" si="763"/>
        <v>0</v>
      </c>
      <c r="AG103" s="210">
        <f t="shared" ca="1" si="763"/>
        <v>0</v>
      </c>
      <c r="AH103" s="210">
        <f t="shared" ca="1" si="763"/>
        <v>4.2436235630533616</v>
      </c>
      <c r="AI103" s="210">
        <f t="shared" ca="1" si="763"/>
        <v>42.025643713299218</v>
      </c>
      <c r="AJ103" s="210">
        <f t="shared" ca="1" si="763"/>
        <v>0</v>
      </c>
      <c r="AK103" s="210">
        <f t="shared" ca="1" si="763"/>
        <v>0</v>
      </c>
      <c r="AL103" s="210">
        <f t="shared" ca="1" si="763"/>
        <v>2.8404441787306673</v>
      </c>
      <c r="AM103" s="210">
        <f t="shared" ref="AM103:BR103" ca="1" si="764">SUM(AM101:AM102)</f>
        <v>37.669418606416244</v>
      </c>
      <c r="AN103" s="210">
        <f t="shared" ca="1" si="764"/>
        <v>0</v>
      </c>
      <c r="AO103" s="210">
        <f t="shared" ca="1" si="764"/>
        <v>0</v>
      </c>
      <c r="AP103" s="210">
        <f t="shared" ca="1" si="764"/>
        <v>0</v>
      </c>
      <c r="AQ103" s="210">
        <f t="shared" ca="1" si="764"/>
        <v>23.939654503376229</v>
      </c>
      <c r="AR103" s="210">
        <f t="shared" ca="1" si="764"/>
        <v>0</v>
      </c>
      <c r="AS103" s="210">
        <f t="shared" ca="1" si="764"/>
        <v>0</v>
      </c>
      <c r="AT103" s="210">
        <f t="shared" ca="1" si="764"/>
        <v>0</v>
      </c>
      <c r="AU103" s="210">
        <f t="shared" ca="1" si="764"/>
        <v>24.062916552341356</v>
      </c>
      <c r="AV103" s="210">
        <f t="shared" ca="1" si="764"/>
        <v>0</v>
      </c>
      <c r="AW103" s="210">
        <f t="shared" ca="1" si="764"/>
        <v>0</v>
      </c>
      <c r="AX103" s="210">
        <f t="shared" ca="1" si="764"/>
        <v>0</v>
      </c>
      <c r="AY103" s="210">
        <f t="shared" ca="1" si="764"/>
        <v>25.212982530699303</v>
      </c>
      <c r="AZ103" s="210">
        <f t="shared" ca="1" si="764"/>
        <v>0</v>
      </c>
      <c r="BA103" s="210">
        <f t="shared" ca="1" si="764"/>
        <v>0</v>
      </c>
      <c r="BB103" s="210">
        <f t="shared" ca="1" si="764"/>
        <v>0</v>
      </c>
      <c r="BC103" s="210">
        <f t="shared" ca="1" si="764"/>
        <v>27.901152436365685</v>
      </c>
      <c r="BD103" s="210">
        <f t="shared" ca="1" si="764"/>
        <v>0</v>
      </c>
      <c r="BE103" s="210">
        <f t="shared" ca="1" si="764"/>
        <v>0</v>
      </c>
      <c r="BF103" s="210">
        <f t="shared" ca="1" si="764"/>
        <v>0</v>
      </c>
      <c r="BG103" s="210">
        <f t="shared" ca="1" si="764"/>
        <v>26.307203729084147</v>
      </c>
      <c r="BH103" s="210">
        <f t="shared" ca="1" si="764"/>
        <v>0</v>
      </c>
      <c r="BI103" s="210">
        <f t="shared" ca="1" si="764"/>
        <v>0</v>
      </c>
      <c r="BJ103" s="210">
        <f t="shared" ca="1" si="764"/>
        <v>0</v>
      </c>
      <c r="BK103" s="210">
        <f t="shared" ca="1" si="764"/>
        <v>27.499671164207999</v>
      </c>
      <c r="BL103" s="210">
        <f t="shared" ca="1" si="764"/>
        <v>0</v>
      </c>
      <c r="BM103" s="210">
        <f t="shared" ca="1" si="764"/>
        <v>0</v>
      </c>
      <c r="BN103" s="210">
        <f t="shared" ca="1" si="764"/>
        <v>0</v>
      </c>
      <c r="BO103" s="210">
        <f t="shared" ca="1" si="764"/>
        <v>28.71629801386613</v>
      </c>
      <c r="BP103" s="210">
        <f t="shared" ca="1" si="764"/>
        <v>0</v>
      </c>
      <c r="BQ103" s="210">
        <f t="shared" ca="1" si="764"/>
        <v>0</v>
      </c>
      <c r="BR103" s="210">
        <f t="shared" ca="1" si="764"/>
        <v>0</v>
      </c>
      <c r="BS103" s="210">
        <f t="shared" ref="BS103:CX103" ca="1" si="765">SUM(BS101:BS102)</f>
        <v>29.957548286638442</v>
      </c>
      <c r="BT103" s="210">
        <f t="shared" ca="1" si="765"/>
        <v>0</v>
      </c>
      <c r="BU103" s="210">
        <f t="shared" ca="1" si="765"/>
        <v>0</v>
      </c>
      <c r="BV103" s="210">
        <f t="shared" ca="1" si="765"/>
        <v>0</v>
      </c>
      <c r="BW103" s="210">
        <f t="shared" ca="1" si="765"/>
        <v>31.223894086522996</v>
      </c>
      <c r="BX103" s="210">
        <f t="shared" ca="1" si="765"/>
        <v>0</v>
      </c>
      <c r="BY103" s="210">
        <f t="shared" ca="1" si="765"/>
        <v>0</v>
      </c>
      <c r="BZ103" s="210">
        <f t="shared" ca="1" si="765"/>
        <v>0</v>
      </c>
      <c r="CA103" s="210">
        <f t="shared" ca="1" si="765"/>
        <v>32.515815726555573</v>
      </c>
      <c r="CB103" s="210">
        <f t="shared" ca="1" si="765"/>
        <v>0</v>
      </c>
      <c r="CC103" s="210">
        <f t="shared" ca="1" si="765"/>
        <v>0</v>
      </c>
      <c r="CD103" s="210">
        <f t="shared" ca="1" si="765"/>
        <v>0</v>
      </c>
      <c r="CE103" s="210">
        <f t="shared" ca="1" si="765"/>
        <v>36.168124319482985</v>
      </c>
      <c r="CF103" s="210">
        <f t="shared" ca="1" si="765"/>
        <v>0</v>
      </c>
      <c r="CG103" s="210">
        <f t="shared" ca="1" si="765"/>
        <v>0</v>
      </c>
      <c r="CH103" s="210">
        <f t="shared" ca="1" si="765"/>
        <v>0</v>
      </c>
      <c r="CI103" s="210">
        <f t="shared" ca="1" si="765"/>
        <v>33.210769189255551</v>
      </c>
      <c r="CJ103" s="210">
        <f t="shared" ca="1" si="765"/>
        <v>0</v>
      </c>
      <c r="CK103" s="210">
        <f t="shared" ca="1" si="765"/>
        <v>0</v>
      </c>
      <c r="CL103" s="210">
        <f t="shared" ca="1" si="765"/>
        <v>0</v>
      </c>
      <c r="CM103" s="210">
        <f t="shared" ca="1" si="765"/>
        <v>34.537228065808733</v>
      </c>
      <c r="CN103" s="210">
        <f t="shared" ca="1" si="765"/>
        <v>0</v>
      </c>
      <c r="CO103" s="210">
        <f t="shared" ca="1" si="765"/>
        <v>0</v>
      </c>
      <c r="CP103" s="210">
        <f t="shared" ca="1" si="765"/>
        <v>0</v>
      </c>
      <c r="CQ103" s="210">
        <f t="shared" ca="1" si="765"/>
        <v>35.89023208677694</v>
      </c>
      <c r="CR103" s="210">
        <f t="shared" ca="1" si="765"/>
        <v>0</v>
      </c>
      <c r="CS103" s="210">
        <f t="shared" ca="1" si="765"/>
        <v>0</v>
      </c>
      <c r="CT103" s="210">
        <f t="shared" ca="1" si="765"/>
        <v>25.025219527058603</v>
      </c>
      <c r="CU103" s="278">
        <f t="shared" ca="1" si="765"/>
        <v>85.275435421115205</v>
      </c>
      <c r="CV103" s="210">
        <f t="shared" ca="1" si="765"/>
        <v>13.8735083508268</v>
      </c>
      <c r="CW103" s="210">
        <f t="shared" ca="1" si="765"/>
        <v>-4.0012472901862992</v>
      </c>
      <c r="CX103" s="210">
        <f t="shared" ca="1" si="765"/>
        <v>3.9946559388178162</v>
      </c>
      <c r="CY103" s="210">
        <f t="shared" ref="CY103:ED103" ca="1" si="766">SUM(CY101:CY102)</f>
        <v>13.915724285054912</v>
      </c>
      <c r="CZ103" s="210">
        <f t="shared" ca="1" si="766"/>
        <v>0</v>
      </c>
      <c r="DA103" s="210">
        <f t="shared" ca="1" si="766"/>
        <v>-4.9812678395834631</v>
      </c>
      <c r="DB103" s="210">
        <f t="shared" ca="1" si="766"/>
        <v>0</v>
      </c>
      <c r="DC103" s="210">
        <f t="shared" ca="1" si="766"/>
        <v>12.456857632594327</v>
      </c>
      <c r="DD103" s="210">
        <f t="shared" ca="1" si="766"/>
        <v>0</v>
      </c>
      <c r="DE103" s="210">
        <f t="shared" ca="1" si="766"/>
        <v>-5.2959507836985269</v>
      </c>
      <c r="DF103" s="210">
        <f t="shared" ca="1" si="766"/>
        <v>0</v>
      </c>
      <c r="DG103" s="210">
        <f t="shared" ca="1" si="766"/>
        <v>12.855258689448899</v>
      </c>
      <c r="DH103" s="210">
        <f t="shared" ca="1" si="766"/>
        <v>0</v>
      </c>
      <c r="DI103" s="210">
        <f t="shared" ca="1" si="766"/>
        <v>-5.6234363425838332</v>
      </c>
      <c r="DJ103" s="210">
        <f t="shared" ca="1" si="766"/>
        <v>0</v>
      </c>
      <c r="DK103" s="210">
        <f t="shared" ca="1" si="766"/>
        <v>13.246315781084753</v>
      </c>
      <c r="DL103" s="210">
        <f t="shared" ca="1" si="766"/>
        <v>0</v>
      </c>
      <c r="DM103" s="210">
        <f t="shared" ca="1" si="766"/>
        <v>-5.964174142024059</v>
      </c>
      <c r="DN103" s="210">
        <f t="shared" ca="1" si="766"/>
        <v>0</v>
      </c>
      <c r="DO103" s="210">
        <f t="shared" ca="1" si="766"/>
        <v>13.629398750416977</v>
      </c>
      <c r="DP103" s="210">
        <f t="shared" ca="1" si="766"/>
        <v>0</v>
      </c>
      <c r="DQ103" s="210">
        <f t="shared" ca="1" si="766"/>
        <v>-6.3186284861178219</v>
      </c>
      <c r="DR103" s="210">
        <f t="shared" ca="1" si="766"/>
        <v>0</v>
      </c>
      <c r="DS103" s="210">
        <f t="shared" ca="1" si="766"/>
        <v>14.003850029134711</v>
      </c>
      <c r="DT103" s="210">
        <f t="shared" ca="1" si="766"/>
        <v>-0.19140658310651659</v>
      </c>
      <c r="DU103" s="210">
        <f t="shared" ca="1" si="766"/>
        <v>-6.687278816361359</v>
      </c>
      <c r="DV103" s="210">
        <f t="shared" ca="1" si="766"/>
        <v>0</v>
      </c>
      <c r="DW103" s="210">
        <f t="shared" ca="1" si="766"/>
        <v>14.562333693577868</v>
      </c>
      <c r="DX103" s="210">
        <f t="shared" ca="1" si="766"/>
        <v>-0.42409393108694537</v>
      </c>
      <c r="DY103" s="210">
        <f t="shared" ca="1" si="766"/>
        <v>-7.070620184700612</v>
      </c>
      <c r="DZ103" s="210">
        <f t="shared" ca="1" si="766"/>
        <v>0</v>
      </c>
      <c r="EA103" s="210">
        <f t="shared" ca="1" si="766"/>
        <v>15.152484205430788</v>
      </c>
      <c r="EB103" s="210">
        <f t="shared" ca="1" si="766"/>
        <v>-0.66848200836048299</v>
      </c>
      <c r="EC103" s="210">
        <f t="shared" ca="1" si="766"/>
        <v>-7.4691637409691687</v>
      </c>
      <c r="ED103" s="210">
        <f t="shared" ca="1" si="766"/>
        <v>0</v>
      </c>
      <c r="EE103" s="210">
        <f t="shared" ref="EE103:FA103" ca="1" si="767">SUM(EE101:EE102)</f>
        <v>15.743675292335425</v>
      </c>
      <c r="EF103" s="210">
        <f t="shared" ca="1" si="767"/>
        <v>-0.92501697645963077</v>
      </c>
      <c r="EG103" s="210">
        <f t="shared" ca="1" si="767"/>
        <v>-7.8834372351410078</v>
      </c>
      <c r="EH103" s="210">
        <f t="shared" ca="1" si="767"/>
        <v>3.713167986400645E-2</v>
      </c>
      <c r="EI103" s="210">
        <f t="shared" ca="1" si="767"/>
        <v>-426.49576623936605</v>
      </c>
      <c r="EJ103" s="210">
        <f t="shared" ca="1" si="767"/>
        <v>11.14062720293661</v>
      </c>
      <c r="EK103" s="210">
        <f t="shared" ca="1" si="767"/>
        <v>0</v>
      </c>
      <c r="EL103" s="210">
        <f t="shared" ca="1" si="767"/>
        <v>0</v>
      </c>
      <c r="EM103" s="210">
        <f t="shared" ca="1" si="767"/>
        <v>0</v>
      </c>
      <c r="EN103" s="210">
        <f t="shared" ca="1" si="767"/>
        <v>0</v>
      </c>
      <c r="EO103" s="210">
        <f t="shared" ca="1" si="767"/>
        <v>0</v>
      </c>
      <c r="EP103" s="210">
        <f t="shared" ca="1" si="767"/>
        <v>0</v>
      </c>
      <c r="EQ103" s="210">
        <f t="shared" ca="1" si="767"/>
        <v>0</v>
      </c>
      <c r="ER103" s="210">
        <f t="shared" ca="1" si="767"/>
        <v>0</v>
      </c>
      <c r="ES103" s="210">
        <f t="shared" ca="1" si="767"/>
        <v>0</v>
      </c>
      <c r="ET103" s="210">
        <f t="shared" ca="1" si="767"/>
        <v>0</v>
      </c>
      <c r="EU103" s="210">
        <f t="shared" ca="1" si="767"/>
        <v>0</v>
      </c>
      <c r="EV103" s="210">
        <f t="shared" ca="1" si="767"/>
        <v>0</v>
      </c>
      <c r="EW103" s="210">
        <f t="shared" ca="1" si="767"/>
        <v>0</v>
      </c>
      <c r="EX103" s="210">
        <f t="shared" ca="1" si="767"/>
        <v>0</v>
      </c>
      <c r="EY103" s="210">
        <f t="shared" ca="1" si="767"/>
        <v>0</v>
      </c>
      <c r="EZ103" s="210">
        <f t="shared" ca="1" si="767"/>
        <v>0</v>
      </c>
      <c r="FA103" s="210">
        <f t="shared" ca="1" si="767"/>
        <v>0</v>
      </c>
    </row>
    <row r="104" spans="1:157" outlineLevel="1" x14ac:dyDescent="0.2">
      <c r="C104" s="9" t="s">
        <v>448</v>
      </c>
      <c r="D104" s="21" t="s">
        <v>126</v>
      </c>
      <c r="E104" s="119"/>
      <c r="F104" s="119"/>
      <c r="G104" s="119">
        <f>-G142</f>
        <v>0</v>
      </c>
      <c r="H104" s="119">
        <f t="shared" ref="H104:BS104" si="768">-H142</f>
        <v>0</v>
      </c>
      <c r="I104" s="119">
        <f t="shared" si="768"/>
        <v>0</v>
      </c>
      <c r="J104" s="119">
        <f t="shared" si="768"/>
        <v>0</v>
      </c>
      <c r="K104" s="119">
        <f t="shared" si="768"/>
        <v>0</v>
      </c>
      <c r="L104" s="119">
        <f t="shared" si="768"/>
        <v>0</v>
      </c>
      <c r="M104" s="119">
        <f t="shared" si="768"/>
        <v>0</v>
      </c>
      <c r="N104" s="119">
        <f t="shared" si="768"/>
        <v>0</v>
      </c>
      <c r="O104" s="119">
        <f t="shared" si="768"/>
        <v>0</v>
      </c>
      <c r="P104" s="119">
        <f t="shared" si="768"/>
        <v>0</v>
      </c>
      <c r="Q104" s="119">
        <f t="shared" si="768"/>
        <v>0</v>
      </c>
      <c r="R104" s="119">
        <f t="shared" si="768"/>
        <v>0</v>
      </c>
      <c r="S104" s="119">
        <f t="shared" si="768"/>
        <v>0</v>
      </c>
      <c r="T104" s="119">
        <f t="shared" si="768"/>
        <v>0</v>
      </c>
      <c r="U104" s="119">
        <f t="shared" si="768"/>
        <v>0</v>
      </c>
      <c r="V104" s="119">
        <f t="shared" si="768"/>
        <v>0</v>
      </c>
      <c r="W104" s="119">
        <f t="shared" si="768"/>
        <v>0</v>
      </c>
      <c r="X104" s="119">
        <f t="shared" ca="1" si="768"/>
        <v>0</v>
      </c>
      <c r="Y104" s="119">
        <f t="shared" ca="1" si="768"/>
        <v>-0.11854117212105564</v>
      </c>
      <c r="Z104" s="119">
        <f t="shared" ca="1" si="768"/>
        <v>0</v>
      </c>
      <c r="AA104" s="119">
        <f t="shared" ca="1" si="768"/>
        <v>0</v>
      </c>
      <c r="AB104" s="119">
        <f t="shared" ca="1" si="768"/>
        <v>0</v>
      </c>
      <c r="AC104" s="119">
        <f t="shared" ca="1" si="768"/>
        <v>0</v>
      </c>
      <c r="AD104" s="119">
        <f t="shared" ca="1" si="768"/>
        <v>0</v>
      </c>
      <c r="AE104" s="119">
        <f t="shared" ca="1" si="768"/>
        <v>0</v>
      </c>
      <c r="AF104" s="119">
        <f t="shared" ca="1" si="768"/>
        <v>0</v>
      </c>
      <c r="AG104" s="119">
        <f t="shared" ca="1" si="768"/>
        <v>0</v>
      </c>
      <c r="AH104" s="119">
        <f t="shared" ca="1" si="768"/>
        <v>0</v>
      </c>
      <c r="AI104" s="119">
        <f t="shared" ca="1" si="768"/>
        <v>0</v>
      </c>
      <c r="AJ104" s="119">
        <f t="shared" ca="1" si="768"/>
        <v>0</v>
      </c>
      <c r="AK104" s="119">
        <f t="shared" ca="1" si="768"/>
        <v>0</v>
      </c>
      <c r="AL104" s="119">
        <f t="shared" ca="1" si="768"/>
        <v>0</v>
      </c>
      <c r="AM104" s="119">
        <f t="shared" ca="1" si="768"/>
        <v>0</v>
      </c>
      <c r="AN104" s="119">
        <f t="shared" ca="1" si="768"/>
        <v>0</v>
      </c>
      <c r="AO104" s="119">
        <f t="shared" ca="1" si="768"/>
        <v>0</v>
      </c>
      <c r="AP104" s="119">
        <f t="shared" ca="1" si="768"/>
        <v>0</v>
      </c>
      <c r="AQ104" s="119">
        <f t="shared" ca="1" si="768"/>
        <v>0</v>
      </c>
      <c r="AR104" s="119">
        <f t="shared" ca="1" si="768"/>
        <v>0</v>
      </c>
      <c r="AS104" s="119">
        <f t="shared" ca="1" si="768"/>
        <v>0</v>
      </c>
      <c r="AT104" s="119">
        <f t="shared" ca="1" si="768"/>
        <v>0</v>
      </c>
      <c r="AU104" s="119">
        <f t="shared" ca="1" si="768"/>
        <v>0</v>
      </c>
      <c r="AV104" s="119">
        <f t="shared" ca="1" si="768"/>
        <v>0</v>
      </c>
      <c r="AW104" s="119">
        <f t="shared" ca="1" si="768"/>
        <v>0</v>
      </c>
      <c r="AX104" s="119">
        <f t="shared" ca="1" si="768"/>
        <v>0</v>
      </c>
      <c r="AY104" s="119">
        <f t="shared" ca="1" si="768"/>
        <v>0</v>
      </c>
      <c r="AZ104" s="119">
        <f t="shared" ca="1" si="768"/>
        <v>0</v>
      </c>
      <c r="BA104" s="119">
        <f t="shared" ca="1" si="768"/>
        <v>0</v>
      </c>
      <c r="BB104" s="119">
        <f t="shared" ca="1" si="768"/>
        <v>0</v>
      </c>
      <c r="BC104" s="119">
        <f t="shared" ca="1" si="768"/>
        <v>0</v>
      </c>
      <c r="BD104" s="119">
        <f t="shared" ca="1" si="768"/>
        <v>0</v>
      </c>
      <c r="BE104" s="119">
        <f t="shared" ca="1" si="768"/>
        <v>0</v>
      </c>
      <c r="BF104" s="119">
        <f t="shared" ca="1" si="768"/>
        <v>0</v>
      </c>
      <c r="BG104" s="119">
        <f t="shared" ca="1" si="768"/>
        <v>0</v>
      </c>
      <c r="BH104" s="119">
        <f t="shared" ca="1" si="768"/>
        <v>0</v>
      </c>
      <c r="BI104" s="119">
        <f t="shared" ca="1" si="768"/>
        <v>0</v>
      </c>
      <c r="BJ104" s="119">
        <f t="shared" ca="1" si="768"/>
        <v>0</v>
      </c>
      <c r="BK104" s="119">
        <f t="shared" ca="1" si="768"/>
        <v>0</v>
      </c>
      <c r="BL104" s="119">
        <f t="shared" ca="1" si="768"/>
        <v>0</v>
      </c>
      <c r="BM104" s="119">
        <f t="shared" ca="1" si="768"/>
        <v>0</v>
      </c>
      <c r="BN104" s="119">
        <f t="shared" ca="1" si="768"/>
        <v>0</v>
      </c>
      <c r="BO104" s="119">
        <f t="shared" ca="1" si="768"/>
        <v>0</v>
      </c>
      <c r="BP104" s="119">
        <f t="shared" ca="1" si="768"/>
        <v>0</v>
      </c>
      <c r="BQ104" s="119">
        <f t="shared" ca="1" si="768"/>
        <v>0</v>
      </c>
      <c r="BR104" s="119">
        <f t="shared" ca="1" si="768"/>
        <v>0</v>
      </c>
      <c r="BS104" s="119">
        <f t="shared" ca="1" si="768"/>
        <v>0</v>
      </c>
      <c r="BT104" s="119">
        <f t="shared" ref="BT104:EE104" ca="1" si="769">-BT142</f>
        <v>0</v>
      </c>
      <c r="BU104" s="119">
        <f t="shared" ca="1" si="769"/>
        <v>0</v>
      </c>
      <c r="BV104" s="119">
        <f t="shared" ca="1" si="769"/>
        <v>0</v>
      </c>
      <c r="BW104" s="119">
        <f t="shared" ca="1" si="769"/>
        <v>0</v>
      </c>
      <c r="BX104" s="119">
        <f t="shared" ca="1" si="769"/>
        <v>0</v>
      </c>
      <c r="BY104" s="119">
        <f t="shared" ca="1" si="769"/>
        <v>0</v>
      </c>
      <c r="BZ104" s="119">
        <f t="shared" ca="1" si="769"/>
        <v>0</v>
      </c>
      <c r="CA104" s="119">
        <f t="shared" ca="1" si="769"/>
        <v>0</v>
      </c>
      <c r="CB104" s="119">
        <f t="shared" ca="1" si="769"/>
        <v>0</v>
      </c>
      <c r="CC104" s="119">
        <f t="shared" ca="1" si="769"/>
        <v>0</v>
      </c>
      <c r="CD104" s="119">
        <f t="shared" ca="1" si="769"/>
        <v>0</v>
      </c>
      <c r="CE104" s="119">
        <f t="shared" ca="1" si="769"/>
        <v>0</v>
      </c>
      <c r="CF104" s="119">
        <f t="shared" ca="1" si="769"/>
        <v>0</v>
      </c>
      <c r="CG104" s="119">
        <f t="shared" ca="1" si="769"/>
        <v>0</v>
      </c>
      <c r="CH104" s="119">
        <f t="shared" ca="1" si="769"/>
        <v>0</v>
      </c>
      <c r="CI104" s="119">
        <f t="shared" ca="1" si="769"/>
        <v>0</v>
      </c>
      <c r="CJ104" s="119">
        <f t="shared" ca="1" si="769"/>
        <v>0</v>
      </c>
      <c r="CK104" s="119">
        <f t="shared" ca="1" si="769"/>
        <v>0</v>
      </c>
      <c r="CL104" s="119">
        <f t="shared" ca="1" si="769"/>
        <v>0</v>
      </c>
      <c r="CM104" s="119">
        <f t="shared" ca="1" si="769"/>
        <v>0</v>
      </c>
      <c r="CN104" s="119">
        <f t="shared" ca="1" si="769"/>
        <v>0</v>
      </c>
      <c r="CO104" s="119">
        <f t="shared" ca="1" si="769"/>
        <v>0</v>
      </c>
      <c r="CP104" s="119">
        <f t="shared" ca="1" si="769"/>
        <v>0</v>
      </c>
      <c r="CQ104" s="119">
        <f t="shared" ca="1" si="769"/>
        <v>0</v>
      </c>
      <c r="CR104" s="119">
        <f t="shared" ca="1" si="769"/>
        <v>0</v>
      </c>
      <c r="CS104" s="119">
        <f t="shared" ca="1" si="769"/>
        <v>0</v>
      </c>
      <c r="CT104" s="119">
        <f t="shared" ca="1" si="769"/>
        <v>0</v>
      </c>
      <c r="CU104" s="266">
        <f t="shared" ca="1" si="769"/>
        <v>0</v>
      </c>
      <c r="CV104" s="119">
        <f t="shared" si="769"/>
        <v>0</v>
      </c>
      <c r="CW104" s="119">
        <f t="shared" si="769"/>
        <v>0</v>
      </c>
      <c r="CX104" s="119">
        <f t="shared" si="769"/>
        <v>0</v>
      </c>
      <c r="CY104" s="119">
        <f t="shared" si="769"/>
        <v>0</v>
      </c>
      <c r="CZ104" s="119">
        <f t="shared" si="769"/>
        <v>0</v>
      </c>
      <c r="DA104" s="119">
        <f t="shared" si="769"/>
        <v>0</v>
      </c>
      <c r="DB104" s="119">
        <f t="shared" si="769"/>
        <v>0</v>
      </c>
      <c r="DC104" s="119">
        <f t="shared" si="769"/>
        <v>0</v>
      </c>
      <c r="DD104" s="119">
        <f t="shared" si="769"/>
        <v>0</v>
      </c>
      <c r="DE104" s="119">
        <f t="shared" si="769"/>
        <v>0</v>
      </c>
      <c r="DF104" s="119">
        <f t="shared" si="769"/>
        <v>0</v>
      </c>
      <c r="DG104" s="119">
        <f t="shared" si="769"/>
        <v>0</v>
      </c>
      <c r="DH104" s="119">
        <f t="shared" si="769"/>
        <v>0</v>
      </c>
      <c r="DI104" s="119">
        <f t="shared" si="769"/>
        <v>0</v>
      </c>
      <c r="DJ104" s="119">
        <f t="shared" si="769"/>
        <v>0</v>
      </c>
      <c r="DK104" s="119">
        <f t="shared" si="769"/>
        <v>0</v>
      </c>
      <c r="DL104" s="119">
        <f t="shared" si="769"/>
        <v>0</v>
      </c>
      <c r="DM104" s="119">
        <f t="shared" si="769"/>
        <v>0</v>
      </c>
      <c r="DN104" s="119">
        <f t="shared" si="769"/>
        <v>0</v>
      </c>
      <c r="DO104" s="119">
        <f t="shared" si="769"/>
        <v>0</v>
      </c>
      <c r="DP104" s="119">
        <f t="shared" si="769"/>
        <v>0</v>
      </c>
      <c r="DQ104" s="119">
        <f t="shared" si="769"/>
        <v>0</v>
      </c>
      <c r="DR104" s="119">
        <f t="shared" si="769"/>
        <v>0</v>
      </c>
      <c r="DS104" s="119">
        <f t="shared" si="769"/>
        <v>0</v>
      </c>
      <c r="DT104" s="119">
        <f t="shared" si="769"/>
        <v>0</v>
      </c>
      <c r="DU104" s="119">
        <f t="shared" si="769"/>
        <v>0</v>
      </c>
      <c r="DV104" s="119">
        <f t="shared" si="769"/>
        <v>0</v>
      </c>
      <c r="DW104" s="119">
        <f t="shared" si="769"/>
        <v>0</v>
      </c>
      <c r="DX104" s="119">
        <f t="shared" si="769"/>
        <v>0</v>
      </c>
      <c r="DY104" s="119">
        <f t="shared" si="769"/>
        <v>0</v>
      </c>
      <c r="DZ104" s="119">
        <f t="shared" si="769"/>
        <v>0</v>
      </c>
      <c r="EA104" s="119">
        <f t="shared" si="769"/>
        <v>0</v>
      </c>
      <c r="EB104" s="119">
        <f t="shared" si="769"/>
        <v>0</v>
      </c>
      <c r="EC104" s="119">
        <f t="shared" si="769"/>
        <v>0</v>
      </c>
      <c r="ED104" s="119">
        <f t="shared" si="769"/>
        <v>0</v>
      </c>
      <c r="EE104" s="119">
        <f t="shared" si="769"/>
        <v>0</v>
      </c>
      <c r="EF104" s="119">
        <f t="shared" ref="EF104:FA104" si="770">-EF142</f>
        <v>0</v>
      </c>
      <c r="EG104" s="119">
        <f t="shared" si="770"/>
        <v>0</v>
      </c>
      <c r="EH104" s="119">
        <f t="shared" si="770"/>
        <v>0</v>
      </c>
      <c r="EI104" s="119">
        <f t="shared" si="770"/>
        <v>0</v>
      </c>
      <c r="EJ104" s="119">
        <f t="shared" si="770"/>
        <v>0</v>
      </c>
      <c r="EK104" s="119">
        <f t="shared" si="770"/>
        <v>0</v>
      </c>
      <c r="EL104" s="119">
        <f t="shared" si="770"/>
        <v>0</v>
      </c>
      <c r="EM104" s="119">
        <f t="shared" si="770"/>
        <v>0</v>
      </c>
      <c r="EN104" s="119">
        <f t="shared" si="770"/>
        <v>0</v>
      </c>
      <c r="EO104" s="119">
        <f t="shared" si="770"/>
        <v>0</v>
      </c>
      <c r="EP104" s="119">
        <f t="shared" si="770"/>
        <v>0</v>
      </c>
      <c r="EQ104" s="119">
        <f t="shared" si="770"/>
        <v>0</v>
      </c>
      <c r="ER104" s="119">
        <f t="shared" si="770"/>
        <v>0</v>
      </c>
      <c r="ES104" s="119">
        <f t="shared" si="770"/>
        <v>0</v>
      </c>
      <c r="ET104" s="119">
        <f t="shared" si="770"/>
        <v>0</v>
      </c>
      <c r="EU104" s="119">
        <f t="shared" si="770"/>
        <v>0</v>
      </c>
      <c r="EV104" s="119">
        <f t="shared" si="770"/>
        <v>0</v>
      </c>
      <c r="EW104" s="119">
        <f t="shared" si="770"/>
        <v>0</v>
      </c>
      <c r="EX104" s="119">
        <f t="shared" si="770"/>
        <v>0</v>
      </c>
      <c r="EY104" s="119">
        <f t="shared" si="770"/>
        <v>0</v>
      </c>
      <c r="EZ104" s="119">
        <f t="shared" si="770"/>
        <v>0</v>
      </c>
      <c r="FA104" s="119">
        <f t="shared" si="770"/>
        <v>0</v>
      </c>
    </row>
    <row r="105" spans="1:157" outlineLevel="1" x14ac:dyDescent="0.2">
      <c r="C105" s="9" t="s">
        <v>449</v>
      </c>
      <c r="D105" s="21" t="s">
        <v>126</v>
      </c>
      <c r="E105" s="119"/>
      <c r="F105" s="119"/>
      <c r="G105" s="119">
        <f>-G143</f>
        <v>0</v>
      </c>
      <c r="H105" s="119">
        <f t="shared" ref="H105:BS105" si="771">-H143</f>
        <v>0</v>
      </c>
      <c r="I105" s="119">
        <f t="shared" si="771"/>
        <v>0</v>
      </c>
      <c r="J105" s="119">
        <f t="shared" si="771"/>
        <v>0</v>
      </c>
      <c r="K105" s="119">
        <f t="shared" si="771"/>
        <v>0</v>
      </c>
      <c r="L105" s="119">
        <f t="shared" si="771"/>
        <v>0</v>
      </c>
      <c r="M105" s="119">
        <f t="shared" si="771"/>
        <v>0</v>
      </c>
      <c r="N105" s="119">
        <f t="shared" si="771"/>
        <v>0</v>
      </c>
      <c r="O105" s="119">
        <f t="shared" si="771"/>
        <v>0</v>
      </c>
      <c r="P105" s="119">
        <f t="shared" si="771"/>
        <v>0</v>
      </c>
      <c r="Q105" s="119">
        <f t="shared" si="771"/>
        <v>0</v>
      </c>
      <c r="R105" s="119">
        <f t="shared" si="771"/>
        <v>0</v>
      </c>
      <c r="S105" s="119">
        <f t="shared" si="771"/>
        <v>0</v>
      </c>
      <c r="T105" s="119">
        <f t="shared" si="771"/>
        <v>0</v>
      </c>
      <c r="U105" s="119">
        <f t="shared" si="771"/>
        <v>0</v>
      </c>
      <c r="V105" s="119">
        <f t="shared" si="771"/>
        <v>0</v>
      </c>
      <c r="W105" s="119">
        <f t="shared" si="771"/>
        <v>0</v>
      </c>
      <c r="X105" s="119">
        <f t="shared" ca="1" si="771"/>
        <v>0</v>
      </c>
      <c r="Y105" s="119">
        <f t="shared" ca="1" si="771"/>
        <v>0</v>
      </c>
      <c r="Z105" s="119">
        <f t="shared" ca="1" si="771"/>
        <v>0</v>
      </c>
      <c r="AA105" s="119">
        <f t="shared" ca="1" si="771"/>
        <v>0</v>
      </c>
      <c r="AB105" s="119">
        <f t="shared" ca="1" si="771"/>
        <v>0</v>
      </c>
      <c r="AC105" s="119">
        <f t="shared" ca="1" si="771"/>
        <v>0</v>
      </c>
      <c r="AD105" s="119">
        <f t="shared" ca="1" si="771"/>
        <v>0</v>
      </c>
      <c r="AE105" s="119">
        <f t="shared" ca="1" si="771"/>
        <v>0</v>
      </c>
      <c r="AF105" s="119">
        <f t="shared" ca="1" si="771"/>
        <v>0</v>
      </c>
      <c r="AG105" s="119">
        <f t="shared" ca="1" si="771"/>
        <v>0</v>
      </c>
      <c r="AH105" s="119">
        <f t="shared" ca="1" si="771"/>
        <v>0</v>
      </c>
      <c r="AI105" s="119">
        <f t="shared" ca="1" si="771"/>
        <v>0</v>
      </c>
      <c r="AJ105" s="119">
        <f t="shared" ca="1" si="771"/>
        <v>0</v>
      </c>
      <c r="AK105" s="119">
        <f t="shared" ca="1" si="771"/>
        <v>0</v>
      </c>
      <c r="AL105" s="119">
        <f t="shared" ca="1" si="771"/>
        <v>0</v>
      </c>
      <c r="AM105" s="119">
        <f t="shared" ca="1" si="771"/>
        <v>0</v>
      </c>
      <c r="AN105" s="119">
        <f t="shared" ca="1" si="771"/>
        <v>0</v>
      </c>
      <c r="AO105" s="119">
        <f t="shared" ca="1" si="771"/>
        <v>0</v>
      </c>
      <c r="AP105" s="119">
        <f t="shared" ca="1" si="771"/>
        <v>0</v>
      </c>
      <c r="AQ105" s="119">
        <f t="shared" ca="1" si="771"/>
        <v>0</v>
      </c>
      <c r="AR105" s="119">
        <f t="shared" ca="1" si="771"/>
        <v>0</v>
      </c>
      <c r="AS105" s="119">
        <f t="shared" ca="1" si="771"/>
        <v>0</v>
      </c>
      <c r="AT105" s="119">
        <f t="shared" ca="1" si="771"/>
        <v>0</v>
      </c>
      <c r="AU105" s="119">
        <f t="shared" ca="1" si="771"/>
        <v>0</v>
      </c>
      <c r="AV105" s="119">
        <f t="shared" ca="1" si="771"/>
        <v>0</v>
      </c>
      <c r="AW105" s="119">
        <f t="shared" ca="1" si="771"/>
        <v>0</v>
      </c>
      <c r="AX105" s="119">
        <f t="shared" ca="1" si="771"/>
        <v>0</v>
      </c>
      <c r="AY105" s="119">
        <f t="shared" ca="1" si="771"/>
        <v>0</v>
      </c>
      <c r="AZ105" s="119">
        <f t="shared" ca="1" si="771"/>
        <v>0</v>
      </c>
      <c r="BA105" s="119">
        <f t="shared" ca="1" si="771"/>
        <v>0</v>
      </c>
      <c r="BB105" s="119">
        <f t="shared" ca="1" si="771"/>
        <v>0</v>
      </c>
      <c r="BC105" s="119">
        <f t="shared" ca="1" si="771"/>
        <v>0</v>
      </c>
      <c r="BD105" s="119">
        <f t="shared" ca="1" si="771"/>
        <v>0</v>
      </c>
      <c r="BE105" s="119">
        <f t="shared" ca="1" si="771"/>
        <v>0</v>
      </c>
      <c r="BF105" s="119">
        <f t="shared" ca="1" si="771"/>
        <v>0</v>
      </c>
      <c r="BG105" s="119">
        <f t="shared" ca="1" si="771"/>
        <v>0</v>
      </c>
      <c r="BH105" s="119">
        <f t="shared" ca="1" si="771"/>
        <v>0</v>
      </c>
      <c r="BI105" s="119">
        <f t="shared" ca="1" si="771"/>
        <v>0</v>
      </c>
      <c r="BJ105" s="119">
        <f t="shared" ca="1" si="771"/>
        <v>0</v>
      </c>
      <c r="BK105" s="119">
        <f t="shared" ca="1" si="771"/>
        <v>0</v>
      </c>
      <c r="BL105" s="119">
        <f t="shared" ca="1" si="771"/>
        <v>0</v>
      </c>
      <c r="BM105" s="119">
        <f t="shared" ca="1" si="771"/>
        <v>0</v>
      </c>
      <c r="BN105" s="119">
        <f t="shared" ca="1" si="771"/>
        <v>0</v>
      </c>
      <c r="BO105" s="119">
        <f t="shared" ca="1" si="771"/>
        <v>0</v>
      </c>
      <c r="BP105" s="119">
        <f t="shared" ca="1" si="771"/>
        <v>0</v>
      </c>
      <c r="BQ105" s="119">
        <f t="shared" ca="1" si="771"/>
        <v>0</v>
      </c>
      <c r="BR105" s="119">
        <f t="shared" ca="1" si="771"/>
        <v>0</v>
      </c>
      <c r="BS105" s="119">
        <f t="shared" ca="1" si="771"/>
        <v>0</v>
      </c>
      <c r="BT105" s="119">
        <f t="shared" ref="BT105:EE105" ca="1" si="772">-BT143</f>
        <v>0</v>
      </c>
      <c r="BU105" s="119">
        <f t="shared" ca="1" si="772"/>
        <v>0</v>
      </c>
      <c r="BV105" s="119">
        <f t="shared" ca="1" si="772"/>
        <v>0</v>
      </c>
      <c r="BW105" s="119">
        <f t="shared" ca="1" si="772"/>
        <v>0</v>
      </c>
      <c r="BX105" s="119">
        <f t="shared" ca="1" si="772"/>
        <v>0</v>
      </c>
      <c r="BY105" s="119">
        <f t="shared" ca="1" si="772"/>
        <v>0</v>
      </c>
      <c r="BZ105" s="119">
        <f t="shared" ca="1" si="772"/>
        <v>0</v>
      </c>
      <c r="CA105" s="119">
        <f t="shared" ca="1" si="772"/>
        <v>0</v>
      </c>
      <c r="CB105" s="119">
        <f t="shared" ca="1" si="772"/>
        <v>0</v>
      </c>
      <c r="CC105" s="119">
        <f t="shared" ca="1" si="772"/>
        <v>0</v>
      </c>
      <c r="CD105" s="119">
        <f t="shared" ca="1" si="772"/>
        <v>0</v>
      </c>
      <c r="CE105" s="119">
        <f t="shared" ca="1" si="772"/>
        <v>0</v>
      </c>
      <c r="CF105" s="119">
        <f t="shared" ca="1" si="772"/>
        <v>0</v>
      </c>
      <c r="CG105" s="119">
        <f t="shared" ca="1" si="772"/>
        <v>0</v>
      </c>
      <c r="CH105" s="119">
        <f t="shared" ca="1" si="772"/>
        <v>0</v>
      </c>
      <c r="CI105" s="119">
        <f t="shared" ca="1" si="772"/>
        <v>0</v>
      </c>
      <c r="CJ105" s="119">
        <f t="shared" ca="1" si="772"/>
        <v>0</v>
      </c>
      <c r="CK105" s="119">
        <f t="shared" ca="1" si="772"/>
        <v>0</v>
      </c>
      <c r="CL105" s="119">
        <f t="shared" ca="1" si="772"/>
        <v>0</v>
      </c>
      <c r="CM105" s="119">
        <f t="shared" ca="1" si="772"/>
        <v>0</v>
      </c>
      <c r="CN105" s="119">
        <f t="shared" ca="1" si="772"/>
        <v>0</v>
      </c>
      <c r="CO105" s="119">
        <f t="shared" ca="1" si="772"/>
        <v>0</v>
      </c>
      <c r="CP105" s="119">
        <f t="shared" ca="1" si="772"/>
        <v>0</v>
      </c>
      <c r="CQ105" s="119">
        <f t="shared" ca="1" si="772"/>
        <v>0</v>
      </c>
      <c r="CR105" s="119">
        <f t="shared" ca="1" si="772"/>
        <v>0</v>
      </c>
      <c r="CS105" s="119">
        <f t="shared" ca="1" si="772"/>
        <v>0</v>
      </c>
      <c r="CT105" s="119">
        <f t="shared" ca="1" si="772"/>
        <v>0</v>
      </c>
      <c r="CU105" s="266">
        <f t="shared" ca="1" si="772"/>
        <v>0</v>
      </c>
      <c r="CV105" s="119">
        <f t="shared" si="772"/>
        <v>0</v>
      </c>
      <c r="CW105" s="119">
        <f t="shared" si="772"/>
        <v>0</v>
      </c>
      <c r="CX105" s="119">
        <f t="shared" si="772"/>
        <v>0</v>
      </c>
      <c r="CY105" s="119">
        <f t="shared" si="772"/>
        <v>0</v>
      </c>
      <c r="CZ105" s="119">
        <f t="shared" si="772"/>
        <v>0</v>
      </c>
      <c r="DA105" s="119">
        <f t="shared" si="772"/>
        <v>0</v>
      </c>
      <c r="DB105" s="119">
        <f t="shared" si="772"/>
        <v>0</v>
      </c>
      <c r="DC105" s="119">
        <f t="shared" si="772"/>
        <v>0</v>
      </c>
      <c r="DD105" s="119">
        <f t="shared" si="772"/>
        <v>0</v>
      </c>
      <c r="DE105" s="119">
        <f t="shared" si="772"/>
        <v>0</v>
      </c>
      <c r="DF105" s="119">
        <f t="shared" si="772"/>
        <v>0</v>
      </c>
      <c r="DG105" s="119">
        <f t="shared" si="772"/>
        <v>0</v>
      </c>
      <c r="DH105" s="119">
        <f t="shared" si="772"/>
        <v>0</v>
      </c>
      <c r="DI105" s="119">
        <f t="shared" si="772"/>
        <v>0</v>
      </c>
      <c r="DJ105" s="119">
        <f t="shared" si="772"/>
        <v>0</v>
      </c>
      <c r="DK105" s="119">
        <f t="shared" si="772"/>
        <v>0</v>
      </c>
      <c r="DL105" s="119">
        <f t="shared" si="772"/>
        <v>0</v>
      </c>
      <c r="DM105" s="119">
        <f t="shared" si="772"/>
        <v>0</v>
      </c>
      <c r="DN105" s="119">
        <f t="shared" si="772"/>
        <v>0</v>
      </c>
      <c r="DO105" s="119">
        <f t="shared" si="772"/>
        <v>0</v>
      </c>
      <c r="DP105" s="119">
        <f t="shared" si="772"/>
        <v>0</v>
      </c>
      <c r="DQ105" s="119">
        <f t="shared" si="772"/>
        <v>0</v>
      </c>
      <c r="DR105" s="119">
        <f t="shared" si="772"/>
        <v>0</v>
      </c>
      <c r="DS105" s="119">
        <f t="shared" si="772"/>
        <v>0</v>
      </c>
      <c r="DT105" s="119">
        <f t="shared" si="772"/>
        <v>0</v>
      </c>
      <c r="DU105" s="119">
        <f t="shared" si="772"/>
        <v>0</v>
      </c>
      <c r="DV105" s="119">
        <f t="shared" si="772"/>
        <v>0</v>
      </c>
      <c r="DW105" s="119">
        <f t="shared" si="772"/>
        <v>0</v>
      </c>
      <c r="DX105" s="119">
        <f t="shared" si="772"/>
        <v>0</v>
      </c>
      <c r="DY105" s="119">
        <f t="shared" si="772"/>
        <v>0</v>
      </c>
      <c r="DZ105" s="119">
        <f t="shared" si="772"/>
        <v>0</v>
      </c>
      <c r="EA105" s="119">
        <f t="shared" si="772"/>
        <v>0</v>
      </c>
      <c r="EB105" s="119">
        <f t="shared" si="772"/>
        <v>0</v>
      </c>
      <c r="EC105" s="119">
        <f t="shared" si="772"/>
        <v>0</v>
      </c>
      <c r="ED105" s="119">
        <f t="shared" si="772"/>
        <v>0</v>
      </c>
      <c r="EE105" s="119">
        <f t="shared" si="772"/>
        <v>0</v>
      </c>
      <c r="EF105" s="119">
        <f t="shared" ref="EF105:FA105" si="773">-EF143</f>
        <v>0</v>
      </c>
      <c r="EG105" s="119">
        <f t="shared" si="773"/>
        <v>0</v>
      </c>
      <c r="EH105" s="119">
        <f t="shared" si="773"/>
        <v>0</v>
      </c>
      <c r="EI105" s="119">
        <f t="shared" si="773"/>
        <v>0</v>
      </c>
      <c r="EJ105" s="119">
        <f t="shared" si="773"/>
        <v>0</v>
      </c>
      <c r="EK105" s="119">
        <f t="shared" si="773"/>
        <v>0</v>
      </c>
      <c r="EL105" s="119">
        <f t="shared" si="773"/>
        <v>0</v>
      </c>
      <c r="EM105" s="119">
        <f t="shared" si="773"/>
        <v>0</v>
      </c>
      <c r="EN105" s="119">
        <f t="shared" si="773"/>
        <v>0</v>
      </c>
      <c r="EO105" s="119">
        <f t="shared" si="773"/>
        <v>0</v>
      </c>
      <c r="EP105" s="119">
        <f t="shared" si="773"/>
        <v>0</v>
      </c>
      <c r="EQ105" s="119">
        <f t="shared" si="773"/>
        <v>0</v>
      </c>
      <c r="ER105" s="119">
        <f t="shared" si="773"/>
        <v>0</v>
      </c>
      <c r="ES105" s="119">
        <f t="shared" si="773"/>
        <v>0</v>
      </c>
      <c r="ET105" s="119">
        <f t="shared" si="773"/>
        <v>0</v>
      </c>
      <c r="EU105" s="119">
        <f t="shared" si="773"/>
        <v>0</v>
      </c>
      <c r="EV105" s="119">
        <f t="shared" si="773"/>
        <v>0</v>
      </c>
      <c r="EW105" s="119">
        <f t="shared" si="773"/>
        <v>0</v>
      </c>
      <c r="EX105" s="119">
        <f t="shared" si="773"/>
        <v>0</v>
      </c>
      <c r="EY105" s="119">
        <f t="shared" si="773"/>
        <v>0</v>
      </c>
      <c r="EZ105" s="119">
        <f t="shared" si="773"/>
        <v>0</v>
      </c>
      <c r="FA105" s="119">
        <f t="shared" si="773"/>
        <v>0</v>
      </c>
    </row>
    <row r="106" spans="1:157" outlineLevel="1" x14ac:dyDescent="0.2">
      <c r="C106" s="9" t="s">
        <v>428</v>
      </c>
      <c r="D106" s="21" t="s">
        <v>126</v>
      </c>
      <c r="E106" s="119"/>
      <c r="F106" s="119"/>
      <c r="G106" s="119">
        <f>-G144</f>
        <v>0</v>
      </c>
      <c r="H106" s="119">
        <f t="shared" ref="H106:BS106" si="774">-H144</f>
        <v>0</v>
      </c>
      <c r="I106" s="119">
        <f t="shared" si="774"/>
        <v>0</v>
      </c>
      <c r="J106" s="119">
        <f t="shared" si="774"/>
        <v>0</v>
      </c>
      <c r="K106" s="119">
        <f t="shared" si="774"/>
        <v>0</v>
      </c>
      <c r="L106" s="119">
        <f t="shared" si="774"/>
        <v>0</v>
      </c>
      <c r="M106" s="119">
        <f t="shared" si="774"/>
        <v>0</v>
      </c>
      <c r="N106" s="119">
        <f t="shared" si="774"/>
        <v>0</v>
      </c>
      <c r="O106" s="119">
        <f t="shared" si="774"/>
        <v>0</v>
      </c>
      <c r="P106" s="119">
        <f t="shared" si="774"/>
        <v>0</v>
      </c>
      <c r="Q106" s="119">
        <f t="shared" si="774"/>
        <v>0</v>
      </c>
      <c r="R106" s="119">
        <f t="shared" si="774"/>
        <v>0</v>
      </c>
      <c r="S106" s="119">
        <f t="shared" si="774"/>
        <v>0</v>
      </c>
      <c r="T106" s="119">
        <f t="shared" si="774"/>
        <v>0</v>
      </c>
      <c r="U106" s="119">
        <f t="shared" si="774"/>
        <v>0</v>
      </c>
      <c r="V106" s="119">
        <f t="shared" si="774"/>
        <v>0</v>
      </c>
      <c r="W106" s="119">
        <f t="shared" si="774"/>
        <v>0</v>
      </c>
      <c r="X106" s="119">
        <f t="shared" ca="1" si="774"/>
        <v>0</v>
      </c>
      <c r="Y106" s="119">
        <f t="shared" ca="1" si="774"/>
        <v>0</v>
      </c>
      <c r="Z106" s="119">
        <f t="shared" ca="1" si="774"/>
        <v>0</v>
      </c>
      <c r="AA106" s="119">
        <f t="shared" ca="1" si="774"/>
        <v>0</v>
      </c>
      <c r="AB106" s="119">
        <f t="shared" ca="1" si="774"/>
        <v>0</v>
      </c>
      <c r="AC106" s="119">
        <f t="shared" ca="1" si="774"/>
        <v>0</v>
      </c>
      <c r="AD106" s="119">
        <f t="shared" ca="1" si="774"/>
        <v>0</v>
      </c>
      <c r="AE106" s="119">
        <f t="shared" ca="1" si="774"/>
        <v>0</v>
      </c>
      <c r="AF106" s="119">
        <f t="shared" ca="1" si="774"/>
        <v>0</v>
      </c>
      <c r="AG106" s="119">
        <f t="shared" ca="1" si="774"/>
        <v>0</v>
      </c>
      <c r="AH106" s="119">
        <f t="shared" ca="1" si="774"/>
        <v>0</v>
      </c>
      <c r="AI106" s="119">
        <f t="shared" ca="1" si="774"/>
        <v>0</v>
      </c>
      <c r="AJ106" s="119">
        <f t="shared" ca="1" si="774"/>
        <v>0</v>
      </c>
      <c r="AK106" s="119">
        <f t="shared" ca="1" si="774"/>
        <v>0</v>
      </c>
      <c r="AL106" s="119">
        <f t="shared" ca="1" si="774"/>
        <v>0</v>
      </c>
      <c r="AM106" s="119">
        <f t="shared" ca="1" si="774"/>
        <v>0</v>
      </c>
      <c r="AN106" s="119">
        <f t="shared" ca="1" si="774"/>
        <v>0</v>
      </c>
      <c r="AO106" s="119">
        <f t="shared" ca="1" si="774"/>
        <v>0</v>
      </c>
      <c r="AP106" s="119">
        <f t="shared" ca="1" si="774"/>
        <v>0</v>
      </c>
      <c r="AQ106" s="119">
        <f t="shared" ca="1" si="774"/>
        <v>0</v>
      </c>
      <c r="AR106" s="119">
        <f t="shared" ca="1" si="774"/>
        <v>0</v>
      </c>
      <c r="AS106" s="119">
        <f t="shared" ca="1" si="774"/>
        <v>0</v>
      </c>
      <c r="AT106" s="119">
        <f t="shared" ca="1" si="774"/>
        <v>0</v>
      </c>
      <c r="AU106" s="119">
        <f t="shared" ca="1" si="774"/>
        <v>0</v>
      </c>
      <c r="AV106" s="119">
        <f t="shared" ca="1" si="774"/>
        <v>0</v>
      </c>
      <c r="AW106" s="119">
        <f t="shared" ca="1" si="774"/>
        <v>0</v>
      </c>
      <c r="AX106" s="119">
        <f t="shared" ca="1" si="774"/>
        <v>0</v>
      </c>
      <c r="AY106" s="119">
        <f t="shared" ca="1" si="774"/>
        <v>0</v>
      </c>
      <c r="AZ106" s="119">
        <f t="shared" ca="1" si="774"/>
        <v>0</v>
      </c>
      <c r="BA106" s="119">
        <f t="shared" ca="1" si="774"/>
        <v>0</v>
      </c>
      <c r="BB106" s="119">
        <f t="shared" ca="1" si="774"/>
        <v>0</v>
      </c>
      <c r="BC106" s="119">
        <f t="shared" ca="1" si="774"/>
        <v>0</v>
      </c>
      <c r="BD106" s="119">
        <f t="shared" ca="1" si="774"/>
        <v>0</v>
      </c>
      <c r="BE106" s="119">
        <f t="shared" ca="1" si="774"/>
        <v>0</v>
      </c>
      <c r="BF106" s="119">
        <f t="shared" ca="1" si="774"/>
        <v>0</v>
      </c>
      <c r="BG106" s="119">
        <f t="shared" ca="1" si="774"/>
        <v>0</v>
      </c>
      <c r="BH106" s="119">
        <f t="shared" ca="1" si="774"/>
        <v>0</v>
      </c>
      <c r="BI106" s="119">
        <f t="shared" ca="1" si="774"/>
        <v>0</v>
      </c>
      <c r="BJ106" s="119">
        <f t="shared" ca="1" si="774"/>
        <v>0</v>
      </c>
      <c r="BK106" s="119">
        <f t="shared" ca="1" si="774"/>
        <v>0</v>
      </c>
      <c r="BL106" s="119">
        <f t="shared" ca="1" si="774"/>
        <v>0</v>
      </c>
      <c r="BM106" s="119">
        <f t="shared" ca="1" si="774"/>
        <v>0</v>
      </c>
      <c r="BN106" s="119">
        <f t="shared" ca="1" si="774"/>
        <v>0</v>
      </c>
      <c r="BO106" s="119">
        <f t="shared" ca="1" si="774"/>
        <v>0</v>
      </c>
      <c r="BP106" s="119">
        <f t="shared" ca="1" si="774"/>
        <v>0</v>
      </c>
      <c r="BQ106" s="119">
        <f t="shared" ca="1" si="774"/>
        <v>0</v>
      </c>
      <c r="BR106" s="119">
        <f t="shared" ca="1" si="774"/>
        <v>0</v>
      </c>
      <c r="BS106" s="119">
        <f t="shared" ca="1" si="774"/>
        <v>0</v>
      </c>
      <c r="BT106" s="119">
        <f t="shared" ref="BT106:EE106" ca="1" si="775">-BT144</f>
        <v>0</v>
      </c>
      <c r="BU106" s="119">
        <f t="shared" ca="1" si="775"/>
        <v>0</v>
      </c>
      <c r="BV106" s="119">
        <f t="shared" ca="1" si="775"/>
        <v>0</v>
      </c>
      <c r="BW106" s="119">
        <f t="shared" ca="1" si="775"/>
        <v>0</v>
      </c>
      <c r="BX106" s="119">
        <f t="shared" ca="1" si="775"/>
        <v>0</v>
      </c>
      <c r="BY106" s="119">
        <f t="shared" ca="1" si="775"/>
        <v>0</v>
      </c>
      <c r="BZ106" s="119">
        <f t="shared" ca="1" si="775"/>
        <v>0</v>
      </c>
      <c r="CA106" s="119">
        <f t="shared" ca="1" si="775"/>
        <v>0</v>
      </c>
      <c r="CB106" s="119">
        <f t="shared" ca="1" si="775"/>
        <v>0</v>
      </c>
      <c r="CC106" s="119">
        <f t="shared" ca="1" si="775"/>
        <v>0</v>
      </c>
      <c r="CD106" s="119">
        <f t="shared" ca="1" si="775"/>
        <v>0</v>
      </c>
      <c r="CE106" s="119">
        <f t="shared" ca="1" si="775"/>
        <v>0</v>
      </c>
      <c r="CF106" s="119">
        <f t="shared" ca="1" si="775"/>
        <v>0</v>
      </c>
      <c r="CG106" s="119">
        <f t="shared" ca="1" si="775"/>
        <v>0</v>
      </c>
      <c r="CH106" s="119">
        <f t="shared" ca="1" si="775"/>
        <v>0</v>
      </c>
      <c r="CI106" s="119">
        <f t="shared" ca="1" si="775"/>
        <v>0</v>
      </c>
      <c r="CJ106" s="119">
        <f t="shared" ca="1" si="775"/>
        <v>0</v>
      </c>
      <c r="CK106" s="119">
        <f t="shared" ca="1" si="775"/>
        <v>0</v>
      </c>
      <c r="CL106" s="119">
        <f t="shared" ca="1" si="775"/>
        <v>0</v>
      </c>
      <c r="CM106" s="119">
        <f t="shared" ca="1" si="775"/>
        <v>0</v>
      </c>
      <c r="CN106" s="119">
        <f t="shared" ca="1" si="775"/>
        <v>0</v>
      </c>
      <c r="CO106" s="119">
        <f t="shared" ca="1" si="775"/>
        <v>0</v>
      </c>
      <c r="CP106" s="119">
        <f t="shared" ca="1" si="775"/>
        <v>0</v>
      </c>
      <c r="CQ106" s="119">
        <f t="shared" ca="1" si="775"/>
        <v>0</v>
      </c>
      <c r="CR106" s="119">
        <f t="shared" ca="1" si="775"/>
        <v>0</v>
      </c>
      <c r="CS106" s="119">
        <f t="shared" ca="1" si="775"/>
        <v>0</v>
      </c>
      <c r="CT106" s="119">
        <f t="shared" ca="1" si="775"/>
        <v>0</v>
      </c>
      <c r="CU106" s="266">
        <f t="shared" ca="1" si="775"/>
        <v>0</v>
      </c>
      <c r="CV106" s="119">
        <f t="shared" si="775"/>
        <v>0</v>
      </c>
      <c r="CW106" s="119">
        <f t="shared" si="775"/>
        <v>0</v>
      </c>
      <c r="CX106" s="119">
        <f t="shared" si="775"/>
        <v>0</v>
      </c>
      <c r="CY106" s="119">
        <f t="shared" si="775"/>
        <v>0</v>
      </c>
      <c r="CZ106" s="119">
        <f t="shared" si="775"/>
        <v>0</v>
      </c>
      <c r="DA106" s="119">
        <f t="shared" si="775"/>
        <v>0</v>
      </c>
      <c r="DB106" s="119">
        <f t="shared" si="775"/>
        <v>0</v>
      </c>
      <c r="DC106" s="119">
        <f t="shared" si="775"/>
        <v>0</v>
      </c>
      <c r="DD106" s="119">
        <f t="shared" si="775"/>
        <v>0</v>
      </c>
      <c r="DE106" s="119">
        <f t="shared" si="775"/>
        <v>0</v>
      </c>
      <c r="DF106" s="119">
        <f t="shared" si="775"/>
        <v>0</v>
      </c>
      <c r="DG106" s="119">
        <f t="shared" si="775"/>
        <v>0</v>
      </c>
      <c r="DH106" s="119">
        <f t="shared" si="775"/>
        <v>0</v>
      </c>
      <c r="DI106" s="119">
        <f t="shared" si="775"/>
        <v>0</v>
      </c>
      <c r="DJ106" s="119">
        <f t="shared" si="775"/>
        <v>0</v>
      </c>
      <c r="DK106" s="119">
        <f t="shared" si="775"/>
        <v>0</v>
      </c>
      <c r="DL106" s="119">
        <f t="shared" si="775"/>
        <v>0</v>
      </c>
      <c r="DM106" s="119">
        <f t="shared" si="775"/>
        <v>0</v>
      </c>
      <c r="DN106" s="119">
        <f t="shared" si="775"/>
        <v>0</v>
      </c>
      <c r="DO106" s="119">
        <f t="shared" si="775"/>
        <v>0</v>
      </c>
      <c r="DP106" s="119">
        <f t="shared" si="775"/>
        <v>0</v>
      </c>
      <c r="DQ106" s="119">
        <f t="shared" si="775"/>
        <v>0</v>
      </c>
      <c r="DR106" s="119">
        <f t="shared" si="775"/>
        <v>0</v>
      </c>
      <c r="DS106" s="119">
        <f t="shared" si="775"/>
        <v>0</v>
      </c>
      <c r="DT106" s="119">
        <f t="shared" si="775"/>
        <v>0</v>
      </c>
      <c r="DU106" s="119">
        <f t="shared" si="775"/>
        <v>0</v>
      </c>
      <c r="DV106" s="119">
        <f t="shared" si="775"/>
        <v>0</v>
      </c>
      <c r="DW106" s="119">
        <f t="shared" si="775"/>
        <v>0</v>
      </c>
      <c r="DX106" s="119">
        <f t="shared" si="775"/>
        <v>0</v>
      </c>
      <c r="DY106" s="119">
        <f t="shared" si="775"/>
        <v>0</v>
      </c>
      <c r="DZ106" s="119">
        <f t="shared" si="775"/>
        <v>0</v>
      </c>
      <c r="EA106" s="119">
        <f t="shared" si="775"/>
        <v>0</v>
      </c>
      <c r="EB106" s="119">
        <f t="shared" si="775"/>
        <v>0</v>
      </c>
      <c r="EC106" s="119">
        <f t="shared" si="775"/>
        <v>0</v>
      </c>
      <c r="ED106" s="119">
        <f t="shared" si="775"/>
        <v>0</v>
      </c>
      <c r="EE106" s="119">
        <f t="shared" si="775"/>
        <v>0</v>
      </c>
      <c r="EF106" s="119">
        <f t="shared" ref="EF106:FA106" si="776">-EF144</f>
        <v>0</v>
      </c>
      <c r="EG106" s="119">
        <f t="shared" si="776"/>
        <v>0</v>
      </c>
      <c r="EH106" s="119">
        <f t="shared" si="776"/>
        <v>0</v>
      </c>
      <c r="EI106" s="119">
        <f t="shared" si="776"/>
        <v>0</v>
      </c>
      <c r="EJ106" s="119">
        <f t="shared" si="776"/>
        <v>0</v>
      </c>
      <c r="EK106" s="119">
        <f t="shared" si="776"/>
        <v>0</v>
      </c>
      <c r="EL106" s="119">
        <f t="shared" si="776"/>
        <v>0</v>
      </c>
      <c r="EM106" s="119">
        <f t="shared" si="776"/>
        <v>0</v>
      </c>
      <c r="EN106" s="119">
        <f t="shared" si="776"/>
        <v>0</v>
      </c>
      <c r="EO106" s="119">
        <f t="shared" si="776"/>
        <v>0</v>
      </c>
      <c r="EP106" s="119">
        <f t="shared" si="776"/>
        <v>0</v>
      </c>
      <c r="EQ106" s="119">
        <f t="shared" si="776"/>
        <v>0</v>
      </c>
      <c r="ER106" s="119">
        <f t="shared" si="776"/>
        <v>0</v>
      </c>
      <c r="ES106" s="119">
        <f t="shared" si="776"/>
        <v>0</v>
      </c>
      <c r="ET106" s="119">
        <f t="shared" si="776"/>
        <v>0</v>
      </c>
      <c r="EU106" s="119">
        <f t="shared" si="776"/>
        <v>0</v>
      </c>
      <c r="EV106" s="119">
        <f t="shared" si="776"/>
        <v>0</v>
      </c>
      <c r="EW106" s="119">
        <f t="shared" si="776"/>
        <v>0</v>
      </c>
      <c r="EX106" s="119">
        <f t="shared" si="776"/>
        <v>0</v>
      </c>
      <c r="EY106" s="119">
        <f t="shared" si="776"/>
        <v>0</v>
      </c>
      <c r="EZ106" s="119">
        <f t="shared" si="776"/>
        <v>0</v>
      </c>
      <c r="FA106" s="119">
        <f t="shared" si="776"/>
        <v>0</v>
      </c>
    </row>
    <row r="107" spans="1:157" outlineLevel="1" x14ac:dyDescent="0.2">
      <c r="C107" s="9" t="s">
        <v>446</v>
      </c>
      <c r="D107" s="21" t="s">
        <v>126</v>
      </c>
      <c r="E107" s="119"/>
      <c r="F107" s="119"/>
      <c r="G107" s="119">
        <f>G149</f>
        <v>0</v>
      </c>
      <c r="H107" s="119">
        <f t="shared" ref="H107:BS107" si="777">H149</f>
        <v>0</v>
      </c>
      <c r="I107" s="119">
        <f t="shared" si="777"/>
        <v>0</v>
      </c>
      <c r="J107" s="119">
        <f t="shared" si="777"/>
        <v>0</v>
      </c>
      <c r="K107" s="119">
        <f t="shared" si="777"/>
        <v>0</v>
      </c>
      <c r="L107" s="119">
        <f t="shared" si="777"/>
        <v>0</v>
      </c>
      <c r="M107" s="119">
        <f t="shared" si="777"/>
        <v>0</v>
      </c>
      <c r="N107" s="119">
        <f t="shared" si="777"/>
        <v>0</v>
      </c>
      <c r="O107" s="119">
        <f t="shared" si="777"/>
        <v>0</v>
      </c>
      <c r="P107" s="119">
        <f t="shared" si="777"/>
        <v>0</v>
      </c>
      <c r="Q107" s="119">
        <f t="shared" si="777"/>
        <v>0</v>
      </c>
      <c r="R107" s="119">
        <f t="shared" si="777"/>
        <v>0</v>
      </c>
      <c r="S107" s="119">
        <f t="shared" si="777"/>
        <v>0</v>
      </c>
      <c r="T107" s="119">
        <f t="shared" si="777"/>
        <v>0</v>
      </c>
      <c r="U107" s="119">
        <f t="shared" si="777"/>
        <v>0</v>
      </c>
      <c r="V107" s="119">
        <f t="shared" si="777"/>
        <v>0</v>
      </c>
      <c r="W107" s="119">
        <f t="shared" si="777"/>
        <v>0</v>
      </c>
      <c r="X107" s="119">
        <f t="shared" ca="1" si="777"/>
        <v>0</v>
      </c>
      <c r="Y107" s="119">
        <f t="shared" ca="1" si="777"/>
        <v>0</v>
      </c>
      <c r="Z107" s="119">
        <f t="shared" ca="1" si="777"/>
        <v>0</v>
      </c>
      <c r="AA107" s="119">
        <f ca="1">AA149</f>
        <v>0</v>
      </c>
      <c r="AB107" s="119">
        <f t="shared" ca="1" si="777"/>
        <v>0</v>
      </c>
      <c r="AC107" s="119">
        <f t="shared" ca="1" si="777"/>
        <v>0</v>
      </c>
      <c r="AD107" s="119">
        <f t="shared" ca="1" si="777"/>
        <v>0</v>
      </c>
      <c r="AE107" s="119">
        <f t="shared" ca="1" si="777"/>
        <v>0</v>
      </c>
      <c r="AF107" s="119">
        <f t="shared" ca="1" si="777"/>
        <v>0</v>
      </c>
      <c r="AG107" s="119">
        <f t="shared" ca="1" si="777"/>
        <v>0</v>
      </c>
      <c r="AH107" s="119">
        <f t="shared" ca="1" si="777"/>
        <v>0</v>
      </c>
      <c r="AI107" s="119">
        <f t="shared" ca="1" si="777"/>
        <v>0</v>
      </c>
      <c r="AJ107" s="119">
        <f t="shared" ca="1" si="777"/>
        <v>0</v>
      </c>
      <c r="AK107" s="119">
        <f t="shared" ca="1" si="777"/>
        <v>0</v>
      </c>
      <c r="AL107" s="119">
        <f t="shared" ca="1" si="777"/>
        <v>0</v>
      </c>
      <c r="AM107" s="119">
        <f t="shared" ca="1" si="777"/>
        <v>0</v>
      </c>
      <c r="AN107" s="119">
        <f t="shared" ca="1" si="777"/>
        <v>0</v>
      </c>
      <c r="AO107" s="119">
        <f t="shared" ca="1" si="777"/>
        <v>0</v>
      </c>
      <c r="AP107" s="119">
        <f t="shared" ca="1" si="777"/>
        <v>0</v>
      </c>
      <c r="AQ107" s="119">
        <f t="shared" ca="1" si="777"/>
        <v>0</v>
      </c>
      <c r="AR107" s="119">
        <f t="shared" ca="1" si="777"/>
        <v>0</v>
      </c>
      <c r="AS107" s="119">
        <f t="shared" ca="1" si="777"/>
        <v>0</v>
      </c>
      <c r="AT107" s="119">
        <f t="shared" ca="1" si="777"/>
        <v>0</v>
      </c>
      <c r="AU107" s="119">
        <f t="shared" ca="1" si="777"/>
        <v>0</v>
      </c>
      <c r="AV107" s="119">
        <f t="shared" ca="1" si="777"/>
        <v>0</v>
      </c>
      <c r="AW107" s="119">
        <f t="shared" ca="1" si="777"/>
        <v>0</v>
      </c>
      <c r="AX107" s="119">
        <f t="shared" ca="1" si="777"/>
        <v>0</v>
      </c>
      <c r="AY107" s="119">
        <f t="shared" ca="1" si="777"/>
        <v>0</v>
      </c>
      <c r="AZ107" s="119">
        <f t="shared" ca="1" si="777"/>
        <v>0</v>
      </c>
      <c r="BA107" s="119">
        <f t="shared" ca="1" si="777"/>
        <v>0</v>
      </c>
      <c r="BB107" s="119">
        <f t="shared" ca="1" si="777"/>
        <v>0</v>
      </c>
      <c r="BC107" s="119">
        <f t="shared" ca="1" si="777"/>
        <v>0</v>
      </c>
      <c r="BD107" s="119">
        <f t="shared" ca="1" si="777"/>
        <v>0</v>
      </c>
      <c r="BE107" s="119">
        <f t="shared" ca="1" si="777"/>
        <v>0</v>
      </c>
      <c r="BF107" s="119">
        <f t="shared" ca="1" si="777"/>
        <v>0</v>
      </c>
      <c r="BG107" s="119">
        <f t="shared" ca="1" si="777"/>
        <v>0</v>
      </c>
      <c r="BH107" s="119">
        <f t="shared" ca="1" si="777"/>
        <v>0</v>
      </c>
      <c r="BI107" s="119">
        <f t="shared" ca="1" si="777"/>
        <v>0</v>
      </c>
      <c r="BJ107" s="119">
        <f t="shared" ca="1" si="777"/>
        <v>0</v>
      </c>
      <c r="BK107" s="119">
        <f t="shared" ca="1" si="777"/>
        <v>0</v>
      </c>
      <c r="BL107" s="119">
        <f t="shared" ca="1" si="777"/>
        <v>0</v>
      </c>
      <c r="BM107" s="119">
        <f t="shared" ca="1" si="777"/>
        <v>0</v>
      </c>
      <c r="BN107" s="119">
        <f t="shared" ca="1" si="777"/>
        <v>0</v>
      </c>
      <c r="BO107" s="119">
        <f t="shared" ca="1" si="777"/>
        <v>0</v>
      </c>
      <c r="BP107" s="119">
        <f t="shared" ca="1" si="777"/>
        <v>0</v>
      </c>
      <c r="BQ107" s="119">
        <f t="shared" ca="1" si="777"/>
        <v>0</v>
      </c>
      <c r="BR107" s="119">
        <f t="shared" ca="1" si="777"/>
        <v>0</v>
      </c>
      <c r="BS107" s="119">
        <f t="shared" ca="1" si="777"/>
        <v>0</v>
      </c>
      <c r="BT107" s="119">
        <f t="shared" ref="BT107:EE107" ca="1" si="778">BT149</f>
        <v>0</v>
      </c>
      <c r="BU107" s="119">
        <f t="shared" ca="1" si="778"/>
        <v>0</v>
      </c>
      <c r="BV107" s="119">
        <f t="shared" ca="1" si="778"/>
        <v>0</v>
      </c>
      <c r="BW107" s="119">
        <f t="shared" ca="1" si="778"/>
        <v>0</v>
      </c>
      <c r="BX107" s="119">
        <f t="shared" ca="1" si="778"/>
        <v>0</v>
      </c>
      <c r="BY107" s="119">
        <f t="shared" ca="1" si="778"/>
        <v>0</v>
      </c>
      <c r="BZ107" s="119">
        <f t="shared" ca="1" si="778"/>
        <v>0</v>
      </c>
      <c r="CA107" s="119">
        <f t="shared" ca="1" si="778"/>
        <v>0</v>
      </c>
      <c r="CB107" s="119">
        <f t="shared" ca="1" si="778"/>
        <v>0</v>
      </c>
      <c r="CC107" s="119">
        <f t="shared" ca="1" si="778"/>
        <v>0</v>
      </c>
      <c r="CD107" s="119">
        <f t="shared" ca="1" si="778"/>
        <v>0</v>
      </c>
      <c r="CE107" s="119">
        <f t="shared" ca="1" si="778"/>
        <v>0</v>
      </c>
      <c r="CF107" s="119">
        <f t="shared" ca="1" si="778"/>
        <v>0</v>
      </c>
      <c r="CG107" s="119">
        <f t="shared" ca="1" si="778"/>
        <v>0</v>
      </c>
      <c r="CH107" s="119">
        <f t="shared" ca="1" si="778"/>
        <v>0</v>
      </c>
      <c r="CI107" s="119">
        <f t="shared" ca="1" si="778"/>
        <v>0</v>
      </c>
      <c r="CJ107" s="119">
        <f t="shared" ca="1" si="778"/>
        <v>0</v>
      </c>
      <c r="CK107" s="119">
        <f t="shared" ca="1" si="778"/>
        <v>0</v>
      </c>
      <c r="CL107" s="119">
        <f t="shared" ca="1" si="778"/>
        <v>0</v>
      </c>
      <c r="CM107" s="119">
        <f t="shared" ca="1" si="778"/>
        <v>0</v>
      </c>
      <c r="CN107" s="119">
        <f t="shared" ca="1" si="778"/>
        <v>0</v>
      </c>
      <c r="CO107" s="119">
        <f t="shared" ca="1" si="778"/>
        <v>0</v>
      </c>
      <c r="CP107" s="119">
        <f t="shared" ca="1" si="778"/>
        <v>0</v>
      </c>
      <c r="CQ107" s="119">
        <f t="shared" ca="1" si="778"/>
        <v>0</v>
      </c>
      <c r="CR107" s="119">
        <f t="shared" ca="1" si="778"/>
        <v>0</v>
      </c>
      <c r="CS107" s="119">
        <f t="shared" ca="1" si="778"/>
        <v>0</v>
      </c>
      <c r="CT107" s="119">
        <f t="shared" ca="1" si="778"/>
        <v>0</v>
      </c>
      <c r="CU107" s="266">
        <f t="shared" ca="1" si="778"/>
        <v>0</v>
      </c>
      <c r="CV107" s="119">
        <f t="shared" ca="1" si="778"/>
        <v>0</v>
      </c>
      <c r="CW107" s="119">
        <f t="shared" si="778"/>
        <v>0</v>
      </c>
      <c r="CX107" s="119">
        <f t="shared" si="778"/>
        <v>0</v>
      </c>
      <c r="CY107" s="119">
        <f t="shared" si="778"/>
        <v>0</v>
      </c>
      <c r="CZ107" s="119">
        <f t="shared" si="778"/>
        <v>0</v>
      </c>
      <c r="DA107" s="119">
        <f t="shared" si="778"/>
        <v>0</v>
      </c>
      <c r="DB107" s="119">
        <f t="shared" si="778"/>
        <v>0</v>
      </c>
      <c r="DC107" s="119">
        <f t="shared" si="778"/>
        <v>0</v>
      </c>
      <c r="DD107" s="119">
        <f t="shared" si="778"/>
        <v>0</v>
      </c>
      <c r="DE107" s="119">
        <f t="shared" si="778"/>
        <v>0</v>
      </c>
      <c r="DF107" s="119">
        <f t="shared" si="778"/>
        <v>0</v>
      </c>
      <c r="DG107" s="119">
        <f t="shared" si="778"/>
        <v>0</v>
      </c>
      <c r="DH107" s="119">
        <f t="shared" si="778"/>
        <v>0</v>
      </c>
      <c r="DI107" s="119">
        <f t="shared" si="778"/>
        <v>0</v>
      </c>
      <c r="DJ107" s="119">
        <f t="shared" si="778"/>
        <v>0</v>
      </c>
      <c r="DK107" s="119">
        <f t="shared" si="778"/>
        <v>0</v>
      </c>
      <c r="DL107" s="119">
        <f t="shared" si="778"/>
        <v>0</v>
      </c>
      <c r="DM107" s="119">
        <f t="shared" si="778"/>
        <v>0</v>
      </c>
      <c r="DN107" s="119">
        <f t="shared" si="778"/>
        <v>0</v>
      </c>
      <c r="DO107" s="119">
        <f t="shared" si="778"/>
        <v>0</v>
      </c>
      <c r="DP107" s="119">
        <f t="shared" si="778"/>
        <v>0</v>
      </c>
      <c r="DQ107" s="119">
        <f t="shared" si="778"/>
        <v>0</v>
      </c>
      <c r="DR107" s="119">
        <f t="shared" si="778"/>
        <v>0</v>
      </c>
      <c r="DS107" s="119">
        <f t="shared" si="778"/>
        <v>0</v>
      </c>
      <c r="DT107" s="119">
        <f t="shared" si="778"/>
        <v>0</v>
      </c>
      <c r="DU107" s="119">
        <f t="shared" si="778"/>
        <v>0</v>
      </c>
      <c r="DV107" s="119">
        <f t="shared" si="778"/>
        <v>0</v>
      </c>
      <c r="DW107" s="119">
        <f t="shared" si="778"/>
        <v>0</v>
      </c>
      <c r="DX107" s="119">
        <f t="shared" si="778"/>
        <v>0</v>
      </c>
      <c r="DY107" s="119">
        <f t="shared" si="778"/>
        <v>0</v>
      </c>
      <c r="DZ107" s="119">
        <f t="shared" si="778"/>
        <v>0</v>
      </c>
      <c r="EA107" s="119">
        <f t="shared" si="778"/>
        <v>0</v>
      </c>
      <c r="EB107" s="119">
        <f t="shared" si="778"/>
        <v>0</v>
      </c>
      <c r="EC107" s="119">
        <f t="shared" si="778"/>
        <v>0</v>
      </c>
      <c r="ED107" s="119">
        <f t="shared" si="778"/>
        <v>0</v>
      </c>
      <c r="EE107" s="119">
        <f t="shared" si="778"/>
        <v>0</v>
      </c>
      <c r="EF107" s="119">
        <f t="shared" ref="EF107:FA107" si="779">EF149</f>
        <v>0</v>
      </c>
      <c r="EG107" s="119">
        <f t="shared" si="779"/>
        <v>0</v>
      </c>
      <c r="EH107" s="119">
        <f t="shared" si="779"/>
        <v>0</v>
      </c>
      <c r="EI107" s="119">
        <f t="shared" si="779"/>
        <v>0</v>
      </c>
      <c r="EJ107" s="119">
        <f t="shared" si="779"/>
        <v>0</v>
      </c>
      <c r="EK107" s="119">
        <f t="shared" si="779"/>
        <v>0</v>
      </c>
      <c r="EL107" s="119">
        <f t="shared" si="779"/>
        <v>0</v>
      </c>
      <c r="EM107" s="119">
        <f t="shared" si="779"/>
        <v>0</v>
      </c>
      <c r="EN107" s="119">
        <f t="shared" si="779"/>
        <v>0</v>
      </c>
      <c r="EO107" s="119">
        <f t="shared" si="779"/>
        <v>0</v>
      </c>
      <c r="EP107" s="119">
        <f t="shared" si="779"/>
        <v>0</v>
      </c>
      <c r="EQ107" s="119">
        <f t="shared" si="779"/>
        <v>0</v>
      </c>
      <c r="ER107" s="119">
        <f t="shared" si="779"/>
        <v>0</v>
      </c>
      <c r="ES107" s="119">
        <f t="shared" si="779"/>
        <v>0</v>
      </c>
      <c r="ET107" s="119">
        <f t="shared" si="779"/>
        <v>0</v>
      </c>
      <c r="EU107" s="119">
        <f t="shared" si="779"/>
        <v>0</v>
      </c>
      <c r="EV107" s="119">
        <f t="shared" si="779"/>
        <v>0</v>
      </c>
      <c r="EW107" s="119">
        <f t="shared" si="779"/>
        <v>0</v>
      </c>
      <c r="EX107" s="119">
        <f t="shared" si="779"/>
        <v>0</v>
      </c>
      <c r="EY107" s="119">
        <f t="shared" si="779"/>
        <v>0</v>
      </c>
      <c r="EZ107" s="119">
        <f t="shared" si="779"/>
        <v>0</v>
      </c>
      <c r="FA107" s="119">
        <f t="shared" si="779"/>
        <v>0</v>
      </c>
    </row>
    <row r="108" spans="1:157" s="206" customFormat="1" outlineLevel="1" x14ac:dyDescent="0.2">
      <c r="A108"/>
      <c r="B108"/>
      <c r="C108" s="277" t="s">
        <v>413</v>
      </c>
      <c r="D108" s="64" t="s">
        <v>126</v>
      </c>
      <c r="E108" s="276"/>
      <c r="F108" s="276"/>
      <c r="G108" s="210">
        <f ca="1">SUM(G103:G107)</f>
        <v>0</v>
      </c>
      <c r="H108" s="210">
        <f t="shared" ref="H108:BS108" ca="1" si="780">SUM(H103:H107)</f>
        <v>0</v>
      </c>
      <c r="I108" s="210">
        <f t="shared" ca="1" si="780"/>
        <v>0</v>
      </c>
      <c r="J108" s="210">
        <f t="shared" ca="1" si="780"/>
        <v>0</v>
      </c>
      <c r="K108" s="210">
        <f t="shared" ca="1" si="780"/>
        <v>0</v>
      </c>
      <c r="L108" s="210">
        <f t="shared" ca="1" si="780"/>
        <v>0</v>
      </c>
      <c r="M108" s="210">
        <f t="shared" ca="1" si="780"/>
        <v>0</v>
      </c>
      <c r="N108" s="210">
        <f t="shared" ca="1" si="780"/>
        <v>0</v>
      </c>
      <c r="O108" s="210">
        <f t="shared" ca="1" si="780"/>
        <v>0</v>
      </c>
      <c r="P108" s="210">
        <f t="shared" ca="1" si="780"/>
        <v>0</v>
      </c>
      <c r="Q108" s="210">
        <f t="shared" ca="1" si="780"/>
        <v>0</v>
      </c>
      <c r="R108" s="210">
        <f t="shared" ca="1" si="780"/>
        <v>0</v>
      </c>
      <c r="S108" s="210">
        <f t="shared" ca="1" si="780"/>
        <v>0</v>
      </c>
      <c r="T108" s="210">
        <f t="shared" ca="1" si="780"/>
        <v>0</v>
      </c>
      <c r="U108" s="210">
        <f t="shared" ca="1" si="780"/>
        <v>0</v>
      </c>
      <c r="V108" s="210">
        <f t="shared" ca="1" si="780"/>
        <v>0</v>
      </c>
      <c r="W108" s="210">
        <f t="shared" ca="1" si="780"/>
        <v>0</v>
      </c>
      <c r="X108" s="210">
        <f t="shared" ca="1" si="780"/>
        <v>0</v>
      </c>
      <c r="Y108" s="210">
        <f t="shared" ca="1" si="780"/>
        <v>-0.11854117212105564</v>
      </c>
      <c r="Z108" s="210">
        <f t="shared" ca="1" si="780"/>
        <v>3.0988417675622202</v>
      </c>
      <c r="AA108" s="210">
        <f t="shared" ca="1" si="780"/>
        <v>38.442665305658856</v>
      </c>
      <c r="AB108" s="210">
        <f t="shared" ca="1" si="780"/>
        <v>0</v>
      </c>
      <c r="AC108" s="210">
        <f t="shared" ca="1" si="780"/>
        <v>0</v>
      </c>
      <c r="AD108" s="210">
        <f t="shared" ca="1" si="780"/>
        <v>3.0935822394039008</v>
      </c>
      <c r="AE108" s="210">
        <f t="shared" ca="1" si="780"/>
        <v>40.570666988975766</v>
      </c>
      <c r="AF108" s="210">
        <f t="shared" ca="1" si="780"/>
        <v>0</v>
      </c>
      <c r="AG108" s="210">
        <f t="shared" ca="1" si="780"/>
        <v>0</v>
      </c>
      <c r="AH108" s="210">
        <f t="shared" ca="1" si="780"/>
        <v>4.2436235630533616</v>
      </c>
      <c r="AI108" s="210">
        <f t="shared" ca="1" si="780"/>
        <v>42.025643713299218</v>
      </c>
      <c r="AJ108" s="210">
        <f t="shared" ca="1" si="780"/>
        <v>0</v>
      </c>
      <c r="AK108" s="210">
        <f t="shared" ca="1" si="780"/>
        <v>0</v>
      </c>
      <c r="AL108" s="210">
        <f t="shared" ca="1" si="780"/>
        <v>2.8404441787306673</v>
      </c>
      <c r="AM108" s="210">
        <f t="shared" ca="1" si="780"/>
        <v>37.669418606416244</v>
      </c>
      <c r="AN108" s="210">
        <f t="shared" ca="1" si="780"/>
        <v>0</v>
      </c>
      <c r="AO108" s="210">
        <f t="shared" ca="1" si="780"/>
        <v>0</v>
      </c>
      <c r="AP108" s="210">
        <f t="shared" ca="1" si="780"/>
        <v>0</v>
      </c>
      <c r="AQ108" s="210">
        <f t="shared" ca="1" si="780"/>
        <v>23.939654503376229</v>
      </c>
      <c r="AR108" s="210">
        <f t="shared" ca="1" si="780"/>
        <v>0</v>
      </c>
      <c r="AS108" s="210">
        <f t="shared" ca="1" si="780"/>
        <v>0</v>
      </c>
      <c r="AT108" s="210">
        <f t="shared" ca="1" si="780"/>
        <v>0</v>
      </c>
      <c r="AU108" s="210">
        <f t="shared" ca="1" si="780"/>
        <v>24.062916552341356</v>
      </c>
      <c r="AV108" s="210">
        <f t="shared" ca="1" si="780"/>
        <v>0</v>
      </c>
      <c r="AW108" s="210">
        <f t="shared" ca="1" si="780"/>
        <v>0</v>
      </c>
      <c r="AX108" s="210">
        <f t="shared" ca="1" si="780"/>
        <v>0</v>
      </c>
      <c r="AY108" s="210">
        <f t="shared" ca="1" si="780"/>
        <v>25.212982530699303</v>
      </c>
      <c r="AZ108" s="210">
        <f t="shared" ca="1" si="780"/>
        <v>0</v>
      </c>
      <c r="BA108" s="210">
        <f t="shared" ca="1" si="780"/>
        <v>0</v>
      </c>
      <c r="BB108" s="210">
        <f t="shared" ca="1" si="780"/>
        <v>0</v>
      </c>
      <c r="BC108" s="210">
        <f t="shared" ca="1" si="780"/>
        <v>27.901152436365685</v>
      </c>
      <c r="BD108" s="210">
        <f t="shared" ca="1" si="780"/>
        <v>0</v>
      </c>
      <c r="BE108" s="210">
        <f t="shared" ca="1" si="780"/>
        <v>0</v>
      </c>
      <c r="BF108" s="210">
        <f t="shared" ca="1" si="780"/>
        <v>0</v>
      </c>
      <c r="BG108" s="210">
        <f t="shared" ca="1" si="780"/>
        <v>26.307203729084147</v>
      </c>
      <c r="BH108" s="210">
        <f t="shared" ca="1" si="780"/>
        <v>0</v>
      </c>
      <c r="BI108" s="210">
        <f t="shared" ca="1" si="780"/>
        <v>0</v>
      </c>
      <c r="BJ108" s="210">
        <f t="shared" ca="1" si="780"/>
        <v>0</v>
      </c>
      <c r="BK108" s="210">
        <f t="shared" ca="1" si="780"/>
        <v>27.499671164207999</v>
      </c>
      <c r="BL108" s="210">
        <f t="shared" ca="1" si="780"/>
        <v>0</v>
      </c>
      <c r="BM108" s="210">
        <f t="shared" ca="1" si="780"/>
        <v>0</v>
      </c>
      <c r="BN108" s="210">
        <f t="shared" ca="1" si="780"/>
        <v>0</v>
      </c>
      <c r="BO108" s="210">
        <f t="shared" ca="1" si="780"/>
        <v>28.71629801386613</v>
      </c>
      <c r="BP108" s="210">
        <f t="shared" ca="1" si="780"/>
        <v>0</v>
      </c>
      <c r="BQ108" s="210">
        <f t="shared" ca="1" si="780"/>
        <v>0</v>
      </c>
      <c r="BR108" s="210">
        <f t="shared" ca="1" si="780"/>
        <v>0</v>
      </c>
      <c r="BS108" s="210">
        <f t="shared" ca="1" si="780"/>
        <v>29.957548286638442</v>
      </c>
      <c r="BT108" s="210">
        <f t="shared" ref="BT108:EE108" ca="1" si="781">SUM(BT103:BT107)</f>
        <v>0</v>
      </c>
      <c r="BU108" s="210">
        <f t="shared" ca="1" si="781"/>
        <v>0</v>
      </c>
      <c r="BV108" s="210">
        <f t="shared" ca="1" si="781"/>
        <v>0</v>
      </c>
      <c r="BW108" s="210">
        <f t="shared" ca="1" si="781"/>
        <v>31.223894086522996</v>
      </c>
      <c r="BX108" s="210">
        <f t="shared" ca="1" si="781"/>
        <v>0</v>
      </c>
      <c r="BY108" s="210">
        <f t="shared" ca="1" si="781"/>
        <v>0</v>
      </c>
      <c r="BZ108" s="210">
        <f t="shared" ca="1" si="781"/>
        <v>0</v>
      </c>
      <c r="CA108" s="210">
        <f t="shared" ca="1" si="781"/>
        <v>32.515815726555573</v>
      </c>
      <c r="CB108" s="210">
        <f t="shared" ca="1" si="781"/>
        <v>0</v>
      </c>
      <c r="CC108" s="210">
        <f t="shared" ca="1" si="781"/>
        <v>0</v>
      </c>
      <c r="CD108" s="210">
        <f t="shared" ca="1" si="781"/>
        <v>0</v>
      </c>
      <c r="CE108" s="210">
        <f t="shared" ca="1" si="781"/>
        <v>36.168124319482985</v>
      </c>
      <c r="CF108" s="210">
        <f t="shared" ca="1" si="781"/>
        <v>0</v>
      </c>
      <c r="CG108" s="210">
        <f t="shared" ca="1" si="781"/>
        <v>0</v>
      </c>
      <c r="CH108" s="210">
        <f t="shared" ca="1" si="781"/>
        <v>0</v>
      </c>
      <c r="CI108" s="210">
        <f t="shared" ca="1" si="781"/>
        <v>33.210769189255551</v>
      </c>
      <c r="CJ108" s="210">
        <f t="shared" ca="1" si="781"/>
        <v>0</v>
      </c>
      <c r="CK108" s="210">
        <f t="shared" ca="1" si="781"/>
        <v>0</v>
      </c>
      <c r="CL108" s="210">
        <f t="shared" ca="1" si="781"/>
        <v>0</v>
      </c>
      <c r="CM108" s="210">
        <f t="shared" ca="1" si="781"/>
        <v>34.537228065808733</v>
      </c>
      <c r="CN108" s="210">
        <f t="shared" ca="1" si="781"/>
        <v>0</v>
      </c>
      <c r="CO108" s="210">
        <f t="shared" ca="1" si="781"/>
        <v>0</v>
      </c>
      <c r="CP108" s="210">
        <f t="shared" ca="1" si="781"/>
        <v>0</v>
      </c>
      <c r="CQ108" s="210">
        <f t="shared" ca="1" si="781"/>
        <v>35.89023208677694</v>
      </c>
      <c r="CR108" s="210">
        <f t="shared" ca="1" si="781"/>
        <v>0</v>
      </c>
      <c r="CS108" s="210">
        <f t="shared" ca="1" si="781"/>
        <v>0</v>
      </c>
      <c r="CT108" s="210">
        <f t="shared" ca="1" si="781"/>
        <v>25.025219527058603</v>
      </c>
      <c r="CU108" s="278">
        <f t="shared" ca="1" si="781"/>
        <v>85.275435421115205</v>
      </c>
      <c r="CV108" s="210">
        <f t="shared" ca="1" si="781"/>
        <v>13.8735083508268</v>
      </c>
      <c r="CW108" s="210">
        <f t="shared" ca="1" si="781"/>
        <v>-4.0012472901862992</v>
      </c>
      <c r="CX108" s="210">
        <f t="shared" ca="1" si="781"/>
        <v>3.9946559388178162</v>
      </c>
      <c r="CY108" s="210">
        <f t="shared" ca="1" si="781"/>
        <v>13.915724285054912</v>
      </c>
      <c r="CZ108" s="210">
        <f t="shared" ca="1" si="781"/>
        <v>0</v>
      </c>
      <c r="DA108" s="210">
        <f t="shared" ca="1" si="781"/>
        <v>-4.9812678395834631</v>
      </c>
      <c r="DB108" s="210">
        <f t="shared" ca="1" si="781"/>
        <v>0</v>
      </c>
      <c r="DC108" s="210">
        <f t="shared" ca="1" si="781"/>
        <v>12.456857632594327</v>
      </c>
      <c r="DD108" s="210">
        <f t="shared" ca="1" si="781"/>
        <v>0</v>
      </c>
      <c r="DE108" s="210">
        <f t="shared" ca="1" si="781"/>
        <v>-5.2959507836985269</v>
      </c>
      <c r="DF108" s="210">
        <f t="shared" ca="1" si="781"/>
        <v>0</v>
      </c>
      <c r="DG108" s="210">
        <f t="shared" ca="1" si="781"/>
        <v>12.855258689448899</v>
      </c>
      <c r="DH108" s="210">
        <f t="shared" ca="1" si="781"/>
        <v>0</v>
      </c>
      <c r="DI108" s="210">
        <f t="shared" ca="1" si="781"/>
        <v>-5.6234363425838332</v>
      </c>
      <c r="DJ108" s="210">
        <f t="shared" ca="1" si="781"/>
        <v>0</v>
      </c>
      <c r="DK108" s="210">
        <f t="shared" ca="1" si="781"/>
        <v>13.246315781084753</v>
      </c>
      <c r="DL108" s="210">
        <f t="shared" ca="1" si="781"/>
        <v>0</v>
      </c>
      <c r="DM108" s="210">
        <f t="shared" ca="1" si="781"/>
        <v>-5.964174142024059</v>
      </c>
      <c r="DN108" s="210">
        <f t="shared" ca="1" si="781"/>
        <v>0</v>
      </c>
      <c r="DO108" s="210">
        <f t="shared" ca="1" si="781"/>
        <v>13.629398750416977</v>
      </c>
      <c r="DP108" s="210">
        <f t="shared" ca="1" si="781"/>
        <v>0</v>
      </c>
      <c r="DQ108" s="210">
        <f t="shared" ca="1" si="781"/>
        <v>-6.3186284861178219</v>
      </c>
      <c r="DR108" s="210">
        <f t="shared" ca="1" si="781"/>
        <v>0</v>
      </c>
      <c r="DS108" s="210">
        <f t="shared" ca="1" si="781"/>
        <v>14.003850029134711</v>
      </c>
      <c r="DT108" s="210">
        <f t="shared" ca="1" si="781"/>
        <v>-0.19140658310651659</v>
      </c>
      <c r="DU108" s="210">
        <f t="shared" ca="1" si="781"/>
        <v>-6.687278816361359</v>
      </c>
      <c r="DV108" s="210">
        <f t="shared" ca="1" si="781"/>
        <v>0</v>
      </c>
      <c r="DW108" s="210">
        <f t="shared" ca="1" si="781"/>
        <v>14.562333693577868</v>
      </c>
      <c r="DX108" s="210">
        <f t="shared" ca="1" si="781"/>
        <v>-0.42409393108694537</v>
      </c>
      <c r="DY108" s="210">
        <f t="shared" ca="1" si="781"/>
        <v>-7.070620184700612</v>
      </c>
      <c r="DZ108" s="210">
        <f t="shared" ca="1" si="781"/>
        <v>0</v>
      </c>
      <c r="EA108" s="210">
        <f t="shared" ca="1" si="781"/>
        <v>15.152484205430788</v>
      </c>
      <c r="EB108" s="210">
        <f t="shared" ca="1" si="781"/>
        <v>-0.66848200836048299</v>
      </c>
      <c r="EC108" s="210">
        <f t="shared" ca="1" si="781"/>
        <v>-7.4691637409691687</v>
      </c>
      <c r="ED108" s="210">
        <f t="shared" ca="1" si="781"/>
        <v>0</v>
      </c>
      <c r="EE108" s="210">
        <f t="shared" ca="1" si="781"/>
        <v>15.743675292335425</v>
      </c>
      <c r="EF108" s="210">
        <f t="shared" ref="EF108:FA108" ca="1" si="782">SUM(EF103:EF107)</f>
        <v>-0.92501697645963077</v>
      </c>
      <c r="EG108" s="210">
        <f t="shared" ca="1" si="782"/>
        <v>-7.8834372351410078</v>
      </c>
      <c r="EH108" s="210">
        <f t="shared" ca="1" si="782"/>
        <v>3.713167986400645E-2</v>
      </c>
      <c r="EI108" s="210">
        <f t="shared" ca="1" si="782"/>
        <v>-426.49576623936605</v>
      </c>
      <c r="EJ108" s="210">
        <f t="shared" ca="1" si="782"/>
        <v>11.14062720293661</v>
      </c>
      <c r="EK108" s="210">
        <f t="shared" ca="1" si="782"/>
        <v>0</v>
      </c>
      <c r="EL108" s="210">
        <f t="shared" ca="1" si="782"/>
        <v>0</v>
      </c>
      <c r="EM108" s="210">
        <f t="shared" ca="1" si="782"/>
        <v>0</v>
      </c>
      <c r="EN108" s="210">
        <f t="shared" ca="1" si="782"/>
        <v>0</v>
      </c>
      <c r="EO108" s="210">
        <f t="shared" ca="1" si="782"/>
        <v>0</v>
      </c>
      <c r="EP108" s="210">
        <f t="shared" ca="1" si="782"/>
        <v>0</v>
      </c>
      <c r="EQ108" s="210">
        <f t="shared" ca="1" si="782"/>
        <v>0</v>
      </c>
      <c r="ER108" s="210">
        <f t="shared" ca="1" si="782"/>
        <v>0</v>
      </c>
      <c r="ES108" s="210">
        <f t="shared" ca="1" si="782"/>
        <v>0</v>
      </c>
      <c r="ET108" s="210">
        <f t="shared" ca="1" si="782"/>
        <v>0</v>
      </c>
      <c r="EU108" s="210">
        <f t="shared" ca="1" si="782"/>
        <v>0</v>
      </c>
      <c r="EV108" s="210">
        <f t="shared" ca="1" si="782"/>
        <v>0</v>
      </c>
      <c r="EW108" s="210">
        <f t="shared" ca="1" si="782"/>
        <v>0</v>
      </c>
      <c r="EX108" s="210">
        <f t="shared" ca="1" si="782"/>
        <v>0</v>
      </c>
      <c r="EY108" s="210">
        <f t="shared" ca="1" si="782"/>
        <v>0</v>
      </c>
      <c r="EZ108" s="210">
        <f t="shared" ca="1" si="782"/>
        <v>0</v>
      </c>
      <c r="FA108" s="210">
        <f t="shared" ca="1" si="782"/>
        <v>0</v>
      </c>
    </row>
    <row r="109" spans="1:157" outlineLevel="1" x14ac:dyDescent="0.2">
      <c r="D109" s="21"/>
      <c r="E109" s="5"/>
      <c r="F109" s="21"/>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c r="CF109" s="119"/>
      <c r="CG109" s="119"/>
      <c r="CH109" s="119"/>
      <c r="CI109" s="119"/>
      <c r="CJ109" s="119"/>
      <c r="CK109" s="119"/>
      <c r="CL109" s="119"/>
      <c r="CM109" s="119"/>
      <c r="CN109" s="119"/>
      <c r="CO109" s="119"/>
      <c r="CP109" s="119"/>
      <c r="CQ109" s="119"/>
      <c r="CR109" s="119"/>
      <c r="CS109" s="119"/>
      <c r="CT109" s="119"/>
      <c r="CU109" s="266"/>
      <c r="CV109" s="119"/>
      <c r="CW109" s="119"/>
      <c r="CX109" s="119"/>
      <c r="CY109" s="119"/>
      <c r="CZ109" s="119"/>
      <c r="DA109" s="119"/>
      <c r="DB109" s="119"/>
      <c r="DC109" s="119"/>
      <c r="DD109" s="119"/>
      <c r="DE109" s="119"/>
      <c r="DF109" s="119"/>
      <c r="DG109" s="119"/>
      <c r="DH109" s="119"/>
      <c r="DI109" s="119"/>
      <c r="DJ109" s="119"/>
      <c r="DK109" s="119"/>
      <c r="DL109" s="119"/>
      <c r="DM109" s="119"/>
      <c r="DN109" s="119"/>
      <c r="DO109" s="119"/>
      <c r="DP109" s="119"/>
      <c r="DQ109" s="119"/>
      <c r="DR109" s="119"/>
      <c r="DS109" s="119"/>
      <c r="DT109" s="119"/>
      <c r="DU109" s="119"/>
      <c r="DV109" s="119"/>
      <c r="DW109" s="119"/>
      <c r="DX109" s="119"/>
      <c r="DY109" s="119"/>
      <c r="DZ109" s="119"/>
      <c r="EA109" s="119"/>
      <c r="EB109" s="119"/>
      <c r="EC109" s="119"/>
      <c r="ED109" s="119"/>
      <c r="EE109" s="119"/>
      <c r="EF109" s="119"/>
      <c r="EG109" s="119"/>
      <c r="EH109" s="119"/>
      <c r="EI109" s="119"/>
      <c r="EJ109" s="119"/>
      <c r="EK109" s="119"/>
      <c r="EL109" s="119"/>
      <c r="EM109" s="119"/>
      <c r="EN109" s="119"/>
      <c r="EO109" s="119"/>
      <c r="EP109" s="119"/>
      <c r="EQ109" s="119"/>
      <c r="ER109" s="119"/>
      <c r="ES109" s="119"/>
      <c r="ET109" s="119"/>
      <c r="EU109" s="119"/>
      <c r="EV109" s="119"/>
      <c r="EW109" s="119"/>
      <c r="EX109" s="119"/>
      <c r="EY109" s="119"/>
      <c r="EZ109" s="119"/>
      <c r="FA109" s="119"/>
    </row>
    <row r="110" spans="1:157" s="2" customFormat="1" outlineLevel="1" x14ac:dyDescent="0.2">
      <c r="A110"/>
      <c r="B110"/>
      <c r="C110" s="2" t="s">
        <v>36</v>
      </c>
      <c r="D110" s="287" t="s">
        <v>126</v>
      </c>
      <c r="E110" s="45"/>
      <c r="F110" s="287"/>
      <c r="G110" s="288">
        <f t="shared" ref="G110:AL110" si="783">MAX(G89/Min_LLCR,0)</f>
        <v>0</v>
      </c>
      <c r="H110" s="288">
        <f t="shared" si="783"/>
        <v>0</v>
      </c>
      <c r="I110" s="288">
        <f t="shared" si="783"/>
        <v>0</v>
      </c>
      <c r="J110" s="288">
        <f t="shared" si="783"/>
        <v>0</v>
      </c>
      <c r="K110" s="288">
        <f t="shared" si="783"/>
        <v>0</v>
      </c>
      <c r="L110" s="288">
        <f t="shared" si="783"/>
        <v>0</v>
      </c>
      <c r="M110" s="288">
        <f t="shared" si="783"/>
        <v>2.6989169194052436</v>
      </c>
      <c r="N110" s="288">
        <f t="shared" si="783"/>
        <v>11.734169926935191</v>
      </c>
      <c r="O110" s="288">
        <f t="shared" si="783"/>
        <v>16.251615326931184</v>
      </c>
      <c r="P110" s="288">
        <f t="shared" si="783"/>
        <v>13.404360561879685</v>
      </c>
      <c r="Q110" s="288">
        <f t="shared" si="783"/>
        <v>17.130396632929287</v>
      </c>
      <c r="R110" s="288">
        <f t="shared" si="783"/>
        <v>40.382247873463996</v>
      </c>
      <c r="S110" s="288">
        <f t="shared" si="783"/>
        <v>48.698678533454</v>
      </c>
      <c r="T110" s="288">
        <f t="shared" si="783"/>
        <v>30.345997851972452</v>
      </c>
      <c r="U110" s="288">
        <f t="shared" si="783"/>
        <v>24.523491228195851</v>
      </c>
      <c r="V110" s="288">
        <f t="shared" si="783"/>
        <v>45.225879685760816</v>
      </c>
      <c r="W110" s="288">
        <f t="shared" si="783"/>
        <v>50.820773618649916</v>
      </c>
      <c r="X110" s="288">
        <f t="shared" si="783"/>
        <v>30.956433185329704</v>
      </c>
      <c r="Y110" s="288">
        <f t="shared" si="783"/>
        <v>24.999708158614563</v>
      </c>
      <c r="Z110" s="288">
        <f t="shared" si="783"/>
        <v>46.176620472176587</v>
      </c>
      <c r="AA110" s="288">
        <f t="shared" si="783"/>
        <v>51.899317150308235</v>
      </c>
      <c r="AB110" s="288">
        <f t="shared" si="783"/>
        <v>31.578485893685233</v>
      </c>
      <c r="AC110" s="288">
        <f t="shared" si="783"/>
        <v>25.48444564878357</v>
      </c>
      <c r="AD110" s="288">
        <f t="shared" si="783"/>
        <v>47.146755523830208</v>
      </c>
      <c r="AE110" s="288">
        <f t="shared" si="783"/>
        <v>53.000171288302482</v>
      </c>
      <c r="AF110" s="288">
        <f t="shared" si="783"/>
        <v>32.21235589638308</v>
      </c>
      <c r="AG110" s="288">
        <f t="shared" si="783"/>
        <v>25.977832084943355</v>
      </c>
      <c r="AH110" s="288">
        <f t="shared" si="783"/>
        <v>48.136662314114055</v>
      </c>
      <c r="AI110" s="288">
        <f t="shared" si="783"/>
        <v>53.539531554105871</v>
      </c>
      <c r="AJ110" s="288">
        <f t="shared" si="783"/>
        <v>32.285120930592029</v>
      </c>
      <c r="AK110" s="288">
        <f t="shared" si="783"/>
        <v>25.970705213971602</v>
      </c>
      <c r="AL110" s="288">
        <f t="shared" si="783"/>
        <v>48.403358699435302</v>
      </c>
      <c r="AM110" s="288">
        <f t="shared" ref="AM110:BR110" si="784">MAX(AM89/Min_LLCR,0)</f>
        <v>54.462813927515633</v>
      </c>
      <c r="AN110" s="288">
        <f t="shared" si="784"/>
        <v>32.930082970175064</v>
      </c>
      <c r="AO110" s="288">
        <f t="shared" si="784"/>
        <v>26.470090706147026</v>
      </c>
      <c r="AP110" s="288">
        <f t="shared" si="784"/>
        <v>49.41690832324781</v>
      </c>
      <c r="AQ110" s="288">
        <f t="shared" si="784"/>
        <v>55.229927481692208</v>
      </c>
      <c r="AR110" s="288">
        <f t="shared" si="784"/>
        <v>33.209672663472027</v>
      </c>
      <c r="AS110" s="288">
        <f t="shared" si="784"/>
        <v>26.642789871783293</v>
      </c>
      <c r="AT110" s="288">
        <f t="shared" si="784"/>
        <v>49.961373637579392</v>
      </c>
      <c r="AU110" s="288">
        <f t="shared" si="784"/>
        <v>56.258346912265402</v>
      </c>
      <c r="AV110" s="288">
        <f t="shared" si="784"/>
        <v>33.870438074569392</v>
      </c>
      <c r="AW110" s="288">
        <f t="shared" si="784"/>
        <v>27.152147247773453</v>
      </c>
      <c r="AX110" s="288">
        <f t="shared" si="784"/>
        <v>51.005189618370153</v>
      </c>
      <c r="AY110" s="288">
        <f t="shared" si="784"/>
        <v>57.445970686178335</v>
      </c>
      <c r="AZ110" s="288">
        <f t="shared" si="784"/>
        <v>34.543546712665879</v>
      </c>
      <c r="BA110" s="288">
        <f t="shared" si="784"/>
        <v>27.67035356515974</v>
      </c>
      <c r="BB110" s="288">
        <f t="shared" si="784"/>
        <v>52.070100759663902</v>
      </c>
      <c r="BC110" s="288">
        <f t="shared" si="784"/>
        <v>57.682714053452841</v>
      </c>
      <c r="BD110" s="288">
        <f t="shared" si="784"/>
        <v>34.272514850952483</v>
      </c>
      <c r="BE110" s="288">
        <f t="shared" si="784"/>
        <v>27.347397874440301</v>
      </c>
      <c r="BF110" s="288">
        <f t="shared" si="784"/>
        <v>51.915647633786158</v>
      </c>
      <c r="BG110" s="288">
        <f t="shared" si="784"/>
        <v>58.546436122528114</v>
      </c>
      <c r="BH110" s="288">
        <f t="shared" si="784"/>
        <v>34.948970182875804</v>
      </c>
      <c r="BI110" s="288">
        <f t="shared" si="784"/>
        <v>27.864163634882605</v>
      </c>
      <c r="BJ110" s="288">
        <f t="shared" si="784"/>
        <v>52.995491356296917</v>
      </c>
      <c r="BK110" s="288">
        <f t="shared" si="784"/>
        <v>59.777687801707998</v>
      </c>
      <c r="BL110" s="288">
        <f t="shared" si="784"/>
        <v>35.637886073902749</v>
      </c>
      <c r="BM110" s="288">
        <f t="shared" si="784"/>
        <v>28.389703928400607</v>
      </c>
      <c r="BN110" s="288">
        <f t="shared" si="784"/>
        <v>54.097010954435888</v>
      </c>
      <c r="BO110" s="288">
        <f t="shared" si="784"/>
        <v>61.034068725115866</v>
      </c>
      <c r="BP110" s="288">
        <f t="shared" si="784"/>
        <v>36.339463010463653</v>
      </c>
      <c r="BQ110" s="288">
        <f t="shared" si="784"/>
        <v>28.924134055755481</v>
      </c>
      <c r="BR110" s="288">
        <f t="shared" si="784"/>
        <v>55.220617219304565</v>
      </c>
      <c r="BS110" s="288">
        <f t="shared" ref="BS110:CX110" si="785">MAX(BS89/Min_LLCR,0)</f>
        <v>62.316068339063598</v>
      </c>
      <c r="BT110" s="288">
        <f t="shared" si="785"/>
        <v>37.053903689955092</v>
      </c>
      <c r="BU110" s="288">
        <f t="shared" si="785"/>
        <v>29.467569557094738</v>
      </c>
      <c r="BV110" s="288">
        <f t="shared" si="785"/>
        <v>56.366727946210474</v>
      </c>
      <c r="BW110" s="288">
        <f t="shared" si="785"/>
        <v>63.62418488240656</v>
      </c>
      <c r="BX110" s="288">
        <f t="shared" si="785"/>
        <v>37.781413004513077</v>
      </c>
      <c r="BY110" s="288">
        <f t="shared" si="785"/>
        <v>30.020126150012551</v>
      </c>
      <c r="BZ110" s="288">
        <f t="shared" si="785"/>
        <v>57.535768027511374</v>
      </c>
      <c r="CA110" s="288">
        <f t="shared" si="785"/>
        <v>64.958925519958584</v>
      </c>
      <c r="CB110" s="288">
        <f t="shared" si="785"/>
        <v>38.522198022533672</v>
      </c>
      <c r="CC110" s="288">
        <f t="shared" si="785"/>
        <v>30.581919664295519</v>
      </c>
      <c r="CD110" s="288">
        <f t="shared" si="785"/>
        <v>58.728169545684864</v>
      </c>
      <c r="CE110" s="288">
        <f t="shared" si="785"/>
        <v>64.817788545023262</v>
      </c>
      <c r="CF110" s="288">
        <f t="shared" si="785"/>
        <v>37.80206600062909</v>
      </c>
      <c r="CG110" s="288">
        <f t="shared" si="785"/>
        <v>29.842879154941144</v>
      </c>
      <c r="CH110" s="288">
        <f t="shared" si="785"/>
        <v>58.032012351552609</v>
      </c>
      <c r="CI110" s="288">
        <f t="shared" si="785"/>
        <v>65.632281542857356</v>
      </c>
      <c r="CJ110" s="288">
        <f t="shared" si="785"/>
        <v>38.536194704011713</v>
      </c>
      <c r="CK110" s="288">
        <f t="shared" si="785"/>
        <v>30.393425315537552</v>
      </c>
      <c r="CL110" s="288">
        <f t="shared" si="785"/>
        <v>59.228573566865514</v>
      </c>
      <c r="CM110" s="288">
        <f t="shared" si="785"/>
        <v>67.002336992570136</v>
      </c>
      <c r="CN110" s="288">
        <f t="shared" si="785"/>
        <v>39.283456581606522</v>
      </c>
      <c r="CO110" s="288">
        <f t="shared" si="785"/>
        <v>30.952865776336594</v>
      </c>
      <c r="CP110" s="288">
        <f t="shared" si="785"/>
        <v>60.448829295691652</v>
      </c>
      <c r="CQ110" s="288">
        <f t="shared" si="785"/>
        <v>68.400042637507084</v>
      </c>
      <c r="CR110" s="288">
        <f t="shared" si="785"/>
        <v>40.044049350963583</v>
      </c>
      <c r="CS110" s="288">
        <f t="shared" si="785"/>
        <v>31.521300255139188</v>
      </c>
      <c r="CT110" s="288">
        <f t="shared" si="785"/>
        <v>61.693218198161027</v>
      </c>
      <c r="CU110" s="289">
        <f t="shared" si="785"/>
        <v>69.825927193116371</v>
      </c>
      <c r="CV110" s="288">
        <f t="shared" si="785"/>
        <v>14.891650574778836</v>
      </c>
      <c r="CW110" s="288">
        <f t="shared" si="785"/>
        <v>0</v>
      </c>
      <c r="CX110" s="288">
        <f t="shared" si="785"/>
        <v>11.508057372127324</v>
      </c>
      <c r="CY110" s="288">
        <f t="shared" ref="CY110:ED110" si="786">MAX(CY89/Min_LLCR,0)</f>
        <v>14.894609844392336</v>
      </c>
      <c r="CZ110" s="288">
        <f t="shared" si="786"/>
        <v>0.623945106963542</v>
      </c>
      <c r="DA110" s="288">
        <f t="shared" si="786"/>
        <v>0</v>
      </c>
      <c r="DB110" s="288">
        <f t="shared" si="786"/>
        <v>10.844615353705947</v>
      </c>
      <c r="DC110" s="288">
        <f t="shared" si="786"/>
        <v>14.859308125959458</v>
      </c>
      <c r="DD110" s="288">
        <f t="shared" si="786"/>
        <v>0.48519423790171873</v>
      </c>
      <c r="DE110" s="288">
        <f t="shared" si="786"/>
        <v>0</v>
      </c>
      <c r="DF110" s="288">
        <f t="shared" si="786"/>
        <v>10.938311864834825</v>
      </c>
      <c r="DG110" s="288">
        <f t="shared" si="786"/>
        <v>15.044072355252904</v>
      </c>
      <c r="DH110" s="288">
        <f t="shared" si="786"/>
        <v>0.33899568492384757</v>
      </c>
      <c r="DI110" s="288">
        <f t="shared" si="786"/>
        <v>0</v>
      </c>
      <c r="DJ110" s="288">
        <f t="shared" si="786"/>
        <v>11.029836256655592</v>
      </c>
      <c r="DK110" s="288">
        <f t="shared" si="786"/>
        <v>15.228724610783706</v>
      </c>
      <c r="DL110" s="288">
        <f t="shared" si="786"/>
        <v>0.18505949704693289</v>
      </c>
      <c r="DM110" s="288">
        <f t="shared" si="786"/>
        <v>0</v>
      </c>
      <c r="DN110" s="288">
        <f t="shared" si="786"/>
        <v>11.119017998758849</v>
      </c>
      <c r="DO110" s="288">
        <f t="shared" si="786"/>
        <v>15.413140807053569</v>
      </c>
      <c r="DP110" s="288">
        <f t="shared" si="786"/>
        <v>2.3085738625814482E-2</v>
      </c>
      <c r="DQ110" s="288">
        <f t="shared" si="786"/>
        <v>0</v>
      </c>
      <c r="DR110" s="288">
        <f t="shared" si="786"/>
        <v>11.205679270416443</v>
      </c>
      <c r="DS110" s="288">
        <f t="shared" si="786"/>
        <v>15.597190610734881</v>
      </c>
      <c r="DT110" s="288">
        <f t="shared" si="786"/>
        <v>0</v>
      </c>
      <c r="DU110" s="288">
        <f t="shared" si="786"/>
        <v>0</v>
      </c>
      <c r="DV110" s="288">
        <f t="shared" si="786"/>
        <v>11.289634698602827</v>
      </c>
      <c r="DW110" s="288">
        <f t="shared" si="786"/>
        <v>15.78073720195953</v>
      </c>
      <c r="DX110" s="288">
        <f t="shared" si="786"/>
        <v>0</v>
      </c>
      <c r="DY110" s="288">
        <f t="shared" si="786"/>
        <v>0</v>
      </c>
      <c r="DZ110" s="288">
        <f t="shared" si="786"/>
        <v>11.370691087345161</v>
      </c>
      <c r="EA110" s="288">
        <f t="shared" si="786"/>
        <v>15.963637027451686</v>
      </c>
      <c r="EB110" s="288">
        <f t="shared" si="786"/>
        <v>0</v>
      </c>
      <c r="EC110" s="288">
        <f t="shared" si="786"/>
        <v>0</v>
      </c>
      <c r="ED110" s="288">
        <f t="shared" si="786"/>
        <v>11.448647138128411</v>
      </c>
      <c r="EE110" s="288">
        <f t="shared" ref="EE110:FA110" si="787">MAX(EE89/Min_LLCR,0)</f>
        <v>16.145739545242662</v>
      </c>
      <c r="EF110" s="288">
        <f t="shared" si="787"/>
        <v>0</v>
      </c>
      <c r="EG110" s="288">
        <f t="shared" si="787"/>
        <v>0</v>
      </c>
      <c r="EH110" s="288">
        <f t="shared" si="787"/>
        <v>11.523293161073527</v>
      </c>
      <c r="EI110" s="288">
        <f t="shared" si="787"/>
        <v>0</v>
      </c>
      <c r="EJ110" s="288">
        <f t="shared" si="787"/>
        <v>16.153383365664176</v>
      </c>
      <c r="EK110" s="288">
        <f t="shared" si="787"/>
        <v>0</v>
      </c>
      <c r="EL110" s="288">
        <f t="shared" si="787"/>
        <v>0</v>
      </c>
      <c r="EM110" s="288">
        <f t="shared" si="787"/>
        <v>0</v>
      </c>
      <c r="EN110" s="288">
        <f t="shared" si="787"/>
        <v>0</v>
      </c>
      <c r="EO110" s="288">
        <f t="shared" si="787"/>
        <v>0</v>
      </c>
      <c r="EP110" s="288">
        <f t="shared" si="787"/>
        <v>0</v>
      </c>
      <c r="EQ110" s="288">
        <f t="shared" si="787"/>
        <v>0</v>
      </c>
      <c r="ER110" s="288">
        <f t="shared" si="787"/>
        <v>0</v>
      </c>
      <c r="ES110" s="288">
        <f t="shared" si="787"/>
        <v>0</v>
      </c>
      <c r="ET110" s="288">
        <f t="shared" si="787"/>
        <v>0</v>
      </c>
      <c r="EU110" s="288">
        <f t="shared" si="787"/>
        <v>0</v>
      </c>
      <c r="EV110" s="288">
        <f t="shared" si="787"/>
        <v>0</v>
      </c>
      <c r="EW110" s="288">
        <f t="shared" si="787"/>
        <v>0</v>
      </c>
      <c r="EX110" s="288">
        <f t="shared" si="787"/>
        <v>0</v>
      </c>
      <c r="EY110" s="288">
        <f t="shared" si="787"/>
        <v>0</v>
      </c>
      <c r="EZ110" s="288">
        <f t="shared" si="787"/>
        <v>0</v>
      </c>
      <c r="FA110" s="288">
        <f t="shared" si="787"/>
        <v>0</v>
      </c>
    </row>
    <row r="111" spans="1:157" outlineLevel="1" x14ac:dyDescent="0.2">
      <c r="D111" s="21"/>
      <c r="E111" s="5"/>
      <c r="F111" s="21"/>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c r="CF111" s="119"/>
      <c r="CG111" s="119"/>
      <c r="CH111" s="119"/>
      <c r="CI111" s="119"/>
      <c r="CJ111" s="119"/>
      <c r="CK111" s="119"/>
      <c r="CL111" s="119"/>
      <c r="CM111" s="119"/>
      <c r="CN111" s="119"/>
      <c r="CO111" s="119"/>
      <c r="CP111" s="119"/>
      <c r="CQ111" s="119"/>
      <c r="CR111" s="119"/>
      <c r="CS111" s="119"/>
      <c r="CT111" s="119"/>
      <c r="CU111" s="266"/>
      <c r="CV111" s="119"/>
      <c r="CW111" s="119"/>
      <c r="CX111" s="119"/>
      <c r="CY111" s="119"/>
      <c r="CZ111" s="119"/>
      <c r="DA111" s="119"/>
      <c r="DB111" s="119"/>
      <c r="DC111" s="119"/>
      <c r="DD111" s="119"/>
      <c r="DE111" s="119"/>
      <c r="DF111" s="119"/>
      <c r="DG111" s="119"/>
      <c r="DH111" s="119"/>
      <c r="DI111" s="119"/>
      <c r="DJ111" s="119"/>
      <c r="DK111" s="119"/>
      <c r="DL111" s="119"/>
      <c r="DM111" s="119"/>
      <c r="DN111" s="119"/>
      <c r="DO111" s="119"/>
      <c r="DP111" s="119"/>
      <c r="DQ111" s="119"/>
      <c r="DR111" s="119"/>
      <c r="DS111" s="119"/>
      <c r="DT111" s="119"/>
      <c r="DU111" s="119"/>
      <c r="DV111" s="119"/>
      <c r="DW111" s="119"/>
      <c r="DX111" s="119"/>
      <c r="DY111" s="119"/>
      <c r="DZ111" s="119"/>
      <c r="EA111" s="119"/>
      <c r="EB111" s="119"/>
      <c r="EC111" s="119"/>
      <c r="ED111" s="119"/>
      <c r="EE111" s="119"/>
      <c r="EF111" s="119"/>
      <c r="EG111" s="119"/>
      <c r="EH111" s="119"/>
      <c r="EI111" s="119"/>
      <c r="EJ111" s="119"/>
      <c r="EK111" s="119"/>
      <c r="EL111" s="119"/>
      <c r="EM111" s="119"/>
      <c r="EN111" s="119"/>
      <c r="EO111" s="119"/>
      <c r="EP111" s="119"/>
      <c r="EQ111" s="119"/>
      <c r="ER111" s="119"/>
      <c r="ES111" s="119"/>
      <c r="ET111" s="119"/>
      <c r="EU111" s="119"/>
      <c r="EV111" s="119"/>
      <c r="EW111" s="119"/>
      <c r="EX111" s="119"/>
      <c r="EY111" s="119"/>
      <c r="EZ111" s="119"/>
      <c r="FA111" s="119"/>
    </row>
    <row r="112" spans="1:157" s="206" customFormat="1" outlineLevel="1" x14ac:dyDescent="0.2">
      <c r="C112" s="63" t="s">
        <v>374</v>
      </c>
      <c r="D112" s="64"/>
      <c r="E112" s="276"/>
      <c r="F112" s="64"/>
      <c r="G112" s="307"/>
      <c r="H112" s="307"/>
      <c r="I112" s="307"/>
      <c r="J112" s="307"/>
      <c r="K112" s="307"/>
      <c r="L112" s="307"/>
      <c r="M112" s="307"/>
      <c r="N112" s="307"/>
      <c r="O112" s="307"/>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c r="AK112" s="307"/>
      <c r="AL112" s="307"/>
      <c r="AM112" s="307"/>
      <c r="AN112" s="307"/>
      <c r="AO112" s="307"/>
      <c r="AP112" s="307"/>
      <c r="AQ112" s="307"/>
      <c r="AR112" s="307"/>
      <c r="AS112" s="307"/>
      <c r="AT112" s="307"/>
      <c r="AU112" s="307"/>
      <c r="AV112" s="307"/>
      <c r="AW112" s="307"/>
      <c r="AX112" s="307"/>
      <c r="AY112" s="307"/>
      <c r="AZ112" s="307"/>
      <c r="BA112" s="307"/>
      <c r="BB112" s="307"/>
      <c r="BC112" s="307"/>
      <c r="BD112" s="307"/>
      <c r="BE112" s="307"/>
      <c r="BF112" s="307"/>
      <c r="BG112" s="307"/>
      <c r="BH112" s="307"/>
      <c r="BI112" s="307"/>
      <c r="BJ112" s="307"/>
      <c r="BK112" s="307"/>
      <c r="BL112" s="307"/>
      <c r="BM112" s="307"/>
      <c r="BN112" s="307"/>
      <c r="BO112" s="307"/>
      <c r="BP112" s="307"/>
      <c r="BQ112" s="307"/>
      <c r="BR112" s="307"/>
      <c r="BS112" s="307"/>
      <c r="BT112" s="307"/>
      <c r="BU112" s="307"/>
      <c r="BV112" s="307"/>
      <c r="BW112" s="307"/>
      <c r="BX112" s="307"/>
      <c r="BY112" s="307"/>
      <c r="BZ112" s="307"/>
      <c r="CA112" s="307"/>
      <c r="CB112" s="307"/>
      <c r="CC112" s="307"/>
      <c r="CD112" s="307"/>
      <c r="CE112" s="307"/>
      <c r="CF112" s="307"/>
      <c r="CG112" s="307"/>
      <c r="CH112" s="307"/>
      <c r="CI112" s="307"/>
      <c r="CJ112" s="307"/>
      <c r="CK112" s="307"/>
      <c r="CL112" s="307"/>
      <c r="CM112" s="307"/>
      <c r="CN112" s="307"/>
      <c r="CO112" s="307"/>
      <c r="CP112" s="307"/>
      <c r="CQ112" s="307"/>
      <c r="CR112" s="307"/>
      <c r="CS112" s="307"/>
      <c r="CT112" s="307"/>
      <c r="CU112" s="308"/>
      <c r="CV112" s="307"/>
      <c r="CW112" s="307"/>
      <c r="CX112" s="307"/>
      <c r="CY112" s="307"/>
      <c r="CZ112" s="307"/>
      <c r="DA112" s="307"/>
      <c r="DB112" s="307"/>
      <c r="DC112" s="307"/>
      <c r="DD112" s="307"/>
      <c r="DE112" s="307"/>
      <c r="DF112" s="307"/>
      <c r="DG112" s="307"/>
      <c r="DH112" s="307"/>
      <c r="DI112" s="307"/>
      <c r="DJ112" s="307"/>
      <c r="DK112" s="307"/>
      <c r="DL112" s="307"/>
      <c r="DM112" s="307"/>
      <c r="DN112" s="307"/>
      <c r="DO112" s="307"/>
      <c r="DP112" s="307"/>
      <c r="DQ112" s="307"/>
      <c r="DR112" s="307"/>
      <c r="DS112" s="307"/>
      <c r="DT112" s="307"/>
      <c r="DU112" s="307"/>
      <c r="DV112" s="307"/>
      <c r="DW112" s="307"/>
      <c r="DX112" s="307"/>
      <c r="DY112" s="307"/>
      <c r="DZ112" s="307"/>
      <c r="EA112" s="307"/>
      <c r="EB112" s="307"/>
      <c r="EC112" s="307"/>
      <c r="ED112" s="307"/>
      <c r="EE112" s="307"/>
      <c r="EF112" s="307"/>
      <c r="EG112" s="307"/>
      <c r="EH112" s="307"/>
      <c r="EI112" s="307"/>
      <c r="EJ112" s="307"/>
      <c r="EK112" s="307"/>
      <c r="EL112" s="307"/>
      <c r="EM112" s="307"/>
      <c r="EN112" s="307"/>
      <c r="EO112" s="307"/>
      <c r="EP112" s="307"/>
      <c r="EQ112" s="307"/>
      <c r="ER112" s="307"/>
      <c r="ES112" s="307"/>
      <c r="ET112" s="307"/>
      <c r="EU112" s="307"/>
      <c r="EV112" s="307"/>
      <c r="EW112" s="307"/>
      <c r="EX112" s="307"/>
      <c r="EY112" s="307"/>
      <c r="EZ112" s="307"/>
      <c r="FA112" s="307"/>
    </row>
    <row r="113" spans="3:157" outlineLevel="1" x14ac:dyDescent="0.2">
      <c r="C113" s="9" t="s">
        <v>393</v>
      </c>
      <c r="D113" s="21" t="s">
        <v>126</v>
      </c>
      <c r="E113" s="119"/>
      <c r="F113" s="119"/>
      <c r="G113" s="119">
        <f ca="1">F122+IF(G56&lt;=Debt_Refinance_Date,Constr_Phase_Model!G16,0)</f>
        <v>0</v>
      </c>
      <c r="H113" s="119">
        <f ca="1">G122+IF(H56&lt;=Debt_Refinance_Date,Constr_Phase_Model!H16,0)</f>
        <v>0</v>
      </c>
      <c r="I113" s="119">
        <f ca="1">H122+IF(I56&lt;=Debt_Refinance_Date,Constr_Phase_Model!I16,0)</f>
        <v>0</v>
      </c>
      <c r="J113" s="119">
        <f ca="1">I122+IF(J56&lt;=Debt_Refinance_Date,Constr_Phase_Model!J16,0)</f>
        <v>0</v>
      </c>
      <c r="K113" s="119">
        <f ca="1">J122+IF(K56&lt;=Debt_Refinance_Date,Constr_Phase_Model!K16,0)</f>
        <v>0</v>
      </c>
      <c r="L113" s="119">
        <f ca="1">K122+IF(L56&lt;=Debt_Refinance_Date,Constr_Phase_Model!L16,0)</f>
        <v>0</v>
      </c>
      <c r="M113" s="119">
        <f ca="1">L122+IF(M56&lt;=Debt_Refinance_Date,Constr_Phase_Model!M16,0)</f>
        <v>0</v>
      </c>
      <c r="N113" s="119">
        <f ca="1">M122+IF(N56&lt;=Debt_Refinance_Date,Constr_Phase_Model!N16,0)</f>
        <v>0</v>
      </c>
      <c r="O113" s="119">
        <f ca="1">N122+IF(O56&lt;=Debt_Refinance_Date,Constr_Phase_Model!O16,0)</f>
        <v>0</v>
      </c>
      <c r="P113" s="119">
        <f ca="1">O122+IF(P56&lt;=Debt_Refinance_Date,Constr_Phase_Model!P16,0)</f>
        <v>0</v>
      </c>
      <c r="Q113" s="119">
        <f ca="1">P122+IF(Q56&lt;=Debt_Refinance_Date,Constr_Phase_Model!Q16,0)</f>
        <v>0</v>
      </c>
      <c r="R113" s="119">
        <f ca="1">Q122+IF(R56&lt;=Debt_Refinance_Date,Constr_Phase_Model!R16,0)</f>
        <v>0</v>
      </c>
      <c r="S113" s="119">
        <f ca="1">R122+IF(S56&lt;=Debt_Refinance_Date,Constr_Phase_Model!S16,0)</f>
        <v>0</v>
      </c>
      <c r="T113" s="119">
        <f ca="1">S122+IF(T56&lt;=Debt_Refinance_Date,Constr_Phase_Model!T16,0)</f>
        <v>0</v>
      </c>
      <c r="U113" s="119">
        <f ca="1">T122+IF(U56&lt;=Debt_Refinance_Date,Constr_Phase_Model!U16,0)</f>
        <v>0</v>
      </c>
      <c r="V113" s="119">
        <f ca="1">U122+IF(V56&lt;=Debt_Refinance_Date,Constr_Phase_Model!V16,0)</f>
        <v>30.961047262086112</v>
      </c>
      <c r="W113" s="119">
        <f ca="1">V122+IF(W56&lt;=Debt_Refinance_Date,Constr_Phase_Model!W16,0)</f>
        <v>60.613921606013371</v>
      </c>
      <c r="X113" s="119">
        <f ca="1">W122+IF(X56&lt;=Debt_Refinance_Date,Constr_Phase_Model!X16,0)</f>
        <v>60.613921606013371</v>
      </c>
      <c r="Y113" s="119">
        <f ca="1">X122+IF(Y56&lt;=Debt_Refinance_Date,Constr_Phase_Model!Y16,0)</f>
        <v>69.896237484855874</v>
      </c>
      <c r="Z113" s="119">
        <f ca="1">Y122+IF(Z56&lt;=Debt_Refinance_Date,Constr_Phase_Model!Z16,0)</f>
        <v>72.742983747127539</v>
      </c>
      <c r="AA113" s="119">
        <f ca="1">Z122+IF(AA56&lt;=Debt_Refinance_Date,Constr_Phase_Model!AA16,0)</f>
        <v>83.490245465521667</v>
      </c>
      <c r="AB113" s="119">
        <f ca="1">AA122+IF(AB56&lt;=Debt_Refinance_Date,Constr_Phase_Model!AB16,0)</f>
        <v>60.609639677549403</v>
      </c>
      <c r="AC113" s="119">
        <f ca="1">AB122+IF(AC56&lt;=Debt_Refinance_Date,Constr_Phase_Model!AC16,0)</f>
        <v>70.078478651532663</v>
      </c>
      <c r="AD113" s="119">
        <f ca="1">AC122+IF(AD56&lt;=Debt_Refinance_Date,Constr_Phase_Model!AD16,0)</f>
        <v>74.181811005209454</v>
      </c>
      <c r="AE113" s="119">
        <f ca="1">AD122+IF(AE56&lt;=Debt_Refinance_Date,Constr_Phase_Model!AE16,0)</f>
        <v>85.225228167989542</v>
      </c>
      <c r="AF113" s="119">
        <f ca="1">AE122+IF(AF56&lt;=Debt_Refinance_Date,Constr_Phase_Model!AF16,0)</f>
        <v>60.546712855064271</v>
      </c>
      <c r="AG113" s="119">
        <f ca="1">AF122+IF(AG56&lt;=Debt_Refinance_Date,Constr_Phase_Model!AG16,0)</f>
        <v>70.205618351115461</v>
      </c>
      <c r="AH113" s="119">
        <f ca="1">AG122+IF(AH56&lt;=Debt_Refinance_Date,Constr_Phase_Model!AH16,0)</f>
        <v>75.64724437572437</v>
      </c>
      <c r="AI113" s="119">
        <f ca="1">AH122+IF(AI56&lt;=Debt_Refinance_Date,Constr_Phase_Model!AI16,0)</f>
        <v>85.837444705681037</v>
      </c>
      <c r="AJ113" s="119">
        <f ca="1">AI122+IF(AJ56&lt;=Debt_Refinance_Date,Constr_Phase_Model!AJ16,0)</f>
        <v>59.865680356170451</v>
      </c>
      <c r="AK113" s="119">
        <f ca="1">AJ122+IF(AK56&lt;=Debt_Refinance_Date,Constr_Phase_Model!AK16,0)</f>
        <v>69.546404516808053</v>
      </c>
      <c r="AL113" s="119">
        <f ca="1">AK122+IF(AL56&lt;=Debt_Refinance_Date,Constr_Phase_Model!AL16,0)</f>
        <v>75.732573987932724</v>
      </c>
      <c r="AM113" s="119">
        <f ca="1">AL122+IF(AM56&lt;=Debt_Refinance_Date,Constr_Phase_Model!AM16,0)</f>
        <v>87.405922866536557</v>
      </c>
      <c r="AN113" s="119">
        <f ca="1">AM122+IF(AN56&lt;=Debt_Refinance_Date,Constr_Phase_Model!AN16,0)</f>
        <v>59.937492978210116</v>
      </c>
      <c r="AO113" s="119">
        <f ca="1">AN122+IF(AO56&lt;=Debt_Refinance_Date,Constr_Phase_Model!AO16,0)</f>
        <v>69.811609618705816</v>
      </c>
      <c r="AP113" s="119">
        <f ca="1">AO122+IF(AP56&lt;=Debt_Refinance_Date,Constr_Phase_Model!AP16,0)</f>
        <v>77.220225779218723</v>
      </c>
      <c r="AQ113" s="119">
        <f ca="1">AP122+IF(AQ56&lt;=Debt_Refinance_Date,Constr_Phase_Model!AQ16,0)</f>
        <v>88.452782125818558</v>
      </c>
      <c r="AR113" s="119">
        <f ca="1">AQ122+IF(AR56&lt;=Debt_Refinance_Date,Constr_Phase_Model!AR16,0)</f>
        <v>59.947727012086368</v>
      </c>
      <c r="AS113" s="119">
        <f ca="1">AR122+IF(AS56&lt;=Debt_Refinance_Date,Constr_Phase_Model!AS16,0)</f>
        <v>69.905678887543203</v>
      </c>
      <c r="AT113" s="119">
        <f ca="1">AS122+IF(AT56&lt;=Debt_Refinance_Date,Constr_Phase_Model!AT16,0)</f>
        <v>77.808201295831921</v>
      </c>
      <c r="AU113" s="119">
        <f ca="1">AT122+IF(AU56&lt;=Debt_Refinance_Date,Constr_Phase_Model!AU16,0)</f>
        <v>90.142218741602392</v>
      </c>
      <c r="AV113" s="119">
        <f ca="1">AU122+IF(AV56&lt;=Debt_Refinance_Date,Constr_Phase_Model!AV16,0)</f>
        <v>61.031680778879007</v>
      </c>
      <c r="AW113" s="119">
        <f ca="1">AV122+IF(AW56&lt;=Debt_Refinance_Date,Constr_Phase_Model!AW16,0)</f>
        <v>71.187763790145297</v>
      </c>
      <c r="AX113" s="119">
        <f ca="1">AW122+IF(AX56&lt;=Debt_Refinance_Date,Constr_Phase_Model!AX16,0)</f>
        <v>79.329360919045698</v>
      </c>
      <c r="AY113" s="119">
        <f ca="1">AX122+IF(AY56&lt;=Debt_Refinance_Date,Constr_Phase_Model!AY16,0)</f>
        <v>92.00322849700342</v>
      </c>
      <c r="AZ113" s="119">
        <f ca="1">AY122+IF(AZ56&lt;=Debt_Refinance_Date,Constr_Phase_Model!AZ16,0)</f>
        <v>62.223173300640582</v>
      </c>
      <c r="BA113" s="119">
        <f ca="1">AZ122+IF(BA56&lt;=Debt_Refinance_Date,Constr_Phase_Model!BA16,0)</f>
        <v>72.581088576049964</v>
      </c>
      <c r="BB113" s="119">
        <f ca="1">BA122+IF(BB56&lt;=Debt_Refinance_Date,Constr_Phase_Model!BB16,0)</f>
        <v>80.878070361173314</v>
      </c>
      <c r="BC113" s="119">
        <f ca="1">BB122+IF(BC56&lt;=Debt_Refinance_Date,Constr_Phase_Model!BC16,0)</f>
        <v>91.968934891841855</v>
      </c>
      <c r="BD113" s="119">
        <f ca="1">BC122+IF(BD56&lt;=Debt_Refinance_Date,Constr_Phase_Model!BD16,0)</f>
        <v>61.629097213971818</v>
      </c>
      <c r="BE113" s="119">
        <f ca="1">BD122+IF(BE56&lt;=Debt_Refinance_Date,Constr_Phase_Model!BE16,0)</f>
        <v>71.905743328344684</v>
      </c>
      <c r="BF113" s="119">
        <f ca="1">BE122+IF(BF56&lt;=Debt_Refinance_Date,Constr_Phase_Model!BF16,0)</f>
        <v>80.105886543010627</v>
      </c>
      <c r="BG113" s="119">
        <f ca="1">BF122+IF(BG56&lt;=Debt_Refinance_Date,Constr_Phase_Model!BG16,0)</f>
        <v>93.509341857296533</v>
      </c>
      <c r="BH113" s="119">
        <f ca="1">BG122+IF(BH56&lt;=Debt_Refinance_Date,Constr_Phase_Model!BH16,0)</f>
        <v>62.822496156727198</v>
      </c>
      <c r="BI113" s="119">
        <f ca="1">BH122+IF(BI56&lt;=Debt_Refinance_Date,Constr_Phase_Model!BI16,0)</f>
        <v>73.301978044564279</v>
      </c>
      <c r="BJ113" s="119">
        <f ca="1">BI122+IF(BJ56&lt;=Debt_Refinance_Date,Constr_Phase_Model!BJ16,0)</f>
        <v>81.657073963085935</v>
      </c>
      <c r="BK113" s="119">
        <f ca="1">BJ122+IF(BK56&lt;=Debt_Refinance_Date,Constr_Phase_Model!BK16,0)</f>
        <v>95.429795629744461</v>
      </c>
      <c r="BL113" s="119">
        <f ca="1">BK122+IF(BL56&lt;=Debt_Refinance_Date,Constr_Phase_Model!BL16,0)</f>
        <v>64.037133356766375</v>
      </c>
      <c r="BM113" s="119">
        <f ca="1">BL122+IF(BM56&lt;=Debt_Refinance_Date,Constr_Phase_Model!BM16,0)</f>
        <v>74.723187328544213</v>
      </c>
      <c r="BN113" s="119">
        <f ca="1">BM122+IF(BN56&lt;=Debt_Refinance_Date,Constr_Phase_Model!BN16,0)</f>
        <v>83.235867002994354</v>
      </c>
      <c r="BO113" s="119">
        <f ca="1">BN122+IF(BO56&lt;=Debt_Refinance_Date,Constr_Phase_Model!BO16,0)</f>
        <v>97.388045324621913</v>
      </c>
      <c r="BP113" s="119">
        <f ca="1">BO122+IF(BP56&lt;=Debt_Refinance_Date,Constr_Phase_Model!BP16,0)</f>
        <v>65.27332464834916</v>
      </c>
      <c r="BQ113" s="119">
        <f ca="1">BP122+IF(BQ56&lt;=Debt_Refinance_Date,Constr_Phase_Model!BQ16,0)</f>
        <v>76.169747130590764</v>
      </c>
      <c r="BR113" s="119">
        <f ca="1">BQ122+IF(BR56&lt;=Debt_Refinance_Date,Constr_Phase_Model!BR16,0)</f>
        <v>84.842676186084873</v>
      </c>
      <c r="BS113" s="119">
        <f ca="1">BR122+IF(BS56&lt;=Debt_Refinance_Date,Constr_Phase_Model!BS16,0)</f>
        <v>99.384783188801833</v>
      </c>
      <c r="BT113" s="119">
        <f ca="1">BS122+IF(BT56&lt;=Debt_Refinance_Date,Constr_Phase_Model!BT16,0)</f>
        <v>66.531388316453132</v>
      </c>
      <c r="BU113" s="119">
        <f ca="1">BT122+IF(BU56&lt;=Debt_Refinance_Date,Constr_Phase_Model!BU16,0)</f>
        <v>77.6420365146883</v>
      </c>
      <c r="BV113" s="119">
        <f ca="1">BU122+IF(BV56&lt;=Debt_Refinance_Date,Constr_Phase_Model!BV16,0)</f>
        <v>86.477915221164778</v>
      </c>
      <c r="BW113" s="119">
        <f ca="1">BV122+IF(BW56&lt;=Debt_Refinance_Date,Constr_Phase_Model!BW16,0)</f>
        <v>101.4207124580777</v>
      </c>
      <c r="BX113" s="119">
        <f ca="1">BW122+IF(BX56&lt;=Debt_Refinance_Date,Constr_Phase_Model!BX16,0)</f>
        <v>67.811645018595584</v>
      </c>
      <c r="BY113" s="119">
        <f ca="1">BX122+IF(BY56&lt;=Debt_Refinance_Date,Constr_Phase_Model!BY16,0)</f>
        <v>79.140437575455621</v>
      </c>
      <c r="BZ113" s="119">
        <f ca="1">BY122+IF(BZ56&lt;=Debt_Refinance_Date,Constr_Phase_Model!BZ16,0)</f>
        <v>88.142000900883318</v>
      </c>
      <c r="CA113" s="119">
        <f ca="1">BZ122+IF(CA56&lt;=Debt_Refinance_Date,Constr_Phase_Model!CA16,0)</f>
        <v>103.4965474721164</v>
      </c>
      <c r="CB113" s="119">
        <f ca="1">CA122+IF(CB56&lt;=Debt_Refinance_Date,Constr_Phase_Model!CB16,0)</f>
        <v>69.114417701087362</v>
      </c>
      <c r="CC113" s="119">
        <f ca="1">CB122+IF(CC56&lt;=Debt_Refinance_Date,Constr_Phase_Model!CC16,0)</f>
        <v>80.665335348858719</v>
      </c>
      <c r="CD113" s="119">
        <f ca="1">CC122+IF(CD56&lt;=Debt_Refinance_Date,Constr_Phase_Model!CD16,0)</f>
        <v>89.835352992877958</v>
      </c>
      <c r="CE113" s="119">
        <f ca="1">CD122+IF(CE56&lt;=Debt_Refinance_Date,Constr_Phase_Model!CE16,0)</f>
        <v>102.63515010256521</v>
      </c>
      <c r="CF113" s="119">
        <f ca="1">CE122+IF(CF56&lt;=Debt_Refinance_Date,Constr_Phase_Model!CF16,0)</f>
        <v>67.655027679201496</v>
      </c>
      <c r="CG113" s="119">
        <f ca="1">CF122+IF(CG56&lt;=Debt_Refinance_Date,Constr_Phase_Model!CG16,0)</f>
        <v>78.990013056553664</v>
      </c>
      <c r="CH113" s="119">
        <f ca="1">CG122+IF(CH56&lt;=Debt_Refinance_Date,Constr_Phase_Model!CH16,0)</f>
        <v>87.938428702241296</v>
      </c>
      <c r="CI113" s="119">
        <f ca="1">CH122+IF(CI56&lt;=Debt_Refinance_Date,Constr_Phase_Model!CI16,0)</f>
        <v>104.18400262686652</v>
      </c>
      <c r="CJ113" s="119">
        <f ca="1">CI122+IF(CJ56&lt;=Debt_Refinance_Date,Constr_Phase_Model!CJ16,0)</f>
        <v>68.939894024815189</v>
      </c>
      <c r="CK113" s="119">
        <f ca="1">CJ122+IF(CK56&lt;=Debt_Refinance_Date,Constr_Phase_Model!CK16,0)</f>
        <v>80.49500859081536</v>
      </c>
      <c r="CL113" s="119">
        <f ca="1">CK122+IF(CL56&lt;=Debt_Refinance_Date,Constr_Phase_Model!CL16,0)</f>
        <v>89.608506025414044</v>
      </c>
      <c r="CM113" s="119">
        <f ca="1">CL122+IF(CM56&lt;=Debt_Refinance_Date,Constr_Phase_Model!CM16,0)</f>
        <v>106.30163554171638</v>
      </c>
      <c r="CN113" s="119">
        <f ca="1">CM122+IF(CN56&lt;=Debt_Refinance_Date,Constr_Phase_Model!CN16,0)</f>
        <v>70.246791128053275</v>
      </c>
      <c r="CO113" s="119">
        <f ca="1">CN122+IF(CO56&lt;=Debt_Refinance_Date,Constr_Phase_Model!CO16,0)</f>
        <v>82.025972877456837</v>
      </c>
      <c r="CP113" s="119">
        <f ca="1">CO122+IF(CP56&lt;=Debt_Refinance_Date,Constr_Phase_Model!CP16,0)</f>
        <v>91.307219065326066</v>
      </c>
      <c r="CQ113" s="119">
        <f ca="1">CP122+IF(CQ56&lt;=Debt_Refinance_Date,Constr_Phase_Model!CQ16,0)</f>
        <v>108.46025565181064</v>
      </c>
      <c r="CR113" s="119">
        <f ca="1">CQ122+IF(CR56&lt;=Debt_Refinance_Date,Constr_Phase_Model!CR16,0)</f>
        <v>71.576016468599661</v>
      </c>
      <c r="CS113" s="119">
        <f ca="1">CR122+IF(CS56&lt;=Debt_Refinance_Date,Constr_Phase_Model!CS16,0)</f>
        <v>83.583262681957081</v>
      </c>
      <c r="CT113" s="119">
        <f ca="1">CS122+IF(CT56&lt;=Debt_Refinance_Date,Constr_Phase_Model!CT16,0)</f>
        <v>93.034954487933604</v>
      </c>
      <c r="CU113" s="266">
        <f ca="1">CT122+IF(CU56&lt;=Debt_Refinance_Date,Constr_Phase_Model!CU16,0)</f>
        <v>69.836334793556901</v>
      </c>
      <c r="CV113" s="119">
        <f ca="1">CU122+IF(CV56&lt;=Debt_Refinance_Date,Constr_Phase_Model!CV16,0)</f>
        <v>0</v>
      </c>
      <c r="CW113" s="119">
        <f ca="1">CV122+IF(CW56&lt;=Debt_Refinance_Date,Constr_Phase_Model!CW16,0)</f>
        <v>0</v>
      </c>
      <c r="CX113" s="119">
        <f ca="1">CW122+IF(CX56&lt;=Debt_Refinance_Date,Constr_Phase_Model!CX16,0)</f>
        <v>0</v>
      </c>
      <c r="CY113" s="119">
        <f ca="1">CX122+IF(CY56&lt;=Debt_Refinance_Date,Constr_Phase_Model!CY16,0)</f>
        <v>0</v>
      </c>
      <c r="CZ113" s="119">
        <f ca="1">CY122+IF(CZ56&lt;=Debt_Refinance_Date,Constr_Phase_Model!CZ16,0)</f>
        <v>0</v>
      </c>
      <c r="DA113" s="119">
        <f ca="1">CZ122+IF(DA56&lt;=Debt_Refinance_Date,Constr_Phase_Model!DA16,0)</f>
        <v>0</v>
      </c>
      <c r="DB113" s="119">
        <f ca="1">DA122+IF(DB56&lt;=Debt_Refinance_Date,Constr_Phase_Model!DB16,0)</f>
        <v>0</v>
      </c>
      <c r="DC113" s="119">
        <f ca="1">DB122+IF(DC56&lt;=Debt_Refinance_Date,Constr_Phase_Model!DC16,0)</f>
        <v>0</v>
      </c>
      <c r="DD113" s="119">
        <f ca="1">DC122+IF(DD56&lt;=Debt_Refinance_Date,Constr_Phase_Model!DD16,0)</f>
        <v>0</v>
      </c>
      <c r="DE113" s="119">
        <f ca="1">DD122+IF(DE56&lt;=Debt_Refinance_Date,Constr_Phase_Model!DE16,0)</f>
        <v>0</v>
      </c>
      <c r="DF113" s="119">
        <f ca="1">DE122+IF(DF56&lt;=Debt_Refinance_Date,Constr_Phase_Model!DF16,0)</f>
        <v>0</v>
      </c>
      <c r="DG113" s="119">
        <f ca="1">DF122+IF(DG56&lt;=Debt_Refinance_Date,Constr_Phase_Model!DG16,0)</f>
        <v>0</v>
      </c>
      <c r="DH113" s="119">
        <f ca="1">DG122+IF(DH56&lt;=Debt_Refinance_Date,Constr_Phase_Model!DH16,0)</f>
        <v>0</v>
      </c>
      <c r="DI113" s="119">
        <f ca="1">DH122+IF(DI56&lt;=Debt_Refinance_Date,Constr_Phase_Model!DI16,0)</f>
        <v>0</v>
      </c>
      <c r="DJ113" s="119">
        <f ca="1">DI122+IF(DJ56&lt;=Debt_Refinance_Date,Constr_Phase_Model!DJ16,0)</f>
        <v>0</v>
      </c>
      <c r="DK113" s="119">
        <f ca="1">DJ122+IF(DK56&lt;=Debt_Refinance_Date,Constr_Phase_Model!DK16,0)</f>
        <v>0</v>
      </c>
      <c r="DL113" s="119">
        <f ca="1">DK122+IF(DL56&lt;=Debt_Refinance_Date,Constr_Phase_Model!DL16,0)</f>
        <v>0</v>
      </c>
      <c r="DM113" s="119">
        <f ca="1">DL122+IF(DM56&lt;=Debt_Refinance_Date,Constr_Phase_Model!DM16,0)</f>
        <v>0</v>
      </c>
      <c r="DN113" s="119">
        <f ca="1">DM122+IF(DN56&lt;=Debt_Refinance_Date,Constr_Phase_Model!DN16,0)</f>
        <v>0</v>
      </c>
      <c r="DO113" s="119">
        <f ca="1">DN122+IF(DO56&lt;=Debt_Refinance_Date,Constr_Phase_Model!DO16,0)</f>
        <v>0</v>
      </c>
      <c r="DP113" s="119">
        <f ca="1">DO122+IF(DP56&lt;=Debt_Refinance_Date,Constr_Phase_Model!DP16,0)</f>
        <v>0</v>
      </c>
      <c r="DQ113" s="119">
        <f ca="1">DP122+IF(DQ56&lt;=Debt_Refinance_Date,Constr_Phase_Model!DQ16,0)</f>
        <v>0</v>
      </c>
      <c r="DR113" s="119">
        <f ca="1">DQ122+IF(DR56&lt;=Debt_Refinance_Date,Constr_Phase_Model!DR16,0)</f>
        <v>0</v>
      </c>
      <c r="DS113" s="119">
        <f ca="1">DR122+IF(DS56&lt;=Debt_Refinance_Date,Constr_Phase_Model!DS16,0)</f>
        <v>0</v>
      </c>
      <c r="DT113" s="119">
        <f ca="1">DS122+IF(DT56&lt;=Debt_Refinance_Date,Constr_Phase_Model!DT16,0)</f>
        <v>0</v>
      </c>
      <c r="DU113" s="119">
        <f ca="1">DT122+IF(DU56&lt;=Debt_Refinance_Date,Constr_Phase_Model!DU16,0)</f>
        <v>0</v>
      </c>
      <c r="DV113" s="119">
        <f ca="1">DU122+IF(DV56&lt;=Debt_Refinance_Date,Constr_Phase_Model!DV16,0)</f>
        <v>0</v>
      </c>
      <c r="DW113" s="119">
        <f ca="1">DV122+IF(DW56&lt;=Debt_Refinance_Date,Constr_Phase_Model!DW16,0)</f>
        <v>0</v>
      </c>
      <c r="DX113" s="119">
        <f ca="1">DW122+IF(DX56&lt;=Debt_Refinance_Date,Constr_Phase_Model!DX16,0)</f>
        <v>0</v>
      </c>
      <c r="DY113" s="119">
        <f ca="1">DX122+IF(DY56&lt;=Debt_Refinance_Date,Constr_Phase_Model!DY16,0)</f>
        <v>0</v>
      </c>
      <c r="DZ113" s="119">
        <f ca="1">DY122+IF(DZ56&lt;=Debt_Refinance_Date,Constr_Phase_Model!DZ16,0)</f>
        <v>0</v>
      </c>
      <c r="EA113" s="119">
        <f ca="1">DZ122+IF(EA56&lt;=Debt_Refinance_Date,Constr_Phase_Model!EA16,0)</f>
        <v>0</v>
      </c>
      <c r="EB113" s="119">
        <f ca="1">EA122+IF(EB56&lt;=Debt_Refinance_Date,Constr_Phase_Model!EB16,0)</f>
        <v>0</v>
      </c>
      <c r="EC113" s="119">
        <f ca="1">EB122+IF(EC56&lt;=Debt_Refinance_Date,Constr_Phase_Model!EC16,0)</f>
        <v>0</v>
      </c>
      <c r="ED113" s="119">
        <f ca="1">EC122+IF(ED56&lt;=Debt_Refinance_Date,Constr_Phase_Model!ED16,0)</f>
        <v>0</v>
      </c>
      <c r="EE113" s="119">
        <f ca="1">ED122+IF(EE56&lt;=Debt_Refinance_Date,Constr_Phase_Model!EE16,0)</f>
        <v>0</v>
      </c>
      <c r="EF113" s="119">
        <f ca="1">EE122+IF(EF56&lt;=Debt_Refinance_Date,Constr_Phase_Model!EF16,0)</f>
        <v>0</v>
      </c>
      <c r="EG113" s="119">
        <f ca="1">EF122+IF(EG56&lt;=Debt_Refinance_Date,Constr_Phase_Model!EG16,0)</f>
        <v>0</v>
      </c>
      <c r="EH113" s="119">
        <f ca="1">EG122+IF(EH56&lt;=Debt_Refinance_Date,Constr_Phase_Model!EH16,0)</f>
        <v>0</v>
      </c>
      <c r="EI113" s="119">
        <f ca="1">EH122+IF(EI56&lt;=Debt_Refinance_Date,Constr_Phase_Model!EI16,0)</f>
        <v>0</v>
      </c>
      <c r="EJ113" s="119">
        <f ca="1">EI122+IF(EJ56&lt;=Debt_Refinance_Date,Constr_Phase_Model!EJ16,0)</f>
        <v>0</v>
      </c>
      <c r="EK113" s="119">
        <f ca="1">EJ122+IF(EK56&lt;=Debt_Refinance_Date,Constr_Phase_Model!EK16,0)</f>
        <v>0</v>
      </c>
      <c r="EL113" s="119">
        <f ca="1">EK122+IF(EL56&lt;=Debt_Refinance_Date,Constr_Phase_Model!EL16,0)</f>
        <v>0</v>
      </c>
      <c r="EM113" s="119">
        <f ca="1">EL122+IF(EM56&lt;=Debt_Refinance_Date,Constr_Phase_Model!EM16,0)</f>
        <v>0</v>
      </c>
      <c r="EN113" s="119">
        <f ca="1">EM122+IF(EN56&lt;=Debt_Refinance_Date,Constr_Phase_Model!EN16,0)</f>
        <v>0</v>
      </c>
      <c r="EO113" s="119">
        <f ca="1">EN122+IF(EO56&lt;=Debt_Refinance_Date,Constr_Phase_Model!EO16,0)</f>
        <v>0</v>
      </c>
      <c r="EP113" s="119">
        <f ca="1">EO122+IF(EP56&lt;=Debt_Refinance_Date,Constr_Phase_Model!EP16,0)</f>
        <v>0</v>
      </c>
      <c r="EQ113" s="119">
        <f ca="1">EP122+IF(EQ56&lt;=Debt_Refinance_Date,Constr_Phase_Model!EQ16,0)</f>
        <v>0</v>
      </c>
      <c r="ER113" s="119">
        <f ca="1">EQ122+IF(ER56&lt;=Debt_Refinance_Date,Constr_Phase_Model!ER16,0)</f>
        <v>0</v>
      </c>
      <c r="ES113" s="119">
        <f ca="1">ER122+IF(ES56&lt;=Debt_Refinance_Date,Constr_Phase_Model!ES16,0)</f>
        <v>0</v>
      </c>
      <c r="ET113" s="119">
        <f ca="1">ES122+IF(ET56&lt;=Debt_Refinance_Date,Constr_Phase_Model!ET16,0)</f>
        <v>0</v>
      </c>
      <c r="EU113" s="119">
        <f ca="1">ET122+IF(EU56&lt;=Debt_Refinance_Date,Constr_Phase_Model!EU16,0)</f>
        <v>0</v>
      </c>
      <c r="EV113" s="119">
        <f ca="1">EU122+IF(EV56&lt;=Debt_Refinance_Date,Constr_Phase_Model!EV16,0)</f>
        <v>0</v>
      </c>
      <c r="EW113" s="119">
        <f ca="1">EV122+IF(EW56&lt;=Debt_Refinance_Date,Constr_Phase_Model!EW16,0)</f>
        <v>0</v>
      </c>
      <c r="EX113" s="119">
        <f ca="1">EW122+IF(EX56&lt;=Debt_Refinance_Date,Constr_Phase_Model!EX16,0)</f>
        <v>0</v>
      </c>
      <c r="EY113" s="119">
        <f ca="1">EX122+IF(EY56&lt;=Debt_Refinance_Date,Constr_Phase_Model!EY16,0)</f>
        <v>0</v>
      </c>
      <c r="EZ113" s="119">
        <f ca="1">EY122+IF(EZ56&lt;=Debt_Refinance_Date,Constr_Phase_Model!EZ16,0)</f>
        <v>0</v>
      </c>
      <c r="FA113" s="119">
        <f ca="1">EZ122+IF(FA56&lt;=Debt_Refinance_Date,Constr_Phase_Model!FA16,0)</f>
        <v>0</v>
      </c>
    </row>
    <row r="114" spans="3:157" outlineLevel="1" x14ac:dyDescent="0.2">
      <c r="C114" s="9" t="s">
        <v>395</v>
      </c>
      <c r="D114" s="21" t="s">
        <v>126</v>
      </c>
      <c r="E114" s="119"/>
      <c r="F114" s="119"/>
      <c r="G114" s="119">
        <f ca="1">(SUM(H84:I84)+SUM(H85:I85))*-1</f>
        <v>0</v>
      </c>
      <c r="H114" s="119">
        <f t="shared" ref="H114:BS114" ca="1" si="788">(SUM(I84:J84)+SUM(I85:J85))*-1</f>
        <v>0</v>
      </c>
      <c r="I114" s="119">
        <f t="shared" ca="1" si="788"/>
        <v>0</v>
      </c>
      <c r="J114" s="119">
        <f t="shared" ca="1" si="788"/>
        <v>0</v>
      </c>
      <c r="K114" s="119">
        <f t="shared" ca="1" si="788"/>
        <v>0</v>
      </c>
      <c r="L114" s="119">
        <f t="shared" ca="1" si="788"/>
        <v>0</v>
      </c>
      <c r="M114" s="119">
        <f t="shared" ca="1" si="788"/>
        <v>0</v>
      </c>
      <c r="N114" s="119">
        <f t="shared" ca="1" si="788"/>
        <v>0</v>
      </c>
      <c r="O114" s="119">
        <f t="shared" ca="1" si="788"/>
        <v>0</v>
      </c>
      <c r="P114" s="119">
        <f t="shared" ca="1" si="788"/>
        <v>0</v>
      </c>
      <c r="Q114" s="119">
        <f t="shared" ca="1" si="788"/>
        <v>0</v>
      </c>
      <c r="R114" s="119">
        <f t="shared" ca="1" si="788"/>
        <v>0</v>
      </c>
      <c r="S114" s="119">
        <f t="shared" ca="1" si="788"/>
        <v>0</v>
      </c>
      <c r="T114" s="119">
        <f t="shared" ca="1" si="788"/>
        <v>0</v>
      </c>
      <c r="U114" s="119">
        <f t="shared" ca="1" si="788"/>
        <v>0</v>
      </c>
      <c r="V114" s="119">
        <f t="shared" ca="1" si="788"/>
        <v>30.961047262086112</v>
      </c>
      <c r="W114" s="119">
        <f t="shared" ca="1" si="788"/>
        <v>60.613921606013371</v>
      </c>
      <c r="X114" s="119">
        <f t="shared" ca="1" si="788"/>
        <v>75.836377471800475</v>
      </c>
      <c r="Y114" s="119">
        <f t="shared" ca="1" si="788"/>
        <v>98.090555905587337</v>
      </c>
      <c r="Z114" s="119">
        <f t="shared" ca="1" si="788"/>
        <v>83.490245465521667</v>
      </c>
      <c r="AA114" s="119">
        <f t="shared" ca="1" si="788"/>
        <v>60.609639677549403</v>
      </c>
      <c r="AB114" s="119">
        <f t="shared" ca="1" si="788"/>
        <v>76.180229768537131</v>
      </c>
      <c r="AC114" s="119">
        <f t="shared" ca="1" si="788"/>
        <v>100.16185377753801</v>
      </c>
      <c r="AD114" s="119">
        <f t="shared" ca="1" si="788"/>
        <v>85.225228167989542</v>
      </c>
      <c r="AE114" s="119">
        <f t="shared" ca="1" si="788"/>
        <v>60.546712855064271</v>
      </c>
      <c r="AF114" s="119">
        <f t="shared" ca="1" si="788"/>
        <v>76.473392801155697</v>
      </c>
      <c r="AG114" s="119">
        <f t="shared" ca="1" si="788"/>
        <v>101.69134877188725</v>
      </c>
      <c r="AH114" s="119">
        <f t="shared" ca="1" si="788"/>
        <v>85.837444705681037</v>
      </c>
      <c r="AI114" s="119">
        <f t="shared" ca="1" si="788"/>
        <v>59.865680356170451</v>
      </c>
      <c r="AJ114" s="119">
        <f t="shared" ca="1" si="788"/>
        <v>75.986320558969794</v>
      </c>
      <c r="AK114" s="119">
        <f t="shared" ca="1" si="788"/>
        <v>102.88150489773605</v>
      </c>
      <c r="AL114" s="119">
        <f t="shared" ca="1" si="788"/>
        <v>87.405922866536557</v>
      </c>
      <c r="AM114" s="119">
        <f t="shared" ca="1" si="788"/>
        <v>59.937492978210116</v>
      </c>
      <c r="AN114" s="119">
        <f t="shared" ca="1" si="788"/>
        <v>76.426775703461146</v>
      </c>
      <c r="AO114" s="119">
        <f t="shared" ca="1" si="788"/>
        <v>104.6624334847447</v>
      </c>
      <c r="AP114" s="119">
        <f t="shared" ca="1" si="788"/>
        <v>88.452782125818558</v>
      </c>
      <c r="AQ114" s="119">
        <f t="shared" ca="1" si="788"/>
        <v>59.947727012086368</v>
      </c>
      <c r="AR114" s="119">
        <f t="shared" ca="1" si="788"/>
        <v>76.70192483825781</v>
      </c>
      <c r="AS114" s="119">
        <f t="shared" ca="1" si="788"/>
        <v>106.23555266915672</v>
      </c>
      <c r="AT114" s="119">
        <f t="shared" ca="1" si="788"/>
        <v>90.142218741602392</v>
      </c>
      <c r="AU114" s="119">
        <f t="shared" ca="1" si="788"/>
        <v>61.031680778879007</v>
      </c>
      <c r="AV114" s="119">
        <f t="shared" ca="1" si="788"/>
        <v>78.168986268683568</v>
      </c>
      <c r="AW114" s="119">
        <f t="shared" ca="1" si="788"/>
        <v>108.46732502142562</v>
      </c>
      <c r="AX114" s="119">
        <f t="shared" ca="1" si="788"/>
        <v>92.00322849700342</v>
      </c>
      <c r="AY114" s="119">
        <f t="shared" ca="1" si="788"/>
        <v>62.223173300640582</v>
      </c>
      <c r="AZ114" s="119">
        <f t="shared" ca="1" si="788"/>
        <v>79.752339692063572</v>
      </c>
      <c r="BA114" s="119">
        <f t="shared" ca="1" si="788"/>
        <v>109.76917354245573</v>
      </c>
      <c r="BB114" s="119">
        <f t="shared" ca="1" si="788"/>
        <v>91.968934891841855</v>
      </c>
      <c r="BC114" s="119">
        <f t="shared" ca="1" si="788"/>
        <v>61.629097213971818</v>
      </c>
      <c r="BD114" s="119">
        <f t="shared" ca="1" si="788"/>
        <v>79.274859717367804</v>
      </c>
      <c r="BE114" s="119">
        <f t="shared" ca="1" si="788"/>
        <v>110.47854820265644</v>
      </c>
      <c r="BF114" s="119">
        <f t="shared" ca="1" si="788"/>
        <v>93.509341857296533</v>
      </c>
      <c r="BG114" s="119">
        <f t="shared" ca="1" si="788"/>
        <v>62.822496156727198</v>
      </c>
      <c r="BH114" s="119">
        <f t="shared" ca="1" si="788"/>
        <v>80.871707176015946</v>
      </c>
      <c r="BI114" s="119">
        <f t="shared" ca="1" si="788"/>
        <v>112.78998807463896</v>
      </c>
      <c r="BJ114" s="119">
        <f t="shared" ca="1" si="788"/>
        <v>95.429795629744461</v>
      </c>
      <c r="BK114" s="119">
        <f t="shared" ca="1" si="788"/>
        <v>64.037133356766375</v>
      </c>
      <c r="BL114" s="119">
        <f t="shared" ca="1" si="788"/>
        <v>82.499009582021472</v>
      </c>
      <c r="BM114" s="119">
        <f t="shared" ca="1" si="788"/>
        <v>115.14824004281161</v>
      </c>
      <c r="BN114" s="119">
        <f t="shared" ca="1" si="788"/>
        <v>97.388045324621913</v>
      </c>
      <c r="BO114" s="119">
        <f t="shared" ca="1" si="788"/>
        <v>65.27332464834916</v>
      </c>
      <c r="BP114" s="119">
        <f t="shared" ca="1" si="788"/>
        <v>84.157293105661381</v>
      </c>
      <c r="BQ114" s="119">
        <f t="shared" ca="1" si="788"/>
        <v>117.55420447876877</v>
      </c>
      <c r="BR114" s="119">
        <f t="shared" ca="1" si="788"/>
        <v>99.384783188801833</v>
      </c>
      <c r="BS114" s="119">
        <f t="shared" ca="1" si="788"/>
        <v>66.531388316453132</v>
      </c>
      <c r="BT114" s="119">
        <f t="shared" ref="BT114:EE114" ca="1" si="789">(SUM(BU84:BV84)+SUM(BU85:BV85))*-1</f>
        <v>85.84709116188472</v>
      </c>
      <c r="BU114" s="119">
        <f t="shared" ca="1" si="789"/>
        <v>120.00879755320878</v>
      </c>
      <c r="BV114" s="119">
        <f t="shared" ca="1" si="789"/>
        <v>101.4207124580777</v>
      </c>
      <c r="BW114" s="119">
        <f t="shared" ca="1" si="789"/>
        <v>67.811645018595584</v>
      </c>
      <c r="BX114" s="119">
        <f t="shared" ca="1" si="789"/>
        <v>87.568944441221703</v>
      </c>
      <c r="BY114" s="119">
        <f t="shared" ca="1" si="789"/>
        <v>122.51295146222705</v>
      </c>
      <c r="BZ114" s="119">
        <f t="shared" ca="1" si="789"/>
        <v>103.4965474721164</v>
      </c>
      <c r="CA114" s="119">
        <f t="shared" ca="1" si="789"/>
        <v>69.114417701087362</v>
      </c>
      <c r="CB114" s="119">
        <f t="shared" ca="1" si="789"/>
        <v>89.323400937603182</v>
      </c>
      <c r="CC114" s="119">
        <f t="shared" ca="1" si="789"/>
        <v>123.5643726971378</v>
      </c>
      <c r="CD114" s="119">
        <f t="shared" ca="1" si="789"/>
        <v>102.63515010256521</v>
      </c>
      <c r="CE114" s="119">
        <f t="shared" ca="1" si="789"/>
        <v>67.655027679201496</v>
      </c>
      <c r="CF114" s="119">
        <f t="shared" ca="1" si="789"/>
        <v>87.887989316953508</v>
      </c>
      <c r="CG114" s="119">
        <f t="shared" ca="1" si="789"/>
        <v>123.68272613886913</v>
      </c>
      <c r="CH114" s="119">
        <f t="shared" ca="1" si="789"/>
        <v>104.18400262686652</v>
      </c>
      <c r="CI114" s="119">
        <f t="shared" ca="1" si="789"/>
        <v>68.939894024815189</v>
      </c>
      <c r="CJ114" s="119">
        <f t="shared" ca="1" si="789"/>
        <v>89.635357100367997</v>
      </c>
      <c r="CK114" s="119">
        <f t="shared" ca="1" si="789"/>
        <v>126.24972535979931</v>
      </c>
      <c r="CL114" s="119">
        <f t="shared" ca="1" si="789"/>
        <v>106.30163554171638</v>
      </c>
      <c r="CM114" s="119">
        <f t="shared" ca="1" si="789"/>
        <v>70.246791128053275</v>
      </c>
      <c r="CN114" s="119">
        <f t="shared" ca="1" si="789"/>
        <v>91.415318554882461</v>
      </c>
      <c r="CO114" s="119">
        <f t="shared" ca="1" si="789"/>
        <v>128.86807694242952</v>
      </c>
      <c r="CP114" s="119">
        <f t="shared" ca="1" si="789"/>
        <v>108.46025565181064</v>
      </c>
      <c r="CQ114" s="119">
        <f t="shared" ca="1" si="789"/>
        <v>71.576016468599661</v>
      </c>
      <c r="CR114" s="119">
        <f t="shared" ca="1" si="789"/>
        <v>93.228412138673463</v>
      </c>
      <c r="CS114" s="119">
        <f t="shared" ca="1" si="789"/>
        <v>131.53874840652594</v>
      </c>
      <c r="CT114" s="119">
        <f t="shared" ca="1" si="789"/>
        <v>69.836334793556901</v>
      </c>
      <c r="CU114" s="266">
        <f t="shared" ca="1" si="789"/>
        <v>0</v>
      </c>
      <c r="CV114" s="119">
        <f t="shared" ca="1" si="789"/>
        <v>0</v>
      </c>
      <c r="CW114" s="119">
        <f t="shared" ca="1" si="789"/>
        <v>0</v>
      </c>
      <c r="CX114" s="119">
        <f t="shared" ca="1" si="789"/>
        <v>0</v>
      </c>
      <c r="CY114" s="119">
        <f t="shared" ca="1" si="789"/>
        <v>0</v>
      </c>
      <c r="CZ114" s="119">
        <f t="shared" ca="1" si="789"/>
        <v>0</v>
      </c>
      <c r="DA114" s="119">
        <f t="shared" ca="1" si="789"/>
        <v>0</v>
      </c>
      <c r="DB114" s="119">
        <f t="shared" ca="1" si="789"/>
        <v>0</v>
      </c>
      <c r="DC114" s="119">
        <f t="shared" ca="1" si="789"/>
        <v>0</v>
      </c>
      <c r="DD114" s="119">
        <f t="shared" ca="1" si="789"/>
        <v>0</v>
      </c>
      <c r="DE114" s="119">
        <f t="shared" ca="1" si="789"/>
        <v>0</v>
      </c>
      <c r="DF114" s="119">
        <f t="shared" ca="1" si="789"/>
        <v>0</v>
      </c>
      <c r="DG114" s="119">
        <f t="shared" ca="1" si="789"/>
        <v>0</v>
      </c>
      <c r="DH114" s="119">
        <f t="shared" ca="1" si="789"/>
        <v>0</v>
      </c>
      <c r="DI114" s="119">
        <f t="shared" ca="1" si="789"/>
        <v>0</v>
      </c>
      <c r="DJ114" s="119">
        <f t="shared" ca="1" si="789"/>
        <v>0</v>
      </c>
      <c r="DK114" s="119">
        <f t="shared" ca="1" si="789"/>
        <v>0</v>
      </c>
      <c r="DL114" s="119">
        <f t="shared" ca="1" si="789"/>
        <v>0</v>
      </c>
      <c r="DM114" s="119">
        <f t="shared" ca="1" si="789"/>
        <v>0</v>
      </c>
      <c r="DN114" s="119">
        <f t="shared" ca="1" si="789"/>
        <v>0</v>
      </c>
      <c r="DO114" s="119">
        <f t="shared" ca="1" si="789"/>
        <v>0</v>
      </c>
      <c r="DP114" s="119">
        <f t="shared" ca="1" si="789"/>
        <v>0</v>
      </c>
      <c r="DQ114" s="119">
        <f t="shared" ca="1" si="789"/>
        <v>0</v>
      </c>
      <c r="DR114" s="119">
        <f t="shared" ca="1" si="789"/>
        <v>0</v>
      </c>
      <c r="DS114" s="119">
        <f t="shared" ca="1" si="789"/>
        <v>0</v>
      </c>
      <c r="DT114" s="119">
        <f t="shared" ca="1" si="789"/>
        <v>0</v>
      </c>
      <c r="DU114" s="119">
        <f t="shared" ca="1" si="789"/>
        <v>0</v>
      </c>
      <c r="DV114" s="119">
        <f t="shared" ca="1" si="789"/>
        <v>0</v>
      </c>
      <c r="DW114" s="119">
        <f t="shared" ca="1" si="789"/>
        <v>0</v>
      </c>
      <c r="DX114" s="119">
        <f t="shared" ca="1" si="789"/>
        <v>0</v>
      </c>
      <c r="DY114" s="119">
        <f t="shared" ca="1" si="789"/>
        <v>0</v>
      </c>
      <c r="DZ114" s="119">
        <f t="shared" ca="1" si="789"/>
        <v>0</v>
      </c>
      <c r="EA114" s="119">
        <f t="shared" ca="1" si="789"/>
        <v>0</v>
      </c>
      <c r="EB114" s="119">
        <f t="shared" ca="1" si="789"/>
        <v>0</v>
      </c>
      <c r="EC114" s="119">
        <f t="shared" ca="1" si="789"/>
        <v>0</v>
      </c>
      <c r="ED114" s="119">
        <f t="shared" ca="1" si="789"/>
        <v>0</v>
      </c>
      <c r="EE114" s="119">
        <f t="shared" ca="1" si="789"/>
        <v>0</v>
      </c>
      <c r="EF114" s="119">
        <f t="shared" ref="EF114:FA114" ca="1" si="790">(SUM(EG84:EH84)+SUM(EG85:EH85))*-1</f>
        <v>0</v>
      </c>
      <c r="EG114" s="119">
        <f t="shared" ca="1" si="790"/>
        <v>0</v>
      </c>
      <c r="EH114" s="119">
        <f t="shared" ca="1" si="790"/>
        <v>0</v>
      </c>
      <c r="EI114" s="119">
        <f t="shared" ca="1" si="790"/>
        <v>0</v>
      </c>
      <c r="EJ114" s="119">
        <f t="shared" ca="1" si="790"/>
        <v>0</v>
      </c>
      <c r="EK114" s="119">
        <f t="shared" ca="1" si="790"/>
        <v>0</v>
      </c>
      <c r="EL114" s="119">
        <f t="shared" ca="1" si="790"/>
        <v>0</v>
      </c>
      <c r="EM114" s="119">
        <f t="shared" ca="1" si="790"/>
        <v>0</v>
      </c>
      <c r="EN114" s="119">
        <f t="shared" ca="1" si="790"/>
        <v>0</v>
      </c>
      <c r="EO114" s="119">
        <f t="shared" ca="1" si="790"/>
        <v>0</v>
      </c>
      <c r="EP114" s="119">
        <f t="shared" ca="1" si="790"/>
        <v>0</v>
      </c>
      <c r="EQ114" s="119">
        <f t="shared" ca="1" si="790"/>
        <v>0</v>
      </c>
      <c r="ER114" s="119">
        <f t="shared" ca="1" si="790"/>
        <v>0</v>
      </c>
      <c r="ES114" s="119">
        <f t="shared" ca="1" si="790"/>
        <v>0</v>
      </c>
      <c r="ET114" s="119">
        <f t="shared" ca="1" si="790"/>
        <v>0</v>
      </c>
      <c r="EU114" s="119">
        <f t="shared" ca="1" si="790"/>
        <v>0</v>
      </c>
      <c r="EV114" s="119">
        <f t="shared" ca="1" si="790"/>
        <v>0</v>
      </c>
      <c r="EW114" s="119">
        <f t="shared" ca="1" si="790"/>
        <v>0</v>
      </c>
      <c r="EX114" s="119">
        <f t="shared" ca="1" si="790"/>
        <v>0</v>
      </c>
      <c r="EY114" s="119">
        <f t="shared" ca="1" si="790"/>
        <v>0</v>
      </c>
      <c r="EZ114" s="119">
        <f t="shared" ca="1" si="790"/>
        <v>0</v>
      </c>
      <c r="FA114" s="119">
        <f t="shared" si="790"/>
        <v>0</v>
      </c>
    </row>
    <row r="115" spans="3:157" outlineLevel="1" x14ac:dyDescent="0.2">
      <c r="C115" s="9" t="s">
        <v>435</v>
      </c>
      <c r="D115" s="21" t="s">
        <v>126</v>
      </c>
      <c r="E115" s="119"/>
      <c r="F115" s="119"/>
      <c r="G115" s="119">
        <f ca="1">MAX(0,G114-G113)</f>
        <v>0</v>
      </c>
      <c r="H115" s="119">
        <f t="shared" ref="H115:BS115" ca="1" si="791">MAX(0,H114-H113)</f>
        <v>0</v>
      </c>
      <c r="I115" s="119">
        <f t="shared" ca="1" si="791"/>
        <v>0</v>
      </c>
      <c r="J115" s="119">
        <f t="shared" ca="1" si="791"/>
        <v>0</v>
      </c>
      <c r="K115" s="119">
        <f t="shared" ca="1" si="791"/>
        <v>0</v>
      </c>
      <c r="L115" s="119">
        <f t="shared" ca="1" si="791"/>
        <v>0</v>
      </c>
      <c r="M115" s="119">
        <f t="shared" ca="1" si="791"/>
        <v>0</v>
      </c>
      <c r="N115" s="119">
        <f t="shared" ca="1" si="791"/>
        <v>0</v>
      </c>
      <c r="O115" s="119">
        <f t="shared" ca="1" si="791"/>
        <v>0</v>
      </c>
      <c r="P115" s="119">
        <f t="shared" ca="1" si="791"/>
        <v>0</v>
      </c>
      <c r="Q115" s="119">
        <f t="shared" ca="1" si="791"/>
        <v>0</v>
      </c>
      <c r="R115" s="119">
        <f t="shared" ca="1" si="791"/>
        <v>0</v>
      </c>
      <c r="S115" s="119">
        <f t="shared" ca="1" si="791"/>
        <v>0</v>
      </c>
      <c r="T115" s="119">
        <f t="shared" ca="1" si="791"/>
        <v>0</v>
      </c>
      <c r="U115" s="119">
        <f t="shared" ca="1" si="791"/>
        <v>0</v>
      </c>
      <c r="V115" s="119">
        <f t="shared" ca="1" si="791"/>
        <v>0</v>
      </c>
      <c r="W115" s="119">
        <f t="shared" ca="1" si="791"/>
        <v>0</v>
      </c>
      <c r="X115" s="119">
        <f t="shared" ca="1" si="791"/>
        <v>15.222455865787104</v>
      </c>
      <c r="Y115" s="119">
        <f t="shared" ca="1" si="791"/>
        <v>28.194318420731463</v>
      </c>
      <c r="Z115" s="119">
        <f t="shared" ca="1" si="791"/>
        <v>10.747261718394128</v>
      </c>
      <c r="AA115" s="119">
        <f t="shared" ca="1" si="791"/>
        <v>0</v>
      </c>
      <c r="AB115" s="119">
        <f t="shared" ca="1" si="791"/>
        <v>15.570590090987729</v>
      </c>
      <c r="AC115" s="119">
        <f t="shared" ca="1" si="791"/>
        <v>30.08337512600535</v>
      </c>
      <c r="AD115" s="119">
        <f t="shared" ca="1" si="791"/>
        <v>11.043417162780088</v>
      </c>
      <c r="AE115" s="119">
        <f t="shared" ca="1" si="791"/>
        <v>0</v>
      </c>
      <c r="AF115" s="119">
        <f t="shared" ca="1" si="791"/>
        <v>15.926679946091426</v>
      </c>
      <c r="AG115" s="119">
        <f t="shared" ca="1" si="791"/>
        <v>31.485730420771787</v>
      </c>
      <c r="AH115" s="119">
        <f t="shared" ca="1" si="791"/>
        <v>10.190200329956667</v>
      </c>
      <c r="AI115" s="119">
        <f t="shared" ca="1" si="791"/>
        <v>0</v>
      </c>
      <c r="AJ115" s="119">
        <f t="shared" ca="1" si="791"/>
        <v>16.120640202799343</v>
      </c>
      <c r="AK115" s="119">
        <f t="shared" ca="1" si="791"/>
        <v>33.335100380927997</v>
      </c>
      <c r="AL115" s="119">
        <f t="shared" ca="1" si="791"/>
        <v>11.673348878603832</v>
      </c>
      <c r="AM115" s="119">
        <f t="shared" ca="1" si="791"/>
        <v>0</v>
      </c>
      <c r="AN115" s="119">
        <f t="shared" ca="1" si="791"/>
        <v>16.48928272525103</v>
      </c>
      <c r="AO115" s="119">
        <f t="shared" ca="1" si="791"/>
        <v>34.85082386603888</v>
      </c>
      <c r="AP115" s="119">
        <f t="shared" ca="1" si="791"/>
        <v>11.232556346599836</v>
      </c>
      <c r="AQ115" s="119">
        <f t="shared" ca="1" si="791"/>
        <v>0</v>
      </c>
      <c r="AR115" s="119">
        <f t="shared" ca="1" si="791"/>
        <v>16.754197826171442</v>
      </c>
      <c r="AS115" s="119">
        <f t="shared" ca="1" si="791"/>
        <v>36.329873781613514</v>
      </c>
      <c r="AT115" s="119">
        <f t="shared" ca="1" si="791"/>
        <v>12.334017445770471</v>
      </c>
      <c r="AU115" s="119">
        <f t="shared" ca="1" si="791"/>
        <v>0</v>
      </c>
      <c r="AV115" s="119">
        <f t="shared" ca="1" si="791"/>
        <v>17.137305489804561</v>
      </c>
      <c r="AW115" s="119">
        <f t="shared" ca="1" si="791"/>
        <v>37.279561231280326</v>
      </c>
      <c r="AX115" s="119">
        <f t="shared" ca="1" si="791"/>
        <v>12.673867577957722</v>
      </c>
      <c r="AY115" s="119">
        <f t="shared" ca="1" si="791"/>
        <v>0</v>
      </c>
      <c r="AZ115" s="119">
        <f t="shared" ca="1" si="791"/>
        <v>17.52916639142299</v>
      </c>
      <c r="BA115" s="119">
        <f t="shared" ca="1" si="791"/>
        <v>37.188084966405768</v>
      </c>
      <c r="BB115" s="119">
        <f t="shared" ca="1" si="791"/>
        <v>11.09086453066854</v>
      </c>
      <c r="BC115" s="119">
        <f t="shared" ca="1" si="791"/>
        <v>0</v>
      </c>
      <c r="BD115" s="119">
        <f t="shared" ca="1" si="791"/>
        <v>17.645762503395986</v>
      </c>
      <c r="BE115" s="119">
        <f t="shared" ca="1" si="791"/>
        <v>38.572804874311757</v>
      </c>
      <c r="BF115" s="119">
        <f t="shared" ca="1" si="791"/>
        <v>13.403455314285907</v>
      </c>
      <c r="BG115" s="119">
        <f t="shared" ca="1" si="791"/>
        <v>0</v>
      </c>
      <c r="BH115" s="119">
        <f t="shared" ca="1" si="791"/>
        <v>18.049211019288748</v>
      </c>
      <c r="BI115" s="119">
        <f t="shared" ca="1" si="791"/>
        <v>39.488010030074676</v>
      </c>
      <c r="BJ115" s="119">
        <f t="shared" ca="1" si="791"/>
        <v>13.772721666658526</v>
      </c>
      <c r="BK115" s="119">
        <f t="shared" ca="1" si="791"/>
        <v>0</v>
      </c>
      <c r="BL115" s="119">
        <f t="shared" ca="1" si="791"/>
        <v>18.461876225255097</v>
      </c>
      <c r="BM115" s="119">
        <f t="shared" ca="1" si="791"/>
        <v>40.425052714267395</v>
      </c>
      <c r="BN115" s="119">
        <f t="shared" ca="1" si="791"/>
        <v>14.152178321627559</v>
      </c>
      <c r="BO115" s="119">
        <f t="shared" ca="1" si="791"/>
        <v>0</v>
      </c>
      <c r="BP115" s="119">
        <f t="shared" ca="1" si="791"/>
        <v>18.883968457312221</v>
      </c>
      <c r="BQ115" s="119">
        <f t="shared" ca="1" si="791"/>
        <v>41.384457348178003</v>
      </c>
      <c r="BR115" s="119">
        <f t="shared" ca="1" si="791"/>
        <v>14.542107002716961</v>
      </c>
      <c r="BS115" s="119">
        <f t="shared" ca="1" si="791"/>
        <v>0</v>
      </c>
      <c r="BT115" s="119">
        <f t="shared" ref="BT115:EE115" ca="1" si="792">MAX(0,BT114-BT113)</f>
        <v>19.315702845431588</v>
      </c>
      <c r="BU115" s="119">
        <f t="shared" ca="1" si="792"/>
        <v>42.36676103852048</v>
      </c>
      <c r="BV115" s="119">
        <f t="shared" ca="1" si="792"/>
        <v>14.942797236912924</v>
      </c>
      <c r="BW115" s="119">
        <f t="shared" ca="1" si="792"/>
        <v>0</v>
      </c>
      <c r="BX115" s="119">
        <f t="shared" ca="1" si="792"/>
        <v>19.757299422626119</v>
      </c>
      <c r="BY115" s="119">
        <f t="shared" ca="1" si="792"/>
        <v>43.372513886771429</v>
      </c>
      <c r="BZ115" s="119">
        <f t="shared" ca="1" si="792"/>
        <v>15.354546571233087</v>
      </c>
      <c r="CA115" s="119">
        <f t="shared" ca="1" si="792"/>
        <v>0</v>
      </c>
      <c r="CB115" s="119">
        <f t="shared" ca="1" si="792"/>
        <v>20.20898323651582</v>
      </c>
      <c r="CC115" s="119">
        <f t="shared" ca="1" si="792"/>
        <v>42.89903734827908</v>
      </c>
      <c r="CD115" s="119">
        <f t="shared" ca="1" si="792"/>
        <v>12.799797109687248</v>
      </c>
      <c r="CE115" s="119">
        <f t="shared" ca="1" si="792"/>
        <v>0</v>
      </c>
      <c r="CF115" s="119">
        <f t="shared" ca="1" si="792"/>
        <v>20.232961637752013</v>
      </c>
      <c r="CG115" s="119">
        <f t="shared" ca="1" si="792"/>
        <v>44.692713082315464</v>
      </c>
      <c r="CH115" s="119">
        <f t="shared" ca="1" si="792"/>
        <v>16.245573924625219</v>
      </c>
      <c r="CI115" s="119">
        <f t="shared" ca="1" si="792"/>
        <v>0</v>
      </c>
      <c r="CJ115" s="119">
        <f t="shared" ca="1" si="792"/>
        <v>20.695463075552809</v>
      </c>
      <c r="CK115" s="119">
        <f t="shared" ca="1" si="792"/>
        <v>45.754716768983954</v>
      </c>
      <c r="CL115" s="119">
        <f t="shared" ca="1" si="792"/>
        <v>16.693129516302335</v>
      </c>
      <c r="CM115" s="119">
        <f t="shared" ca="1" si="792"/>
        <v>0</v>
      </c>
      <c r="CN115" s="119">
        <f t="shared" ca="1" si="792"/>
        <v>21.168527426829186</v>
      </c>
      <c r="CO115" s="119">
        <f t="shared" ca="1" si="792"/>
        <v>46.842104064972688</v>
      </c>
      <c r="CP115" s="119">
        <f t="shared" ca="1" si="792"/>
        <v>17.153036586484575</v>
      </c>
      <c r="CQ115" s="119">
        <f t="shared" ca="1" si="792"/>
        <v>0</v>
      </c>
      <c r="CR115" s="119">
        <f t="shared" ca="1" si="792"/>
        <v>21.652395670073801</v>
      </c>
      <c r="CS115" s="119">
        <f t="shared" ca="1" si="792"/>
        <v>47.955485724568859</v>
      </c>
      <c r="CT115" s="119">
        <f t="shared" ca="1" si="792"/>
        <v>0</v>
      </c>
      <c r="CU115" s="266">
        <f t="shared" ca="1" si="792"/>
        <v>0</v>
      </c>
      <c r="CV115" s="119">
        <f t="shared" ca="1" si="792"/>
        <v>0</v>
      </c>
      <c r="CW115" s="119">
        <f t="shared" ca="1" si="792"/>
        <v>0</v>
      </c>
      <c r="CX115" s="119">
        <f t="shared" ca="1" si="792"/>
        <v>0</v>
      </c>
      <c r="CY115" s="119">
        <f t="shared" ca="1" si="792"/>
        <v>0</v>
      </c>
      <c r="CZ115" s="119">
        <f t="shared" ca="1" si="792"/>
        <v>0</v>
      </c>
      <c r="DA115" s="119">
        <f t="shared" ca="1" si="792"/>
        <v>0</v>
      </c>
      <c r="DB115" s="119">
        <f t="shared" ca="1" si="792"/>
        <v>0</v>
      </c>
      <c r="DC115" s="119">
        <f t="shared" ca="1" si="792"/>
        <v>0</v>
      </c>
      <c r="DD115" s="119">
        <f t="shared" ca="1" si="792"/>
        <v>0</v>
      </c>
      <c r="DE115" s="119">
        <f t="shared" ca="1" si="792"/>
        <v>0</v>
      </c>
      <c r="DF115" s="119">
        <f t="shared" ca="1" si="792"/>
        <v>0</v>
      </c>
      <c r="DG115" s="119">
        <f t="shared" ca="1" si="792"/>
        <v>0</v>
      </c>
      <c r="DH115" s="119">
        <f t="shared" ca="1" si="792"/>
        <v>0</v>
      </c>
      <c r="DI115" s="119">
        <f t="shared" ca="1" si="792"/>
        <v>0</v>
      </c>
      <c r="DJ115" s="119">
        <f t="shared" ca="1" si="792"/>
        <v>0</v>
      </c>
      <c r="DK115" s="119">
        <f t="shared" ca="1" si="792"/>
        <v>0</v>
      </c>
      <c r="DL115" s="119">
        <f t="shared" ca="1" si="792"/>
        <v>0</v>
      </c>
      <c r="DM115" s="119">
        <f t="shared" ca="1" si="792"/>
        <v>0</v>
      </c>
      <c r="DN115" s="119">
        <f t="shared" ca="1" si="792"/>
        <v>0</v>
      </c>
      <c r="DO115" s="119">
        <f t="shared" ca="1" si="792"/>
        <v>0</v>
      </c>
      <c r="DP115" s="119">
        <f t="shared" ca="1" si="792"/>
        <v>0</v>
      </c>
      <c r="DQ115" s="119">
        <f t="shared" ca="1" si="792"/>
        <v>0</v>
      </c>
      <c r="DR115" s="119">
        <f t="shared" ca="1" si="792"/>
        <v>0</v>
      </c>
      <c r="DS115" s="119">
        <f t="shared" ca="1" si="792"/>
        <v>0</v>
      </c>
      <c r="DT115" s="119">
        <f t="shared" ca="1" si="792"/>
        <v>0</v>
      </c>
      <c r="DU115" s="119">
        <f t="shared" ca="1" si="792"/>
        <v>0</v>
      </c>
      <c r="DV115" s="119">
        <f t="shared" ca="1" si="792"/>
        <v>0</v>
      </c>
      <c r="DW115" s="119">
        <f t="shared" ca="1" si="792"/>
        <v>0</v>
      </c>
      <c r="DX115" s="119">
        <f t="shared" ca="1" si="792"/>
        <v>0</v>
      </c>
      <c r="DY115" s="119">
        <f t="shared" ca="1" si="792"/>
        <v>0</v>
      </c>
      <c r="DZ115" s="119">
        <f t="shared" ca="1" si="792"/>
        <v>0</v>
      </c>
      <c r="EA115" s="119">
        <f t="shared" ca="1" si="792"/>
        <v>0</v>
      </c>
      <c r="EB115" s="119">
        <f t="shared" ca="1" si="792"/>
        <v>0</v>
      </c>
      <c r="EC115" s="119">
        <f t="shared" ca="1" si="792"/>
        <v>0</v>
      </c>
      <c r="ED115" s="119">
        <f t="shared" ca="1" si="792"/>
        <v>0</v>
      </c>
      <c r="EE115" s="119">
        <f t="shared" ca="1" si="792"/>
        <v>0</v>
      </c>
      <c r="EF115" s="119">
        <f t="shared" ref="EF115:FA115" ca="1" si="793">MAX(0,EF114-EF113)</f>
        <v>0</v>
      </c>
      <c r="EG115" s="119">
        <f t="shared" ca="1" si="793"/>
        <v>0</v>
      </c>
      <c r="EH115" s="119">
        <f t="shared" ca="1" si="793"/>
        <v>0</v>
      </c>
      <c r="EI115" s="119">
        <f t="shared" ca="1" si="793"/>
        <v>0</v>
      </c>
      <c r="EJ115" s="119">
        <f t="shared" ca="1" si="793"/>
        <v>0</v>
      </c>
      <c r="EK115" s="119">
        <f t="shared" ca="1" si="793"/>
        <v>0</v>
      </c>
      <c r="EL115" s="119">
        <f t="shared" ca="1" si="793"/>
        <v>0</v>
      </c>
      <c r="EM115" s="119">
        <f t="shared" ca="1" si="793"/>
        <v>0</v>
      </c>
      <c r="EN115" s="119">
        <f t="shared" ca="1" si="793"/>
        <v>0</v>
      </c>
      <c r="EO115" s="119">
        <f t="shared" ca="1" si="793"/>
        <v>0</v>
      </c>
      <c r="EP115" s="119">
        <f t="shared" ca="1" si="793"/>
        <v>0</v>
      </c>
      <c r="EQ115" s="119">
        <f t="shared" ca="1" si="793"/>
        <v>0</v>
      </c>
      <c r="ER115" s="119">
        <f t="shared" ca="1" si="793"/>
        <v>0</v>
      </c>
      <c r="ES115" s="119">
        <f t="shared" ca="1" si="793"/>
        <v>0</v>
      </c>
      <c r="ET115" s="119">
        <f t="shared" ca="1" si="793"/>
        <v>0</v>
      </c>
      <c r="EU115" s="119">
        <f t="shared" ca="1" si="793"/>
        <v>0</v>
      </c>
      <c r="EV115" s="119">
        <f t="shared" ca="1" si="793"/>
        <v>0</v>
      </c>
      <c r="EW115" s="119">
        <f t="shared" ca="1" si="793"/>
        <v>0</v>
      </c>
      <c r="EX115" s="119">
        <f t="shared" ca="1" si="793"/>
        <v>0</v>
      </c>
      <c r="EY115" s="119">
        <f t="shared" ca="1" si="793"/>
        <v>0</v>
      </c>
      <c r="EZ115" s="119">
        <f t="shared" ca="1" si="793"/>
        <v>0</v>
      </c>
      <c r="FA115" s="119">
        <f t="shared" ca="1" si="793"/>
        <v>0</v>
      </c>
    </row>
    <row r="116" spans="3:157" outlineLevel="1" x14ac:dyDescent="0.2">
      <c r="C116" s="9"/>
      <c r="D116" s="21"/>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c r="CF116" s="119"/>
      <c r="CG116" s="119"/>
      <c r="CH116" s="119"/>
      <c r="CI116" s="119"/>
      <c r="CJ116" s="119"/>
      <c r="CK116" s="119"/>
      <c r="CL116" s="119"/>
      <c r="CM116" s="119"/>
      <c r="CN116" s="119"/>
      <c r="CO116" s="119"/>
      <c r="CP116" s="119"/>
      <c r="CQ116" s="119"/>
      <c r="CR116" s="119"/>
      <c r="CS116" s="119"/>
      <c r="CT116" s="119"/>
      <c r="CU116" s="266"/>
      <c r="CV116" s="119"/>
      <c r="CW116" s="119"/>
      <c r="CX116" s="119"/>
      <c r="CY116" s="119"/>
      <c r="CZ116" s="119"/>
      <c r="DA116" s="119"/>
      <c r="DB116" s="119"/>
      <c r="DC116" s="119"/>
      <c r="DD116" s="119"/>
      <c r="DE116" s="119"/>
      <c r="DF116" s="119"/>
      <c r="DG116" s="119"/>
      <c r="DH116" s="119"/>
      <c r="DI116" s="119"/>
      <c r="DJ116" s="119"/>
      <c r="DK116" s="119"/>
      <c r="DL116" s="119"/>
      <c r="DM116" s="119"/>
      <c r="DN116" s="119"/>
      <c r="DO116" s="119"/>
      <c r="DP116" s="119"/>
      <c r="DQ116" s="119"/>
      <c r="DR116" s="119"/>
      <c r="DS116" s="119"/>
      <c r="DT116" s="119"/>
      <c r="DU116" s="119"/>
      <c r="DV116" s="119"/>
      <c r="DW116" s="119"/>
      <c r="DX116" s="119"/>
      <c r="DY116" s="119"/>
      <c r="DZ116" s="119"/>
      <c r="EA116" s="119"/>
      <c r="EB116" s="119"/>
      <c r="EC116" s="119"/>
      <c r="ED116" s="119"/>
      <c r="EE116" s="119"/>
      <c r="EF116" s="119"/>
      <c r="EG116" s="119"/>
      <c r="EH116" s="119"/>
      <c r="EI116" s="119"/>
      <c r="EJ116" s="119"/>
      <c r="EK116" s="119"/>
      <c r="EL116" s="119"/>
      <c r="EM116" s="119"/>
      <c r="EN116" s="119"/>
      <c r="EO116" s="119"/>
      <c r="EP116" s="119"/>
      <c r="EQ116" s="119"/>
      <c r="ER116" s="119"/>
      <c r="ES116" s="119"/>
      <c r="ET116" s="119"/>
      <c r="EU116" s="119"/>
      <c r="EV116" s="119"/>
      <c r="EW116" s="119"/>
      <c r="EX116" s="119"/>
      <c r="EY116" s="119"/>
      <c r="EZ116" s="119"/>
      <c r="FA116" s="119"/>
    </row>
    <row r="117" spans="3:157" outlineLevel="1" x14ac:dyDescent="0.2">
      <c r="C117" s="9" t="s">
        <v>434</v>
      </c>
      <c r="D117" s="21" t="s">
        <v>126</v>
      </c>
      <c r="E117" s="119"/>
      <c r="F117" s="119"/>
      <c r="G117" s="119">
        <f t="shared" ref="G117:AL117" ca="1" si="794">MIN(MAX(0,G114-G113),MAX(0,G93))</f>
        <v>0</v>
      </c>
      <c r="H117" s="119">
        <f t="shared" ca="1" si="794"/>
        <v>0</v>
      </c>
      <c r="I117" s="119">
        <f t="shared" ca="1" si="794"/>
        <v>0</v>
      </c>
      <c r="J117" s="119">
        <f t="shared" ca="1" si="794"/>
        <v>0</v>
      </c>
      <c r="K117" s="119">
        <f t="shared" ca="1" si="794"/>
        <v>0</v>
      </c>
      <c r="L117" s="119">
        <f t="shared" ca="1" si="794"/>
        <v>0</v>
      </c>
      <c r="M117" s="119">
        <f t="shared" ca="1" si="794"/>
        <v>0</v>
      </c>
      <c r="N117" s="119">
        <f t="shared" ca="1" si="794"/>
        <v>0</v>
      </c>
      <c r="O117" s="119">
        <f t="shared" ca="1" si="794"/>
        <v>0</v>
      </c>
      <c r="P117" s="119">
        <f t="shared" ca="1" si="794"/>
        <v>0</v>
      </c>
      <c r="Q117" s="119">
        <f t="shared" ca="1" si="794"/>
        <v>0</v>
      </c>
      <c r="R117" s="119">
        <f t="shared" ca="1" si="794"/>
        <v>0</v>
      </c>
      <c r="S117" s="119">
        <f t="shared" ca="1" si="794"/>
        <v>0</v>
      </c>
      <c r="T117" s="119">
        <f t="shared" ca="1" si="794"/>
        <v>0</v>
      </c>
      <c r="U117" s="119">
        <f t="shared" ca="1" si="794"/>
        <v>0</v>
      </c>
      <c r="V117" s="119">
        <f t="shared" ca="1" si="794"/>
        <v>0</v>
      </c>
      <c r="W117" s="119">
        <f t="shared" ca="1" si="794"/>
        <v>0</v>
      </c>
      <c r="X117" s="119">
        <f t="shared" ca="1" si="794"/>
        <v>9.2823158788425033</v>
      </c>
      <c r="Y117" s="119">
        <f t="shared" ca="1" si="794"/>
        <v>2.8467462622716724</v>
      </c>
      <c r="Z117" s="119">
        <f t="shared" ca="1" si="794"/>
        <v>10.747261718394128</v>
      </c>
      <c r="AA117" s="119">
        <f t="shared" ca="1" si="794"/>
        <v>0</v>
      </c>
      <c r="AB117" s="119">
        <f t="shared" ca="1" si="794"/>
        <v>9.468838973983253</v>
      </c>
      <c r="AC117" s="119">
        <f t="shared" ca="1" si="794"/>
        <v>4.1033323536767909</v>
      </c>
      <c r="AD117" s="119">
        <f t="shared" ca="1" si="794"/>
        <v>11.043417162780088</v>
      </c>
      <c r="AE117" s="119">
        <f t="shared" ca="1" si="794"/>
        <v>0</v>
      </c>
      <c r="AF117" s="119">
        <f t="shared" ca="1" si="794"/>
        <v>9.6589054960511902</v>
      </c>
      <c r="AG117" s="119">
        <f t="shared" ca="1" si="794"/>
        <v>5.4416260246089081</v>
      </c>
      <c r="AH117" s="119">
        <f t="shared" ca="1" si="794"/>
        <v>10.190200329956667</v>
      </c>
      <c r="AI117" s="119">
        <f t="shared" ca="1" si="794"/>
        <v>0</v>
      </c>
      <c r="AJ117" s="119">
        <f t="shared" ca="1" si="794"/>
        <v>9.6807241606376024</v>
      </c>
      <c r="AK117" s="119">
        <f t="shared" ca="1" si="794"/>
        <v>6.1861694711246749</v>
      </c>
      <c r="AL117" s="119">
        <f t="shared" ca="1" si="794"/>
        <v>11.673348878603832</v>
      </c>
      <c r="AM117" s="119">
        <f t="shared" ref="AM117:BR117" ca="1" si="795">MIN(MAX(0,AM114-AM113),MAX(0,AM93))</f>
        <v>0</v>
      </c>
      <c r="AN117" s="119">
        <f t="shared" ca="1" si="795"/>
        <v>9.8741166404956964</v>
      </c>
      <c r="AO117" s="119">
        <f t="shared" ca="1" si="795"/>
        <v>7.4086161605129064</v>
      </c>
      <c r="AP117" s="119">
        <f t="shared" ca="1" si="795"/>
        <v>11.232556346599836</v>
      </c>
      <c r="AQ117" s="119">
        <f t="shared" ca="1" si="795"/>
        <v>0</v>
      </c>
      <c r="AR117" s="119">
        <f t="shared" ca="1" si="795"/>
        <v>9.957951875456839</v>
      </c>
      <c r="AS117" s="119">
        <f t="shared" ca="1" si="795"/>
        <v>7.902522408288716</v>
      </c>
      <c r="AT117" s="119">
        <f t="shared" ca="1" si="795"/>
        <v>12.334017445770471</v>
      </c>
      <c r="AU117" s="119">
        <f t="shared" ca="1" si="795"/>
        <v>0</v>
      </c>
      <c r="AV117" s="119">
        <f t="shared" ca="1" si="795"/>
        <v>10.156083011266295</v>
      </c>
      <c r="AW117" s="119">
        <f t="shared" ca="1" si="795"/>
        <v>8.1415971289003988</v>
      </c>
      <c r="AX117" s="119">
        <f t="shared" ca="1" si="795"/>
        <v>12.673867577957722</v>
      </c>
      <c r="AY117" s="119">
        <f t="shared" ca="1" si="795"/>
        <v>0</v>
      </c>
      <c r="AZ117" s="119">
        <f t="shared" ca="1" si="795"/>
        <v>10.357915275409377</v>
      </c>
      <c r="BA117" s="119">
        <f t="shared" ca="1" si="795"/>
        <v>8.2969817851233483</v>
      </c>
      <c r="BB117" s="119">
        <f t="shared" ca="1" si="795"/>
        <v>11.09086453066854</v>
      </c>
      <c r="BC117" s="119">
        <f t="shared" ca="1" si="795"/>
        <v>0</v>
      </c>
      <c r="BD117" s="119">
        <f t="shared" ca="1" si="795"/>
        <v>10.276646114372866</v>
      </c>
      <c r="BE117" s="119">
        <f t="shared" ca="1" si="795"/>
        <v>8.2001432146659408</v>
      </c>
      <c r="BF117" s="119">
        <f t="shared" ca="1" si="795"/>
        <v>13.403455314285907</v>
      </c>
      <c r="BG117" s="119">
        <f t="shared" ca="1" si="795"/>
        <v>0</v>
      </c>
      <c r="BH117" s="119">
        <f t="shared" ca="1" si="795"/>
        <v>10.479481887837077</v>
      </c>
      <c r="BI117" s="119">
        <f t="shared" ca="1" si="795"/>
        <v>8.3550959185216591</v>
      </c>
      <c r="BJ117" s="119">
        <f t="shared" ca="1" si="795"/>
        <v>13.772721666658526</v>
      </c>
      <c r="BK117" s="119">
        <f t="shared" ca="1" si="795"/>
        <v>0</v>
      </c>
      <c r="BL117" s="119">
        <f t="shared" ca="1" si="795"/>
        <v>10.686053971777834</v>
      </c>
      <c r="BM117" s="119">
        <f t="shared" ca="1" si="795"/>
        <v>8.5126796744501476</v>
      </c>
      <c r="BN117" s="119">
        <f t="shared" ca="1" si="795"/>
        <v>14.152178321627559</v>
      </c>
      <c r="BO117" s="119">
        <f t="shared" ca="1" si="795"/>
        <v>0</v>
      </c>
      <c r="BP117" s="119">
        <f t="shared" ca="1" si="795"/>
        <v>10.896422482241597</v>
      </c>
      <c r="BQ117" s="119">
        <f t="shared" ca="1" si="795"/>
        <v>8.6729290554941159</v>
      </c>
      <c r="BR117" s="119">
        <f t="shared" ca="1" si="795"/>
        <v>14.542107002716961</v>
      </c>
      <c r="BS117" s="119">
        <f t="shared" ref="BS117:CX117" ca="1" si="796">MIN(MAX(0,BS114-BS113),MAX(0,BS93))</f>
        <v>0</v>
      </c>
      <c r="BT117" s="119">
        <f t="shared" ca="1" si="796"/>
        <v>11.110648198235172</v>
      </c>
      <c r="BU117" s="119">
        <f t="shared" ca="1" si="796"/>
        <v>8.8358787064764748</v>
      </c>
      <c r="BV117" s="119">
        <f t="shared" ca="1" si="796"/>
        <v>14.942797236912924</v>
      </c>
      <c r="BW117" s="119">
        <f t="shared" ca="1" si="796"/>
        <v>0</v>
      </c>
      <c r="BX117" s="119">
        <f t="shared" ca="1" si="796"/>
        <v>11.328792556860037</v>
      </c>
      <c r="BY117" s="119">
        <f t="shared" ca="1" si="796"/>
        <v>9.0015633254276892</v>
      </c>
      <c r="BZ117" s="119">
        <f t="shared" ca="1" si="796"/>
        <v>15.354546571233087</v>
      </c>
      <c r="CA117" s="119">
        <f t="shared" ca="1" si="796"/>
        <v>0</v>
      </c>
      <c r="CB117" s="119">
        <f t="shared" ca="1" si="796"/>
        <v>11.55091764777135</v>
      </c>
      <c r="CC117" s="119">
        <f t="shared" ca="1" si="796"/>
        <v>9.1700176440192394</v>
      </c>
      <c r="CD117" s="119">
        <f t="shared" ca="1" si="796"/>
        <v>12.799797109687248</v>
      </c>
      <c r="CE117" s="119">
        <f t="shared" ca="1" si="796"/>
        <v>0</v>
      </c>
      <c r="CF117" s="119">
        <f t="shared" ca="1" si="796"/>
        <v>11.334985377352169</v>
      </c>
      <c r="CG117" s="119">
        <f t="shared" ca="1" si="796"/>
        <v>8.948415645687632</v>
      </c>
      <c r="CH117" s="119">
        <f t="shared" ca="1" si="796"/>
        <v>16.245573924625219</v>
      </c>
      <c r="CI117" s="119">
        <f t="shared" ca="1" si="796"/>
        <v>0</v>
      </c>
      <c r="CJ117" s="119">
        <f t="shared" ca="1" si="796"/>
        <v>11.555114566000171</v>
      </c>
      <c r="CK117" s="119">
        <f t="shared" ca="1" si="796"/>
        <v>9.1134974345986883</v>
      </c>
      <c r="CL117" s="119">
        <f t="shared" ca="1" si="796"/>
        <v>16.693129516302335</v>
      </c>
      <c r="CM117" s="119">
        <f t="shared" ca="1" si="796"/>
        <v>0</v>
      </c>
      <c r="CN117" s="119">
        <f t="shared" ca="1" si="796"/>
        <v>11.779181749403556</v>
      </c>
      <c r="CO117" s="119">
        <f t="shared" ca="1" si="796"/>
        <v>9.2812461878692289</v>
      </c>
      <c r="CP117" s="119">
        <f t="shared" ca="1" si="796"/>
        <v>17.153036586484575</v>
      </c>
      <c r="CQ117" s="119">
        <f t="shared" ca="1" si="796"/>
        <v>0</v>
      </c>
      <c r="CR117" s="119">
        <f t="shared" ca="1" si="796"/>
        <v>12.007246213357426</v>
      </c>
      <c r="CS117" s="119">
        <f t="shared" ca="1" si="796"/>
        <v>9.4516918059765267</v>
      </c>
      <c r="CT117" s="119">
        <f t="shared" ca="1" si="796"/>
        <v>0</v>
      </c>
      <c r="CU117" s="266">
        <f t="shared" ca="1" si="796"/>
        <v>0</v>
      </c>
      <c r="CV117" s="119">
        <f t="shared" ca="1" si="796"/>
        <v>0</v>
      </c>
      <c r="CW117" s="119">
        <f t="shared" ca="1" si="796"/>
        <v>0</v>
      </c>
      <c r="CX117" s="119">
        <f t="shared" ca="1" si="796"/>
        <v>0</v>
      </c>
      <c r="CY117" s="119">
        <f t="shared" ref="CY117:ED117" ca="1" si="797">MIN(MAX(0,CY114-CY113),MAX(0,CY93))</f>
        <v>0</v>
      </c>
      <c r="CZ117" s="119">
        <f t="shared" ca="1" si="797"/>
        <v>0</v>
      </c>
      <c r="DA117" s="119">
        <f t="shared" ca="1" si="797"/>
        <v>0</v>
      </c>
      <c r="DB117" s="119">
        <f t="shared" ca="1" si="797"/>
        <v>0</v>
      </c>
      <c r="DC117" s="119">
        <f t="shared" ca="1" si="797"/>
        <v>0</v>
      </c>
      <c r="DD117" s="119">
        <f t="shared" ca="1" si="797"/>
        <v>0</v>
      </c>
      <c r="DE117" s="119">
        <f t="shared" ca="1" si="797"/>
        <v>0</v>
      </c>
      <c r="DF117" s="119">
        <f t="shared" ca="1" si="797"/>
        <v>0</v>
      </c>
      <c r="DG117" s="119">
        <f t="shared" ca="1" si="797"/>
        <v>0</v>
      </c>
      <c r="DH117" s="119">
        <f t="shared" ca="1" si="797"/>
        <v>0</v>
      </c>
      <c r="DI117" s="119">
        <f t="shared" ca="1" si="797"/>
        <v>0</v>
      </c>
      <c r="DJ117" s="119">
        <f t="shared" ca="1" si="797"/>
        <v>0</v>
      </c>
      <c r="DK117" s="119">
        <f t="shared" ca="1" si="797"/>
        <v>0</v>
      </c>
      <c r="DL117" s="119">
        <f t="shared" ca="1" si="797"/>
        <v>0</v>
      </c>
      <c r="DM117" s="119">
        <f t="shared" ca="1" si="797"/>
        <v>0</v>
      </c>
      <c r="DN117" s="119">
        <f t="shared" ca="1" si="797"/>
        <v>0</v>
      </c>
      <c r="DO117" s="119">
        <f t="shared" ca="1" si="797"/>
        <v>0</v>
      </c>
      <c r="DP117" s="119">
        <f t="shared" ca="1" si="797"/>
        <v>0</v>
      </c>
      <c r="DQ117" s="119">
        <f t="shared" ca="1" si="797"/>
        <v>0</v>
      </c>
      <c r="DR117" s="119">
        <f t="shared" ca="1" si="797"/>
        <v>0</v>
      </c>
      <c r="DS117" s="119">
        <f t="shared" ca="1" si="797"/>
        <v>0</v>
      </c>
      <c r="DT117" s="119">
        <f t="shared" ca="1" si="797"/>
        <v>0</v>
      </c>
      <c r="DU117" s="119">
        <f t="shared" ca="1" si="797"/>
        <v>0</v>
      </c>
      <c r="DV117" s="119">
        <f t="shared" ca="1" si="797"/>
        <v>0</v>
      </c>
      <c r="DW117" s="119">
        <f t="shared" ca="1" si="797"/>
        <v>0</v>
      </c>
      <c r="DX117" s="119">
        <f t="shared" ca="1" si="797"/>
        <v>0</v>
      </c>
      <c r="DY117" s="119">
        <f t="shared" ca="1" si="797"/>
        <v>0</v>
      </c>
      <c r="DZ117" s="119">
        <f t="shared" ca="1" si="797"/>
        <v>0</v>
      </c>
      <c r="EA117" s="119">
        <f t="shared" ca="1" si="797"/>
        <v>0</v>
      </c>
      <c r="EB117" s="119">
        <f t="shared" ca="1" si="797"/>
        <v>0</v>
      </c>
      <c r="EC117" s="119">
        <f t="shared" ca="1" si="797"/>
        <v>0</v>
      </c>
      <c r="ED117" s="119">
        <f t="shared" ca="1" si="797"/>
        <v>0</v>
      </c>
      <c r="EE117" s="119">
        <f t="shared" ref="EE117:FA117" ca="1" si="798">MIN(MAX(0,EE114-EE113),MAX(0,EE93))</f>
        <v>0</v>
      </c>
      <c r="EF117" s="119">
        <f t="shared" ca="1" si="798"/>
        <v>0</v>
      </c>
      <c r="EG117" s="119">
        <f t="shared" ca="1" si="798"/>
        <v>0</v>
      </c>
      <c r="EH117" s="119">
        <f t="shared" ca="1" si="798"/>
        <v>0</v>
      </c>
      <c r="EI117" s="119">
        <f t="shared" ca="1" si="798"/>
        <v>0</v>
      </c>
      <c r="EJ117" s="119">
        <f t="shared" ca="1" si="798"/>
        <v>0</v>
      </c>
      <c r="EK117" s="119">
        <f t="shared" ca="1" si="798"/>
        <v>0</v>
      </c>
      <c r="EL117" s="119">
        <f t="shared" ca="1" si="798"/>
        <v>0</v>
      </c>
      <c r="EM117" s="119">
        <f t="shared" ca="1" si="798"/>
        <v>0</v>
      </c>
      <c r="EN117" s="119">
        <f t="shared" ca="1" si="798"/>
        <v>0</v>
      </c>
      <c r="EO117" s="119">
        <f t="shared" ca="1" si="798"/>
        <v>0</v>
      </c>
      <c r="EP117" s="119">
        <f t="shared" ca="1" si="798"/>
        <v>0</v>
      </c>
      <c r="EQ117" s="119">
        <f t="shared" ca="1" si="798"/>
        <v>0</v>
      </c>
      <c r="ER117" s="119">
        <f t="shared" ca="1" si="798"/>
        <v>0</v>
      </c>
      <c r="ES117" s="119">
        <f t="shared" ca="1" si="798"/>
        <v>0</v>
      </c>
      <c r="ET117" s="119">
        <f t="shared" ca="1" si="798"/>
        <v>0</v>
      </c>
      <c r="EU117" s="119">
        <f t="shared" ca="1" si="798"/>
        <v>0</v>
      </c>
      <c r="EV117" s="119">
        <f t="shared" ca="1" si="798"/>
        <v>0</v>
      </c>
      <c r="EW117" s="119">
        <f t="shared" ca="1" si="798"/>
        <v>0</v>
      </c>
      <c r="EX117" s="119">
        <f t="shared" ca="1" si="798"/>
        <v>0</v>
      </c>
      <c r="EY117" s="119">
        <f t="shared" ca="1" si="798"/>
        <v>0</v>
      </c>
      <c r="EZ117" s="119">
        <f t="shared" ca="1" si="798"/>
        <v>0</v>
      </c>
      <c r="FA117" s="119">
        <f t="shared" ca="1" si="798"/>
        <v>0</v>
      </c>
    </row>
    <row r="118" spans="3:157" outlineLevel="1" x14ac:dyDescent="0.2">
      <c r="C118" s="9" t="s">
        <v>436</v>
      </c>
      <c r="D118" s="21" t="s">
        <v>126</v>
      </c>
      <c r="E118" s="119"/>
      <c r="F118" s="119"/>
      <c r="G118" s="119">
        <f t="shared" ref="G118:AL118" ca="1" si="799">MIN(MAX(0,-G93),G113)</f>
        <v>0</v>
      </c>
      <c r="H118" s="119">
        <f t="shared" ca="1" si="799"/>
        <v>0</v>
      </c>
      <c r="I118" s="119">
        <f t="shared" ca="1" si="799"/>
        <v>0</v>
      </c>
      <c r="J118" s="119">
        <f t="shared" ca="1" si="799"/>
        <v>0</v>
      </c>
      <c r="K118" s="119">
        <f t="shared" ca="1" si="799"/>
        <v>0</v>
      </c>
      <c r="L118" s="119">
        <f t="shared" ca="1" si="799"/>
        <v>0</v>
      </c>
      <c r="M118" s="119">
        <f t="shared" ca="1" si="799"/>
        <v>0</v>
      </c>
      <c r="N118" s="119">
        <f t="shared" ca="1" si="799"/>
        <v>0</v>
      </c>
      <c r="O118" s="119">
        <f t="shared" ca="1" si="799"/>
        <v>0</v>
      </c>
      <c r="P118" s="119">
        <f t="shared" ca="1" si="799"/>
        <v>0</v>
      </c>
      <c r="Q118" s="119">
        <f t="shared" ca="1" si="799"/>
        <v>0</v>
      </c>
      <c r="R118" s="119">
        <f t="shared" ca="1" si="799"/>
        <v>0</v>
      </c>
      <c r="S118" s="119">
        <f t="shared" ca="1" si="799"/>
        <v>0</v>
      </c>
      <c r="T118" s="119">
        <f t="shared" ca="1" si="799"/>
        <v>0</v>
      </c>
      <c r="U118" s="119">
        <f t="shared" ca="1" si="799"/>
        <v>0</v>
      </c>
      <c r="V118" s="119">
        <f t="shared" ca="1" si="799"/>
        <v>0</v>
      </c>
      <c r="W118" s="119">
        <f t="shared" ca="1" si="799"/>
        <v>0</v>
      </c>
      <c r="X118" s="119">
        <f t="shared" ca="1" si="799"/>
        <v>0</v>
      </c>
      <c r="Y118" s="119">
        <f t="shared" ca="1" si="799"/>
        <v>0</v>
      </c>
      <c r="Z118" s="119">
        <f t="shared" ca="1" si="799"/>
        <v>0</v>
      </c>
      <c r="AA118" s="119">
        <f t="shared" ca="1" si="799"/>
        <v>0</v>
      </c>
      <c r="AB118" s="119">
        <f t="shared" ca="1" si="799"/>
        <v>0</v>
      </c>
      <c r="AC118" s="119">
        <f t="shared" ca="1" si="799"/>
        <v>0</v>
      </c>
      <c r="AD118" s="119">
        <f t="shared" ca="1" si="799"/>
        <v>0</v>
      </c>
      <c r="AE118" s="119">
        <f t="shared" ca="1" si="799"/>
        <v>0</v>
      </c>
      <c r="AF118" s="119">
        <f t="shared" ca="1" si="799"/>
        <v>0</v>
      </c>
      <c r="AG118" s="119">
        <f t="shared" ca="1" si="799"/>
        <v>0</v>
      </c>
      <c r="AH118" s="119">
        <f t="shared" ca="1" si="799"/>
        <v>0</v>
      </c>
      <c r="AI118" s="119">
        <f t="shared" ca="1" si="799"/>
        <v>0</v>
      </c>
      <c r="AJ118" s="119">
        <f t="shared" ca="1" si="799"/>
        <v>0</v>
      </c>
      <c r="AK118" s="119">
        <f t="shared" ca="1" si="799"/>
        <v>0</v>
      </c>
      <c r="AL118" s="119">
        <f t="shared" ca="1" si="799"/>
        <v>0</v>
      </c>
      <c r="AM118" s="119">
        <f t="shared" ref="AM118:BR118" ca="1" si="800">MIN(MAX(0,-AM93),AM113)</f>
        <v>0</v>
      </c>
      <c r="AN118" s="119">
        <f t="shared" ca="1" si="800"/>
        <v>0</v>
      </c>
      <c r="AO118" s="119">
        <f t="shared" ca="1" si="800"/>
        <v>0</v>
      </c>
      <c r="AP118" s="119">
        <f t="shared" ca="1" si="800"/>
        <v>0</v>
      </c>
      <c r="AQ118" s="119">
        <f t="shared" ca="1" si="800"/>
        <v>0</v>
      </c>
      <c r="AR118" s="119">
        <f t="shared" ca="1" si="800"/>
        <v>0</v>
      </c>
      <c r="AS118" s="119">
        <f t="shared" ca="1" si="800"/>
        <v>0</v>
      </c>
      <c r="AT118" s="119">
        <f t="shared" ca="1" si="800"/>
        <v>0</v>
      </c>
      <c r="AU118" s="119">
        <f t="shared" ca="1" si="800"/>
        <v>0</v>
      </c>
      <c r="AV118" s="119">
        <f t="shared" ca="1" si="800"/>
        <v>0</v>
      </c>
      <c r="AW118" s="119">
        <f t="shared" ca="1" si="800"/>
        <v>0</v>
      </c>
      <c r="AX118" s="119">
        <f t="shared" ca="1" si="800"/>
        <v>0</v>
      </c>
      <c r="AY118" s="119">
        <f t="shared" ca="1" si="800"/>
        <v>0</v>
      </c>
      <c r="AZ118" s="119">
        <f t="shared" ca="1" si="800"/>
        <v>0</v>
      </c>
      <c r="BA118" s="119">
        <f t="shared" ca="1" si="800"/>
        <v>0</v>
      </c>
      <c r="BB118" s="119">
        <f t="shared" ca="1" si="800"/>
        <v>0</v>
      </c>
      <c r="BC118" s="119">
        <f t="shared" ca="1" si="800"/>
        <v>0</v>
      </c>
      <c r="BD118" s="119">
        <f t="shared" ca="1" si="800"/>
        <v>0</v>
      </c>
      <c r="BE118" s="119">
        <f t="shared" ca="1" si="800"/>
        <v>0</v>
      </c>
      <c r="BF118" s="119">
        <f t="shared" ca="1" si="800"/>
        <v>0</v>
      </c>
      <c r="BG118" s="119">
        <f t="shared" ca="1" si="800"/>
        <v>0</v>
      </c>
      <c r="BH118" s="119">
        <f t="shared" ca="1" si="800"/>
        <v>0</v>
      </c>
      <c r="BI118" s="119">
        <f t="shared" ca="1" si="800"/>
        <v>0</v>
      </c>
      <c r="BJ118" s="119">
        <f t="shared" ca="1" si="800"/>
        <v>0</v>
      </c>
      <c r="BK118" s="119">
        <f t="shared" ca="1" si="800"/>
        <v>0</v>
      </c>
      <c r="BL118" s="119">
        <f t="shared" ca="1" si="800"/>
        <v>0</v>
      </c>
      <c r="BM118" s="119">
        <f t="shared" ca="1" si="800"/>
        <v>0</v>
      </c>
      <c r="BN118" s="119">
        <f t="shared" ca="1" si="800"/>
        <v>0</v>
      </c>
      <c r="BO118" s="119">
        <f t="shared" ca="1" si="800"/>
        <v>0</v>
      </c>
      <c r="BP118" s="119">
        <f t="shared" ca="1" si="800"/>
        <v>0</v>
      </c>
      <c r="BQ118" s="119">
        <f t="shared" ca="1" si="800"/>
        <v>0</v>
      </c>
      <c r="BR118" s="119">
        <f t="shared" ca="1" si="800"/>
        <v>0</v>
      </c>
      <c r="BS118" s="119">
        <f t="shared" ref="BS118:CX118" ca="1" si="801">MIN(MAX(0,-BS93),BS113)</f>
        <v>0</v>
      </c>
      <c r="BT118" s="119">
        <f t="shared" ca="1" si="801"/>
        <v>0</v>
      </c>
      <c r="BU118" s="119">
        <f t="shared" ca="1" si="801"/>
        <v>0</v>
      </c>
      <c r="BV118" s="119">
        <f t="shared" ca="1" si="801"/>
        <v>0</v>
      </c>
      <c r="BW118" s="119">
        <f t="shared" ca="1" si="801"/>
        <v>0</v>
      </c>
      <c r="BX118" s="119">
        <f t="shared" ca="1" si="801"/>
        <v>0</v>
      </c>
      <c r="BY118" s="119">
        <f t="shared" ca="1" si="801"/>
        <v>0</v>
      </c>
      <c r="BZ118" s="119">
        <f t="shared" ca="1" si="801"/>
        <v>0</v>
      </c>
      <c r="CA118" s="119">
        <f t="shared" ca="1" si="801"/>
        <v>0</v>
      </c>
      <c r="CB118" s="119">
        <f t="shared" ca="1" si="801"/>
        <v>0</v>
      </c>
      <c r="CC118" s="119">
        <f t="shared" ca="1" si="801"/>
        <v>0</v>
      </c>
      <c r="CD118" s="119">
        <f t="shared" ca="1" si="801"/>
        <v>0</v>
      </c>
      <c r="CE118" s="119">
        <f t="shared" ca="1" si="801"/>
        <v>0</v>
      </c>
      <c r="CF118" s="119">
        <f t="shared" ca="1" si="801"/>
        <v>0</v>
      </c>
      <c r="CG118" s="119">
        <f t="shared" ca="1" si="801"/>
        <v>0</v>
      </c>
      <c r="CH118" s="119">
        <f t="shared" ca="1" si="801"/>
        <v>0</v>
      </c>
      <c r="CI118" s="119">
        <f t="shared" ca="1" si="801"/>
        <v>0</v>
      </c>
      <c r="CJ118" s="119">
        <f t="shared" ca="1" si="801"/>
        <v>0</v>
      </c>
      <c r="CK118" s="119">
        <f t="shared" ca="1" si="801"/>
        <v>0</v>
      </c>
      <c r="CL118" s="119">
        <f t="shared" ca="1" si="801"/>
        <v>0</v>
      </c>
      <c r="CM118" s="119">
        <f t="shared" ca="1" si="801"/>
        <v>0</v>
      </c>
      <c r="CN118" s="119">
        <f t="shared" ca="1" si="801"/>
        <v>0</v>
      </c>
      <c r="CO118" s="119">
        <f t="shared" ca="1" si="801"/>
        <v>0</v>
      </c>
      <c r="CP118" s="119">
        <f t="shared" ca="1" si="801"/>
        <v>0</v>
      </c>
      <c r="CQ118" s="119">
        <f t="shared" ca="1" si="801"/>
        <v>0</v>
      </c>
      <c r="CR118" s="119">
        <f t="shared" ca="1" si="801"/>
        <v>0</v>
      </c>
      <c r="CS118" s="119">
        <f t="shared" ca="1" si="801"/>
        <v>0</v>
      </c>
      <c r="CT118" s="119">
        <f t="shared" ca="1" si="801"/>
        <v>0</v>
      </c>
      <c r="CU118" s="266">
        <f t="shared" ca="1" si="801"/>
        <v>0</v>
      </c>
      <c r="CV118" s="119">
        <f t="shared" ca="1" si="801"/>
        <v>0</v>
      </c>
      <c r="CW118" s="119">
        <f t="shared" ca="1" si="801"/>
        <v>0</v>
      </c>
      <c r="CX118" s="119">
        <f t="shared" ca="1" si="801"/>
        <v>0</v>
      </c>
      <c r="CY118" s="119">
        <f t="shared" ref="CY118:ED118" ca="1" si="802">MIN(MAX(0,-CY93),CY113)</f>
        <v>0</v>
      </c>
      <c r="CZ118" s="119">
        <f t="shared" ca="1" si="802"/>
        <v>0</v>
      </c>
      <c r="DA118" s="119">
        <f t="shared" ca="1" si="802"/>
        <v>0</v>
      </c>
      <c r="DB118" s="119">
        <f t="shared" ca="1" si="802"/>
        <v>0</v>
      </c>
      <c r="DC118" s="119">
        <f t="shared" ca="1" si="802"/>
        <v>0</v>
      </c>
      <c r="DD118" s="119">
        <f t="shared" ca="1" si="802"/>
        <v>0</v>
      </c>
      <c r="DE118" s="119">
        <f t="shared" ca="1" si="802"/>
        <v>0</v>
      </c>
      <c r="DF118" s="119">
        <f t="shared" ca="1" si="802"/>
        <v>0</v>
      </c>
      <c r="DG118" s="119">
        <f t="shared" ca="1" si="802"/>
        <v>0</v>
      </c>
      <c r="DH118" s="119">
        <f t="shared" ca="1" si="802"/>
        <v>0</v>
      </c>
      <c r="DI118" s="119">
        <f t="shared" ca="1" si="802"/>
        <v>0</v>
      </c>
      <c r="DJ118" s="119">
        <f t="shared" ca="1" si="802"/>
        <v>0</v>
      </c>
      <c r="DK118" s="119">
        <f t="shared" ca="1" si="802"/>
        <v>0</v>
      </c>
      <c r="DL118" s="119">
        <f t="shared" ca="1" si="802"/>
        <v>0</v>
      </c>
      <c r="DM118" s="119">
        <f t="shared" ca="1" si="802"/>
        <v>0</v>
      </c>
      <c r="DN118" s="119">
        <f t="shared" ca="1" si="802"/>
        <v>0</v>
      </c>
      <c r="DO118" s="119">
        <f t="shared" ca="1" si="802"/>
        <v>0</v>
      </c>
      <c r="DP118" s="119">
        <f t="shared" ca="1" si="802"/>
        <v>0</v>
      </c>
      <c r="DQ118" s="119">
        <f t="shared" ca="1" si="802"/>
        <v>0</v>
      </c>
      <c r="DR118" s="119">
        <f t="shared" ca="1" si="802"/>
        <v>0</v>
      </c>
      <c r="DS118" s="119">
        <f t="shared" ca="1" si="802"/>
        <v>0</v>
      </c>
      <c r="DT118" s="119">
        <f t="shared" ca="1" si="802"/>
        <v>0</v>
      </c>
      <c r="DU118" s="119">
        <f t="shared" ca="1" si="802"/>
        <v>0</v>
      </c>
      <c r="DV118" s="119">
        <f t="shared" ca="1" si="802"/>
        <v>0</v>
      </c>
      <c r="DW118" s="119">
        <f t="shared" ca="1" si="802"/>
        <v>0</v>
      </c>
      <c r="DX118" s="119">
        <f t="shared" ca="1" si="802"/>
        <v>0</v>
      </c>
      <c r="DY118" s="119">
        <f t="shared" ca="1" si="802"/>
        <v>0</v>
      </c>
      <c r="DZ118" s="119">
        <f t="shared" ca="1" si="802"/>
        <v>0</v>
      </c>
      <c r="EA118" s="119">
        <f t="shared" ca="1" si="802"/>
        <v>0</v>
      </c>
      <c r="EB118" s="119">
        <f t="shared" ca="1" si="802"/>
        <v>0</v>
      </c>
      <c r="EC118" s="119">
        <f t="shared" ca="1" si="802"/>
        <v>0</v>
      </c>
      <c r="ED118" s="119">
        <f t="shared" ca="1" si="802"/>
        <v>0</v>
      </c>
      <c r="EE118" s="119">
        <f t="shared" ref="EE118:FA118" ca="1" si="803">MIN(MAX(0,-EE93),EE113)</f>
        <v>0</v>
      </c>
      <c r="EF118" s="119">
        <f t="shared" ca="1" si="803"/>
        <v>0</v>
      </c>
      <c r="EG118" s="119">
        <f t="shared" ca="1" si="803"/>
        <v>0</v>
      </c>
      <c r="EH118" s="119">
        <f t="shared" ca="1" si="803"/>
        <v>0</v>
      </c>
      <c r="EI118" s="119">
        <f t="shared" ca="1" si="803"/>
        <v>0</v>
      </c>
      <c r="EJ118" s="119">
        <f t="shared" ca="1" si="803"/>
        <v>0</v>
      </c>
      <c r="EK118" s="119">
        <f t="shared" ca="1" si="803"/>
        <v>0</v>
      </c>
      <c r="EL118" s="119">
        <f t="shared" ca="1" si="803"/>
        <v>0</v>
      </c>
      <c r="EM118" s="119">
        <f t="shared" ca="1" si="803"/>
        <v>0</v>
      </c>
      <c r="EN118" s="119">
        <f t="shared" ca="1" si="803"/>
        <v>0</v>
      </c>
      <c r="EO118" s="119">
        <f t="shared" ca="1" si="803"/>
        <v>0</v>
      </c>
      <c r="EP118" s="119">
        <f t="shared" ca="1" si="803"/>
        <v>0</v>
      </c>
      <c r="EQ118" s="119">
        <f t="shared" ca="1" si="803"/>
        <v>0</v>
      </c>
      <c r="ER118" s="119">
        <f t="shared" ca="1" si="803"/>
        <v>0</v>
      </c>
      <c r="ES118" s="119">
        <f t="shared" ca="1" si="803"/>
        <v>0</v>
      </c>
      <c r="ET118" s="119">
        <f t="shared" ca="1" si="803"/>
        <v>0</v>
      </c>
      <c r="EU118" s="119">
        <f t="shared" ca="1" si="803"/>
        <v>0</v>
      </c>
      <c r="EV118" s="119">
        <f t="shared" ca="1" si="803"/>
        <v>0</v>
      </c>
      <c r="EW118" s="119">
        <f t="shared" ca="1" si="803"/>
        <v>0</v>
      </c>
      <c r="EX118" s="119">
        <f t="shared" ca="1" si="803"/>
        <v>0</v>
      </c>
      <c r="EY118" s="119">
        <f t="shared" ca="1" si="803"/>
        <v>0</v>
      </c>
      <c r="EZ118" s="119">
        <f t="shared" ca="1" si="803"/>
        <v>0</v>
      </c>
      <c r="FA118" s="119">
        <f t="shared" ca="1" si="803"/>
        <v>0</v>
      </c>
    </row>
    <row r="119" spans="3:157" outlineLevel="1" x14ac:dyDescent="0.2">
      <c r="C119" s="9" t="s">
        <v>398</v>
      </c>
      <c r="D119" s="21" t="s">
        <v>126</v>
      </c>
      <c r="E119" s="119"/>
      <c r="F119" s="119"/>
      <c r="G119" s="119">
        <f t="shared" ref="G119:AL119" ca="1" si="804">G113+G117-G118</f>
        <v>0</v>
      </c>
      <c r="H119" s="119">
        <f t="shared" ca="1" si="804"/>
        <v>0</v>
      </c>
      <c r="I119" s="119">
        <f t="shared" ca="1" si="804"/>
        <v>0</v>
      </c>
      <c r="J119" s="119">
        <f t="shared" ca="1" si="804"/>
        <v>0</v>
      </c>
      <c r="K119" s="119">
        <f t="shared" ca="1" si="804"/>
        <v>0</v>
      </c>
      <c r="L119" s="119">
        <f t="shared" ca="1" si="804"/>
        <v>0</v>
      </c>
      <c r="M119" s="119">
        <f t="shared" ca="1" si="804"/>
        <v>0</v>
      </c>
      <c r="N119" s="119">
        <f t="shared" ca="1" si="804"/>
        <v>0</v>
      </c>
      <c r="O119" s="119">
        <f t="shared" ca="1" si="804"/>
        <v>0</v>
      </c>
      <c r="P119" s="119">
        <f t="shared" ca="1" si="804"/>
        <v>0</v>
      </c>
      <c r="Q119" s="119">
        <f t="shared" ca="1" si="804"/>
        <v>0</v>
      </c>
      <c r="R119" s="119">
        <f t="shared" ca="1" si="804"/>
        <v>0</v>
      </c>
      <c r="S119" s="119">
        <f t="shared" ca="1" si="804"/>
        <v>0</v>
      </c>
      <c r="T119" s="119">
        <f t="shared" ca="1" si="804"/>
        <v>0</v>
      </c>
      <c r="U119" s="119">
        <f t="shared" ca="1" si="804"/>
        <v>0</v>
      </c>
      <c r="V119" s="119">
        <f t="shared" ca="1" si="804"/>
        <v>30.961047262086112</v>
      </c>
      <c r="W119" s="119">
        <f t="shared" ca="1" si="804"/>
        <v>60.613921606013371</v>
      </c>
      <c r="X119" s="119">
        <f t="shared" ca="1" si="804"/>
        <v>69.896237484855874</v>
      </c>
      <c r="Y119" s="119">
        <f t="shared" ca="1" si="804"/>
        <v>72.742983747127539</v>
      </c>
      <c r="Z119" s="119">
        <f t="shared" ca="1" si="804"/>
        <v>83.490245465521667</v>
      </c>
      <c r="AA119" s="119">
        <f t="shared" ca="1" si="804"/>
        <v>83.490245465521667</v>
      </c>
      <c r="AB119" s="119">
        <f t="shared" ca="1" si="804"/>
        <v>70.078478651532663</v>
      </c>
      <c r="AC119" s="119">
        <f t="shared" ca="1" si="804"/>
        <v>74.181811005209454</v>
      </c>
      <c r="AD119" s="119">
        <f t="shared" ca="1" si="804"/>
        <v>85.225228167989542</v>
      </c>
      <c r="AE119" s="119">
        <f t="shared" ca="1" si="804"/>
        <v>85.225228167989542</v>
      </c>
      <c r="AF119" s="119">
        <f t="shared" ca="1" si="804"/>
        <v>70.205618351115461</v>
      </c>
      <c r="AG119" s="119">
        <f t="shared" ca="1" si="804"/>
        <v>75.64724437572437</v>
      </c>
      <c r="AH119" s="119">
        <f t="shared" ca="1" si="804"/>
        <v>85.837444705681037</v>
      </c>
      <c r="AI119" s="119">
        <f t="shared" ca="1" si="804"/>
        <v>85.837444705681037</v>
      </c>
      <c r="AJ119" s="119">
        <f t="shared" ca="1" si="804"/>
        <v>69.546404516808053</v>
      </c>
      <c r="AK119" s="119">
        <f t="shared" ca="1" si="804"/>
        <v>75.732573987932724</v>
      </c>
      <c r="AL119" s="119">
        <f t="shared" ca="1" si="804"/>
        <v>87.405922866536557</v>
      </c>
      <c r="AM119" s="119">
        <f t="shared" ref="AM119:BR119" ca="1" si="805">AM113+AM117-AM118</f>
        <v>87.405922866536557</v>
      </c>
      <c r="AN119" s="119">
        <f t="shared" ca="1" si="805"/>
        <v>69.811609618705816</v>
      </c>
      <c r="AO119" s="119">
        <f t="shared" ca="1" si="805"/>
        <v>77.220225779218723</v>
      </c>
      <c r="AP119" s="119">
        <f t="shared" ca="1" si="805"/>
        <v>88.452782125818558</v>
      </c>
      <c r="AQ119" s="119">
        <f t="shared" ca="1" si="805"/>
        <v>88.452782125818558</v>
      </c>
      <c r="AR119" s="119">
        <f t="shared" ca="1" si="805"/>
        <v>69.905678887543203</v>
      </c>
      <c r="AS119" s="119">
        <f t="shared" ca="1" si="805"/>
        <v>77.808201295831921</v>
      </c>
      <c r="AT119" s="119">
        <f t="shared" ca="1" si="805"/>
        <v>90.142218741602392</v>
      </c>
      <c r="AU119" s="119">
        <f t="shared" ca="1" si="805"/>
        <v>90.142218741602392</v>
      </c>
      <c r="AV119" s="119">
        <f t="shared" ca="1" si="805"/>
        <v>71.187763790145297</v>
      </c>
      <c r="AW119" s="119">
        <f t="shared" ca="1" si="805"/>
        <v>79.329360919045698</v>
      </c>
      <c r="AX119" s="119">
        <f t="shared" ca="1" si="805"/>
        <v>92.00322849700342</v>
      </c>
      <c r="AY119" s="119">
        <f t="shared" ca="1" si="805"/>
        <v>92.00322849700342</v>
      </c>
      <c r="AZ119" s="119">
        <f t="shared" ca="1" si="805"/>
        <v>72.581088576049964</v>
      </c>
      <c r="BA119" s="119">
        <f t="shared" ca="1" si="805"/>
        <v>80.878070361173314</v>
      </c>
      <c r="BB119" s="119">
        <f t="shared" ca="1" si="805"/>
        <v>91.968934891841855</v>
      </c>
      <c r="BC119" s="119">
        <f t="shared" ca="1" si="805"/>
        <v>91.968934891841855</v>
      </c>
      <c r="BD119" s="119">
        <f t="shared" ca="1" si="805"/>
        <v>71.905743328344684</v>
      </c>
      <c r="BE119" s="119">
        <f t="shared" ca="1" si="805"/>
        <v>80.105886543010627</v>
      </c>
      <c r="BF119" s="119">
        <f t="shared" ca="1" si="805"/>
        <v>93.509341857296533</v>
      </c>
      <c r="BG119" s="119">
        <f t="shared" ca="1" si="805"/>
        <v>93.509341857296533</v>
      </c>
      <c r="BH119" s="119">
        <f t="shared" ca="1" si="805"/>
        <v>73.301978044564279</v>
      </c>
      <c r="BI119" s="119">
        <f t="shared" ca="1" si="805"/>
        <v>81.657073963085935</v>
      </c>
      <c r="BJ119" s="119">
        <f t="shared" ca="1" si="805"/>
        <v>95.429795629744461</v>
      </c>
      <c r="BK119" s="119">
        <f t="shared" ca="1" si="805"/>
        <v>95.429795629744461</v>
      </c>
      <c r="BL119" s="119">
        <f t="shared" ca="1" si="805"/>
        <v>74.723187328544213</v>
      </c>
      <c r="BM119" s="119">
        <f t="shared" ca="1" si="805"/>
        <v>83.235867002994354</v>
      </c>
      <c r="BN119" s="119">
        <f t="shared" ca="1" si="805"/>
        <v>97.388045324621913</v>
      </c>
      <c r="BO119" s="119">
        <f t="shared" ca="1" si="805"/>
        <v>97.388045324621913</v>
      </c>
      <c r="BP119" s="119">
        <f t="shared" ca="1" si="805"/>
        <v>76.169747130590764</v>
      </c>
      <c r="BQ119" s="119">
        <f t="shared" ca="1" si="805"/>
        <v>84.842676186084873</v>
      </c>
      <c r="BR119" s="119">
        <f t="shared" ca="1" si="805"/>
        <v>99.384783188801833</v>
      </c>
      <c r="BS119" s="119">
        <f t="shared" ref="BS119:CX119" ca="1" si="806">BS113+BS117-BS118</f>
        <v>99.384783188801833</v>
      </c>
      <c r="BT119" s="119">
        <f t="shared" ca="1" si="806"/>
        <v>77.6420365146883</v>
      </c>
      <c r="BU119" s="119">
        <f t="shared" ca="1" si="806"/>
        <v>86.477915221164778</v>
      </c>
      <c r="BV119" s="119">
        <f t="shared" ca="1" si="806"/>
        <v>101.4207124580777</v>
      </c>
      <c r="BW119" s="119">
        <f t="shared" ca="1" si="806"/>
        <v>101.4207124580777</v>
      </c>
      <c r="BX119" s="119">
        <f t="shared" ca="1" si="806"/>
        <v>79.140437575455621</v>
      </c>
      <c r="BY119" s="119">
        <f t="shared" ca="1" si="806"/>
        <v>88.142000900883318</v>
      </c>
      <c r="BZ119" s="119">
        <f t="shared" ca="1" si="806"/>
        <v>103.4965474721164</v>
      </c>
      <c r="CA119" s="119">
        <f t="shared" ca="1" si="806"/>
        <v>103.4965474721164</v>
      </c>
      <c r="CB119" s="119">
        <f t="shared" ca="1" si="806"/>
        <v>80.665335348858719</v>
      </c>
      <c r="CC119" s="119">
        <f t="shared" ca="1" si="806"/>
        <v>89.835352992877958</v>
      </c>
      <c r="CD119" s="119">
        <f t="shared" ca="1" si="806"/>
        <v>102.63515010256521</v>
      </c>
      <c r="CE119" s="119">
        <f t="shared" ca="1" si="806"/>
        <v>102.63515010256521</v>
      </c>
      <c r="CF119" s="119">
        <f t="shared" ca="1" si="806"/>
        <v>78.990013056553664</v>
      </c>
      <c r="CG119" s="119">
        <f t="shared" ca="1" si="806"/>
        <v>87.938428702241296</v>
      </c>
      <c r="CH119" s="119">
        <f t="shared" ca="1" si="806"/>
        <v>104.18400262686652</v>
      </c>
      <c r="CI119" s="119">
        <f t="shared" ca="1" si="806"/>
        <v>104.18400262686652</v>
      </c>
      <c r="CJ119" s="119">
        <f t="shared" ca="1" si="806"/>
        <v>80.49500859081536</v>
      </c>
      <c r="CK119" s="119">
        <f t="shared" ca="1" si="806"/>
        <v>89.608506025414044</v>
      </c>
      <c r="CL119" s="119">
        <f t="shared" ca="1" si="806"/>
        <v>106.30163554171638</v>
      </c>
      <c r="CM119" s="119">
        <f t="shared" ca="1" si="806"/>
        <v>106.30163554171638</v>
      </c>
      <c r="CN119" s="119">
        <f t="shared" ca="1" si="806"/>
        <v>82.025972877456837</v>
      </c>
      <c r="CO119" s="119">
        <f t="shared" ca="1" si="806"/>
        <v>91.307219065326066</v>
      </c>
      <c r="CP119" s="119">
        <f t="shared" ca="1" si="806"/>
        <v>108.46025565181064</v>
      </c>
      <c r="CQ119" s="119">
        <f t="shared" ca="1" si="806"/>
        <v>108.46025565181064</v>
      </c>
      <c r="CR119" s="119">
        <f t="shared" ca="1" si="806"/>
        <v>83.583262681957081</v>
      </c>
      <c r="CS119" s="119">
        <f t="shared" ca="1" si="806"/>
        <v>93.034954487933604</v>
      </c>
      <c r="CT119" s="119">
        <f t="shared" ca="1" si="806"/>
        <v>93.034954487933604</v>
      </c>
      <c r="CU119" s="266">
        <f t="shared" ca="1" si="806"/>
        <v>69.836334793556901</v>
      </c>
      <c r="CV119" s="119">
        <f t="shared" ca="1" si="806"/>
        <v>0</v>
      </c>
      <c r="CW119" s="119">
        <f t="shared" ca="1" si="806"/>
        <v>0</v>
      </c>
      <c r="CX119" s="119">
        <f t="shared" ca="1" si="806"/>
        <v>0</v>
      </c>
      <c r="CY119" s="119">
        <f t="shared" ref="CY119:ED119" ca="1" si="807">CY113+CY117-CY118</f>
        <v>0</v>
      </c>
      <c r="CZ119" s="119">
        <f t="shared" ca="1" si="807"/>
        <v>0</v>
      </c>
      <c r="DA119" s="119">
        <f t="shared" ca="1" si="807"/>
        <v>0</v>
      </c>
      <c r="DB119" s="119">
        <f t="shared" ca="1" si="807"/>
        <v>0</v>
      </c>
      <c r="DC119" s="119">
        <f t="shared" ca="1" si="807"/>
        <v>0</v>
      </c>
      <c r="DD119" s="119">
        <f t="shared" ca="1" si="807"/>
        <v>0</v>
      </c>
      <c r="DE119" s="119">
        <f t="shared" ca="1" si="807"/>
        <v>0</v>
      </c>
      <c r="DF119" s="119">
        <f t="shared" ca="1" si="807"/>
        <v>0</v>
      </c>
      <c r="DG119" s="119">
        <f t="shared" ca="1" si="807"/>
        <v>0</v>
      </c>
      <c r="DH119" s="119">
        <f t="shared" ca="1" si="807"/>
        <v>0</v>
      </c>
      <c r="DI119" s="119">
        <f t="shared" ca="1" si="807"/>
        <v>0</v>
      </c>
      <c r="DJ119" s="119">
        <f t="shared" ca="1" si="807"/>
        <v>0</v>
      </c>
      <c r="DK119" s="119">
        <f t="shared" ca="1" si="807"/>
        <v>0</v>
      </c>
      <c r="DL119" s="119">
        <f t="shared" ca="1" si="807"/>
        <v>0</v>
      </c>
      <c r="DM119" s="119">
        <f t="shared" ca="1" si="807"/>
        <v>0</v>
      </c>
      <c r="DN119" s="119">
        <f t="shared" ca="1" si="807"/>
        <v>0</v>
      </c>
      <c r="DO119" s="119">
        <f t="shared" ca="1" si="807"/>
        <v>0</v>
      </c>
      <c r="DP119" s="119">
        <f t="shared" ca="1" si="807"/>
        <v>0</v>
      </c>
      <c r="DQ119" s="119">
        <f t="shared" ca="1" si="807"/>
        <v>0</v>
      </c>
      <c r="DR119" s="119">
        <f t="shared" ca="1" si="807"/>
        <v>0</v>
      </c>
      <c r="DS119" s="119">
        <f t="shared" ca="1" si="807"/>
        <v>0</v>
      </c>
      <c r="DT119" s="119">
        <f t="shared" ca="1" si="807"/>
        <v>0</v>
      </c>
      <c r="DU119" s="119">
        <f t="shared" ca="1" si="807"/>
        <v>0</v>
      </c>
      <c r="DV119" s="119">
        <f t="shared" ca="1" si="807"/>
        <v>0</v>
      </c>
      <c r="DW119" s="119">
        <f t="shared" ca="1" si="807"/>
        <v>0</v>
      </c>
      <c r="DX119" s="119">
        <f t="shared" ca="1" si="807"/>
        <v>0</v>
      </c>
      <c r="DY119" s="119">
        <f t="shared" ca="1" si="807"/>
        <v>0</v>
      </c>
      <c r="DZ119" s="119">
        <f t="shared" ca="1" si="807"/>
        <v>0</v>
      </c>
      <c r="EA119" s="119">
        <f t="shared" ca="1" si="807"/>
        <v>0</v>
      </c>
      <c r="EB119" s="119">
        <f t="shared" ca="1" si="807"/>
        <v>0</v>
      </c>
      <c r="EC119" s="119">
        <f t="shared" ca="1" si="807"/>
        <v>0</v>
      </c>
      <c r="ED119" s="119">
        <f t="shared" ca="1" si="807"/>
        <v>0</v>
      </c>
      <c r="EE119" s="119">
        <f t="shared" ref="EE119:FA119" ca="1" si="808">EE113+EE117-EE118</f>
        <v>0</v>
      </c>
      <c r="EF119" s="119">
        <f t="shared" ca="1" si="808"/>
        <v>0</v>
      </c>
      <c r="EG119" s="119">
        <f t="shared" ca="1" si="808"/>
        <v>0</v>
      </c>
      <c r="EH119" s="119">
        <f t="shared" ca="1" si="808"/>
        <v>0</v>
      </c>
      <c r="EI119" s="119">
        <f t="shared" ca="1" si="808"/>
        <v>0</v>
      </c>
      <c r="EJ119" s="119">
        <f t="shared" ca="1" si="808"/>
        <v>0</v>
      </c>
      <c r="EK119" s="119">
        <f t="shared" ca="1" si="808"/>
        <v>0</v>
      </c>
      <c r="EL119" s="119">
        <f t="shared" ca="1" si="808"/>
        <v>0</v>
      </c>
      <c r="EM119" s="119">
        <f t="shared" ca="1" si="808"/>
        <v>0</v>
      </c>
      <c r="EN119" s="119">
        <f t="shared" ca="1" si="808"/>
        <v>0</v>
      </c>
      <c r="EO119" s="119">
        <f t="shared" ca="1" si="808"/>
        <v>0</v>
      </c>
      <c r="EP119" s="119">
        <f t="shared" ca="1" si="808"/>
        <v>0</v>
      </c>
      <c r="EQ119" s="119">
        <f t="shared" ca="1" si="808"/>
        <v>0</v>
      </c>
      <c r="ER119" s="119">
        <f t="shared" ca="1" si="808"/>
        <v>0</v>
      </c>
      <c r="ES119" s="119">
        <f t="shared" ca="1" si="808"/>
        <v>0</v>
      </c>
      <c r="ET119" s="119">
        <f t="shared" ca="1" si="808"/>
        <v>0</v>
      </c>
      <c r="EU119" s="119">
        <f t="shared" ca="1" si="808"/>
        <v>0</v>
      </c>
      <c r="EV119" s="119">
        <f t="shared" ca="1" si="808"/>
        <v>0</v>
      </c>
      <c r="EW119" s="119">
        <f t="shared" ca="1" si="808"/>
        <v>0</v>
      </c>
      <c r="EX119" s="119">
        <f t="shared" ca="1" si="808"/>
        <v>0</v>
      </c>
      <c r="EY119" s="119">
        <f t="shared" ca="1" si="808"/>
        <v>0</v>
      </c>
      <c r="EZ119" s="119">
        <f t="shared" ca="1" si="808"/>
        <v>0</v>
      </c>
      <c r="FA119" s="119">
        <f t="shared" ca="1" si="808"/>
        <v>0</v>
      </c>
    </row>
    <row r="120" spans="3:157" outlineLevel="1" x14ac:dyDescent="0.2">
      <c r="C120" s="9"/>
      <c r="D120" s="21"/>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c r="CF120" s="119"/>
      <c r="CG120" s="119"/>
      <c r="CH120" s="119"/>
      <c r="CI120" s="119"/>
      <c r="CJ120" s="119"/>
      <c r="CK120" s="119"/>
      <c r="CL120" s="119"/>
      <c r="CM120" s="119"/>
      <c r="CN120" s="119"/>
      <c r="CO120" s="119"/>
      <c r="CP120" s="119"/>
      <c r="CQ120" s="119"/>
      <c r="CR120" s="119"/>
      <c r="CS120" s="119"/>
      <c r="CT120" s="119"/>
      <c r="CU120" s="266"/>
      <c r="CV120" s="119"/>
      <c r="CW120" s="119"/>
      <c r="CX120" s="119"/>
      <c r="CY120" s="119"/>
      <c r="CZ120" s="119"/>
      <c r="DA120" s="119"/>
      <c r="DB120" s="119"/>
      <c r="DC120" s="119"/>
      <c r="DD120" s="119"/>
      <c r="DE120" s="119"/>
      <c r="DF120" s="119"/>
      <c r="DG120" s="119"/>
      <c r="DH120" s="119"/>
      <c r="DI120" s="119"/>
      <c r="DJ120" s="119"/>
      <c r="DK120" s="119"/>
      <c r="DL120" s="119"/>
      <c r="DM120" s="119"/>
      <c r="DN120" s="119"/>
      <c r="DO120" s="119"/>
      <c r="DP120" s="119"/>
      <c r="DQ120" s="119"/>
      <c r="DR120" s="119"/>
      <c r="DS120" s="119"/>
      <c r="DT120" s="119"/>
      <c r="DU120" s="119"/>
      <c r="DV120" s="119"/>
      <c r="DW120" s="119"/>
      <c r="DX120" s="119"/>
      <c r="DY120" s="119"/>
      <c r="DZ120" s="119"/>
      <c r="EA120" s="119"/>
      <c r="EB120" s="119"/>
      <c r="EC120" s="119"/>
      <c r="ED120" s="119"/>
      <c r="EE120" s="119"/>
      <c r="EF120" s="119"/>
      <c r="EG120" s="119"/>
      <c r="EH120" s="119"/>
      <c r="EI120" s="119"/>
      <c r="EJ120" s="119"/>
      <c r="EK120" s="119"/>
      <c r="EL120" s="119"/>
      <c r="EM120" s="119"/>
      <c r="EN120" s="119"/>
      <c r="EO120" s="119"/>
      <c r="EP120" s="119"/>
      <c r="EQ120" s="119"/>
      <c r="ER120" s="119"/>
      <c r="ES120" s="119"/>
      <c r="ET120" s="119"/>
      <c r="EU120" s="119"/>
      <c r="EV120" s="119"/>
      <c r="EW120" s="119"/>
      <c r="EX120" s="119"/>
      <c r="EY120" s="119"/>
      <c r="EZ120" s="119"/>
      <c r="FA120" s="119"/>
    </row>
    <row r="121" spans="3:157" outlineLevel="1" x14ac:dyDescent="0.2">
      <c r="C121" s="9" t="s">
        <v>397</v>
      </c>
      <c r="D121" s="21" t="s">
        <v>126</v>
      </c>
      <c r="E121" s="119"/>
      <c r="F121" s="119"/>
      <c r="G121" s="119">
        <f t="shared" ref="G121:AL121" ca="1" si="809">MAX(G119-G114,0)</f>
        <v>0</v>
      </c>
      <c r="H121" s="119">
        <f t="shared" ca="1" si="809"/>
        <v>0</v>
      </c>
      <c r="I121" s="119">
        <f t="shared" ca="1" si="809"/>
        <v>0</v>
      </c>
      <c r="J121" s="119">
        <f t="shared" ca="1" si="809"/>
        <v>0</v>
      </c>
      <c r="K121" s="119">
        <f t="shared" ca="1" si="809"/>
        <v>0</v>
      </c>
      <c r="L121" s="119">
        <f t="shared" ca="1" si="809"/>
        <v>0</v>
      </c>
      <c r="M121" s="119">
        <f t="shared" ca="1" si="809"/>
        <v>0</v>
      </c>
      <c r="N121" s="119">
        <f t="shared" ca="1" si="809"/>
        <v>0</v>
      </c>
      <c r="O121" s="119">
        <f t="shared" ca="1" si="809"/>
        <v>0</v>
      </c>
      <c r="P121" s="119">
        <f t="shared" ca="1" si="809"/>
        <v>0</v>
      </c>
      <c r="Q121" s="119">
        <f t="shared" ca="1" si="809"/>
        <v>0</v>
      </c>
      <c r="R121" s="119">
        <f t="shared" ca="1" si="809"/>
        <v>0</v>
      </c>
      <c r="S121" s="119">
        <f t="shared" ca="1" si="809"/>
        <v>0</v>
      </c>
      <c r="T121" s="119">
        <f t="shared" ca="1" si="809"/>
        <v>0</v>
      </c>
      <c r="U121" s="119">
        <f t="shared" ca="1" si="809"/>
        <v>0</v>
      </c>
      <c r="V121" s="119">
        <f t="shared" ca="1" si="809"/>
        <v>0</v>
      </c>
      <c r="W121" s="119">
        <f t="shared" ca="1" si="809"/>
        <v>0</v>
      </c>
      <c r="X121" s="119">
        <f t="shared" ca="1" si="809"/>
        <v>0</v>
      </c>
      <c r="Y121" s="119">
        <f t="shared" ca="1" si="809"/>
        <v>0</v>
      </c>
      <c r="Z121" s="119">
        <f t="shared" ca="1" si="809"/>
        <v>0</v>
      </c>
      <c r="AA121" s="119">
        <f t="shared" ca="1" si="809"/>
        <v>22.880605787972264</v>
      </c>
      <c r="AB121" s="119">
        <f t="shared" ca="1" si="809"/>
        <v>0</v>
      </c>
      <c r="AC121" s="119">
        <f t="shared" ca="1" si="809"/>
        <v>0</v>
      </c>
      <c r="AD121" s="119">
        <f t="shared" ca="1" si="809"/>
        <v>0</v>
      </c>
      <c r="AE121" s="119">
        <f t="shared" ca="1" si="809"/>
        <v>24.678515312925271</v>
      </c>
      <c r="AF121" s="119">
        <f t="shared" ca="1" si="809"/>
        <v>0</v>
      </c>
      <c r="AG121" s="119">
        <f t="shared" ca="1" si="809"/>
        <v>0</v>
      </c>
      <c r="AH121" s="119">
        <f t="shared" ca="1" si="809"/>
        <v>0</v>
      </c>
      <c r="AI121" s="119">
        <f t="shared" ca="1" si="809"/>
        <v>25.971764349510586</v>
      </c>
      <c r="AJ121" s="119">
        <f t="shared" ca="1" si="809"/>
        <v>0</v>
      </c>
      <c r="AK121" s="119">
        <f t="shared" ca="1" si="809"/>
        <v>0</v>
      </c>
      <c r="AL121" s="119">
        <f t="shared" ca="1" si="809"/>
        <v>0</v>
      </c>
      <c r="AM121" s="119">
        <f t="shared" ref="AM121:BR121" ca="1" si="810">MAX(AM119-AM114,0)</f>
        <v>27.46842988832644</v>
      </c>
      <c r="AN121" s="119">
        <f t="shared" ca="1" si="810"/>
        <v>0</v>
      </c>
      <c r="AO121" s="119">
        <f t="shared" ca="1" si="810"/>
        <v>0</v>
      </c>
      <c r="AP121" s="119">
        <f t="shared" ca="1" si="810"/>
        <v>0</v>
      </c>
      <c r="AQ121" s="119">
        <f t="shared" ca="1" si="810"/>
        <v>28.50505511373219</v>
      </c>
      <c r="AR121" s="119">
        <f t="shared" ca="1" si="810"/>
        <v>0</v>
      </c>
      <c r="AS121" s="119">
        <f t="shared" ca="1" si="810"/>
        <v>0</v>
      </c>
      <c r="AT121" s="119">
        <f t="shared" ca="1" si="810"/>
        <v>0</v>
      </c>
      <c r="AU121" s="119">
        <f t="shared" ca="1" si="810"/>
        <v>29.110537962723384</v>
      </c>
      <c r="AV121" s="119">
        <f t="shared" ca="1" si="810"/>
        <v>0</v>
      </c>
      <c r="AW121" s="119">
        <f t="shared" ca="1" si="810"/>
        <v>0</v>
      </c>
      <c r="AX121" s="119">
        <f t="shared" ca="1" si="810"/>
        <v>0</v>
      </c>
      <c r="AY121" s="119">
        <f t="shared" ca="1" si="810"/>
        <v>29.780055196362838</v>
      </c>
      <c r="AZ121" s="119">
        <f t="shared" ca="1" si="810"/>
        <v>0</v>
      </c>
      <c r="BA121" s="119">
        <f t="shared" ca="1" si="810"/>
        <v>0</v>
      </c>
      <c r="BB121" s="119">
        <f t="shared" ca="1" si="810"/>
        <v>0</v>
      </c>
      <c r="BC121" s="119">
        <f t="shared" ca="1" si="810"/>
        <v>30.339837677870037</v>
      </c>
      <c r="BD121" s="119">
        <f t="shared" ca="1" si="810"/>
        <v>0</v>
      </c>
      <c r="BE121" s="119">
        <f t="shared" ca="1" si="810"/>
        <v>0</v>
      </c>
      <c r="BF121" s="119">
        <f t="shared" ca="1" si="810"/>
        <v>0</v>
      </c>
      <c r="BG121" s="119">
        <f t="shared" ca="1" si="810"/>
        <v>30.686845700569336</v>
      </c>
      <c r="BH121" s="119">
        <f t="shared" ca="1" si="810"/>
        <v>0</v>
      </c>
      <c r="BI121" s="119">
        <f t="shared" ca="1" si="810"/>
        <v>0</v>
      </c>
      <c r="BJ121" s="119">
        <f t="shared" ca="1" si="810"/>
        <v>0</v>
      </c>
      <c r="BK121" s="119">
        <f t="shared" ca="1" si="810"/>
        <v>31.392662272978086</v>
      </c>
      <c r="BL121" s="119">
        <f t="shared" ca="1" si="810"/>
        <v>0</v>
      </c>
      <c r="BM121" s="119">
        <f t="shared" ca="1" si="810"/>
        <v>0</v>
      </c>
      <c r="BN121" s="119">
        <f t="shared" ca="1" si="810"/>
        <v>0</v>
      </c>
      <c r="BO121" s="119">
        <f t="shared" ca="1" si="810"/>
        <v>32.114720676272754</v>
      </c>
      <c r="BP121" s="119">
        <f t="shared" ca="1" si="810"/>
        <v>0</v>
      </c>
      <c r="BQ121" s="119">
        <f t="shared" ca="1" si="810"/>
        <v>0</v>
      </c>
      <c r="BR121" s="119">
        <f t="shared" ca="1" si="810"/>
        <v>0</v>
      </c>
      <c r="BS121" s="119">
        <f t="shared" ref="BS121:CX121" ca="1" si="811">MAX(BS119-BS114,0)</f>
        <v>32.853394872348701</v>
      </c>
      <c r="BT121" s="119">
        <f t="shared" ca="1" si="811"/>
        <v>0</v>
      </c>
      <c r="BU121" s="119">
        <f t="shared" ca="1" si="811"/>
        <v>0</v>
      </c>
      <c r="BV121" s="119">
        <f t="shared" ca="1" si="811"/>
        <v>0</v>
      </c>
      <c r="BW121" s="119">
        <f t="shared" ca="1" si="811"/>
        <v>33.609067439482118</v>
      </c>
      <c r="BX121" s="119">
        <f t="shared" ca="1" si="811"/>
        <v>0</v>
      </c>
      <c r="BY121" s="119">
        <f t="shared" ca="1" si="811"/>
        <v>0</v>
      </c>
      <c r="BZ121" s="119">
        <f t="shared" ca="1" si="811"/>
        <v>0</v>
      </c>
      <c r="CA121" s="119">
        <f t="shared" ca="1" si="811"/>
        <v>34.382129771029042</v>
      </c>
      <c r="CB121" s="119">
        <f t="shared" ca="1" si="811"/>
        <v>0</v>
      </c>
      <c r="CC121" s="119">
        <f t="shared" ca="1" si="811"/>
        <v>0</v>
      </c>
      <c r="CD121" s="119">
        <f t="shared" ca="1" si="811"/>
        <v>0</v>
      </c>
      <c r="CE121" s="119">
        <f t="shared" ca="1" si="811"/>
        <v>34.98012242336371</v>
      </c>
      <c r="CF121" s="119">
        <f t="shared" ca="1" si="811"/>
        <v>0</v>
      </c>
      <c r="CG121" s="119">
        <f t="shared" ca="1" si="811"/>
        <v>0</v>
      </c>
      <c r="CH121" s="119">
        <f t="shared" ca="1" si="811"/>
        <v>0</v>
      </c>
      <c r="CI121" s="119">
        <f t="shared" ca="1" si="811"/>
        <v>35.244108602051327</v>
      </c>
      <c r="CJ121" s="119">
        <f t="shared" ca="1" si="811"/>
        <v>0</v>
      </c>
      <c r="CK121" s="119">
        <f t="shared" ca="1" si="811"/>
        <v>0</v>
      </c>
      <c r="CL121" s="119">
        <f t="shared" ca="1" si="811"/>
        <v>0</v>
      </c>
      <c r="CM121" s="119">
        <f t="shared" ca="1" si="811"/>
        <v>36.054844413663105</v>
      </c>
      <c r="CN121" s="119">
        <f t="shared" ca="1" si="811"/>
        <v>0</v>
      </c>
      <c r="CO121" s="119">
        <f t="shared" ca="1" si="811"/>
        <v>0</v>
      </c>
      <c r="CP121" s="119">
        <f t="shared" ca="1" si="811"/>
        <v>0</v>
      </c>
      <c r="CQ121" s="119">
        <f t="shared" ca="1" si="811"/>
        <v>36.88423918321098</v>
      </c>
      <c r="CR121" s="119">
        <f t="shared" ca="1" si="811"/>
        <v>0</v>
      </c>
      <c r="CS121" s="119">
        <f t="shared" ca="1" si="811"/>
        <v>0</v>
      </c>
      <c r="CT121" s="119">
        <f t="shared" ca="1" si="811"/>
        <v>23.198619694376703</v>
      </c>
      <c r="CU121" s="266">
        <f t="shared" ca="1" si="811"/>
        <v>69.836334793556901</v>
      </c>
      <c r="CV121" s="119">
        <f t="shared" ca="1" si="811"/>
        <v>0</v>
      </c>
      <c r="CW121" s="119">
        <f t="shared" ca="1" si="811"/>
        <v>0</v>
      </c>
      <c r="CX121" s="119">
        <f t="shared" ca="1" si="811"/>
        <v>0</v>
      </c>
      <c r="CY121" s="119">
        <f t="shared" ref="CY121:ED121" ca="1" si="812">MAX(CY119-CY114,0)</f>
        <v>0</v>
      </c>
      <c r="CZ121" s="119">
        <f t="shared" ca="1" si="812"/>
        <v>0</v>
      </c>
      <c r="DA121" s="119">
        <f t="shared" ca="1" si="812"/>
        <v>0</v>
      </c>
      <c r="DB121" s="119">
        <f t="shared" ca="1" si="812"/>
        <v>0</v>
      </c>
      <c r="DC121" s="119">
        <f t="shared" ca="1" si="812"/>
        <v>0</v>
      </c>
      <c r="DD121" s="119">
        <f t="shared" ca="1" si="812"/>
        <v>0</v>
      </c>
      <c r="DE121" s="119">
        <f t="shared" ca="1" si="812"/>
        <v>0</v>
      </c>
      <c r="DF121" s="119">
        <f t="shared" ca="1" si="812"/>
        <v>0</v>
      </c>
      <c r="DG121" s="119">
        <f t="shared" ca="1" si="812"/>
        <v>0</v>
      </c>
      <c r="DH121" s="119">
        <f t="shared" ca="1" si="812"/>
        <v>0</v>
      </c>
      <c r="DI121" s="119">
        <f t="shared" ca="1" si="812"/>
        <v>0</v>
      </c>
      <c r="DJ121" s="119">
        <f t="shared" ca="1" si="812"/>
        <v>0</v>
      </c>
      <c r="DK121" s="119">
        <f t="shared" ca="1" si="812"/>
        <v>0</v>
      </c>
      <c r="DL121" s="119">
        <f t="shared" ca="1" si="812"/>
        <v>0</v>
      </c>
      <c r="DM121" s="119">
        <f t="shared" ca="1" si="812"/>
        <v>0</v>
      </c>
      <c r="DN121" s="119">
        <f t="shared" ca="1" si="812"/>
        <v>0</v>
      </c>
      <c r="DO121" s="119">
        <f t="shared" ca="1" si="812"/>
        <v>0</v>
      </c>
      <c r="DP121" s="119">
        <f t="shared" ca="1" si="812"/>
        <v>0</v>
      </c>
      <c r="DQ121" s="119">
        <f t="shared" ca="1" si="812"/>
        <v>0</v>
      </c>
      <c r="DR121" s="119">
        <f t="shared" ca="1" si="812"/>
        <v>0</v>
      </c>
      <c r="DS121" s="119">
        <f t="shared" ca="1" si="812"/>
        <v>0</v>
      </c>
      <c r="DT121" s="119">
        <f t="shared" ca="1" si="812"/>
        <v>0</v>
      </c>
      <c r="DU121" s="119">
        <f t="shared" ca="1" si="812"/>
        <v>0</v>
      </c>
      <c r="DV121" s="119">
        <f t="shared" ca="1" si="812"/>
        <v>0</v>
      </c>
      <c r="DW121" s="119">
        <f t="shared" ca="1" si="812"/>
        <v>0</v>
      </c>
      <c r="DX121" s="119">
        <f t="shared" ca="1" si="812"/>
        <v>0</v>
      </c>
      <c r="DY121" s="119">
        <f t="shared" ca="1" si="812"/>
        <v>0</v>
      </c>
      <c r="DZ121" s="119">
        <f t="shared" ca="1" si="812"/>
        <v>0</v>
      </c>
      <c r="EA121" s="119">
        <f t="shared" ca="1" si="812"/>
        <v>0</v>
      </c>
      <c r="EB121" s="119">
        <f t="shared" ca="1" si="812"/>
        <v>0</v>
      </c>
      <c r="EC121" s="119">
        <f t="shared" ca="1" si="812"/>
        <v>0</v>
      </c>
      <c r="ED121" s="119">
        <f t="shared" ca="1" si="812"/>
        <v>0</v>
      </c>
      <c r="EE121" s="119">
        <f t="shared" ref="EE121:FA121" ca="1" si="813">MAX(EE119-EE114,0)</f>
        <v>0</v>
      </c>
      <c r="EF121" s="119">
        <f t="shared" ca="1" si="813"/>
        <v>0</v>
      </c>
      <c r="EG121" s="119">
        <f t="shared" ca="1" si="813"/>
        <v>0</v>
      </c>
      <c r="EH121" s="119">
        <f t="shared" ca="1" si="813"/>
        <v>0</v>
      </c>
      <c r="EI121" s="119">
        <f t="shared" ca="1" si="813"/>
        <v>0</v>
      </c>
      <c r="EJ121" s="119">
        <f t="shared" ca="1" si="813"/>
        <v>0</v>
      </c>
      <c r="EK121" s="119">
        <f t="shared" ca="1" si="813"/>
        <v>0</v>
      </c>
      <c r="EL121" s="119">
        <f t="shared" ca="1" si="813"/>
        <v>0</v>
      </c>
      <c r="EM121" s="119">
        <f t="shared" ca="1" si="813"/>
        <v>0</v>
      </c>
      <c r="EN121" s="119">
        <f t="shared" ca="1" si="813"/>
        <v>0</v>
      </c>
      <c r="EO121" s="119">
        <f t="shared" ca="1" si="813"/>
        <v>0</v>
      </c>
      <c r="EP121" s="119">
        <f t="shared" ca="1" si="813"/>
        <v>0</v>
      </c>
      <c r="EQ121" s="119">
        <f t="shared" ca="1" si="813"/>
        <v>0</v>
      </c>
      <c r="ER121" s="119">
        <f t="shared" ca="1" si="813"/>
        <v>0</v>
      </c>
      <c r="ES121" s="119">
        <f t="shared" ca="1" si="813"/>
        <v>0</v>
      </c>
      <c r="ET121" s="119">
        <f t="shared" ca="1" si="813"/>
        <v>0</v>
      </c>
      <c r="EU121" s="119">
        <f t="shared" ca="1" si="813"/>
        <v>0</v>
      </c>
      <c r="EV121" s="119">
        <f t="shared" ca="1" si="813"/>
        <v>0</v>
      </c>
      <c r="EW121" s="119">
        <f t="shared" ca="1" si="813"/>
        <v>0</v>
      </c>
      <c r="EX121" s="119">
        <f t="shared" ca="1" si="813"/>
        <v>0</v>
      </c>
      <c r="EY121" s="119">
        <f t="shared" ca="1" si="813"/>
        <v>0</v>
      </c>
      <c r="EZ121" s="119">
        <f t="shared" ca="1" si="813"/>
        <v>0</v>
      </c>
      <c r="FA121" s="119">
        <f t="shared" ca="1" si="813"/>
        <v>0</v>
      </c>
    </row>
    <row r="122" spans="3:157" outlineLevel="1" x14ac:dyDescent="0.2">
      <c r="C122" s="9" t="s">
        <v>394</v>
      </c>
      <c r="D122" s="21" t="s">
        <v>126</v>
      </c>
      <c r="E122" s="119"/>
      <c r="F122" s="285">
        <v>0</v>
      </c>
      <c r="G122" s="119">
        <f t="shared" ref="G122:AM122" ca="1" si="814">G119-G121</f>
        <v>0</v>
      </c>
      <c r="H122" s="119">
        <f t="shared" ca="1" si="814"/>
        <v>0</v>
      </c>
      <c r="I122" s="119">
        <f t="shared" ca="1" si="814"/>
        <v>0</v>
      </c>
      <c r="J122" s="119">
        <f t="shared" ca="1" si="814"/>
        <v>0</v>
      </c>
      <c r="K122" s="119">
        <f t="shared" ca="1" si="814"/>
        <v>0</v>
      </c>
      <c r="L122" s="119">
        <f t="shared" ca="1" si="814"/>
        <v>0</v>
      </c>
      <c r="M122" s="119">
        <f t="shared" ca="1" si="814"/>
        <v>0</v>
      </c>
      <c r="N122" s="119">
        <f t="shared" ca="1" si="814"/>
        <v>0</v>
      </c>
      <c r="O122" s="119">
        <f t="shared" ca="1" si="814"/>
        <v>0</v>
      </c>
      <c r="P122" s="119">
        <f t="shared" ca="1" si="814"/>
        <v>0</v>
      </c>
      <c r="Q122" s="119">
        <f t="shared" ca="1" si="814"/>
        <v>0</v>
      </c>
      <c r="R122" s="119">
        <f t="shared" ca="1" si="814"/>
        <v>0</v>
      </c>
      <c r="S122" s="119">
        <f t="shared" ca="1" si="814"/>
        <v>0</v>
      </c>
      <c r="T122" s="119">
        <f t="shared" ca="1" si="814"/>
        <v>0</v>
      </c>
      <c r="U122" s="119">
        <f t="shared" ca="1" si="814"/>
        <v>0</v>
      </c>
      <c r="V122" s="119">
        <f t="shared" ca="1" si="814"/>
        <v>30.961047262086112</v>
      </c>
      <c r="W122" s="119">
        <f t="shared" ca="1" si="814"/>
        <v>60.613921606013371</v>
      </c>
      <c r="X122" s="119">
        <f t="shared" ca="1" si="814"/>
        <v>69.896237484855874</v>
      </c>
      <c r="Y122" s="119">
        <f t="shared" ca="1" si="814"/>
        <v>72.742983747127539</v>
      </c>
      <c r="Z122" s="119">
        <f t="shared" ca="1" si="814"/>
        <v>83.490245465521667</v>
      </c>
      <c r="AA122" s="119">
        <f t="shared" ca="1" si="814"/>
        <v>60.609639677549403</v>
      </c>
      <c r="AB122" s="119">
        <f t="shared" ca="1" si="814"/>
        <v>70.078478651532663</v>
      </c>
      <c r="AC122" s="119">
        <f t="shared" ca="1" si="814"/>
        <v>74.181811005209454</v>
      </c>
      <c r="AD122" s="119">
        <f t="shared" ca="1" si="814"/>
        <v>85.225228167989542</v>
      </c>
      <c r="AE122" s="119">
        <f t="shared" ca="1" si="814"/>
        <v>60.546712855064271</v>
      </c>
      <c r="AF122" s="119">
        <f t="shared" ca="1" si="814"/>
        <v>70.205618351115461</v>
      </c>
      <c r="AG122" s="119">
        <f t="shared" ca="1" si="814"/>
        <v>75.64724437572437</v>
      </c>
      <c r="AH122" s="119">
        <f t="shared" ca="1" si="814"/>
        <v>85.837444705681037</v>
      </c>
      <c r="AI122" s="119">
        <f t="shared" ca="1" si="814"/>
        <v>59.865680356170451</v>
      </c>
      <c r="AJ122" s="119">
        <f t="shared" ca="1" si="814"/>
        <v>69.546404516808053</v>
      </c>
      <c r="AK122" s="119">
        <f t="shared" ca="1" si="814"/>
        <v>75.732573987932724</v>
      </c>
      <c r="AL122" s="119">
        <f t="shared" ca="1" si="814"/>
        <v>87.405922866536557</v>
      </c>
      <c r="AM122" s="119">
        <f t="shared" ca="1" si="814"/>
        <v>59.937492978210116</v>
      </c>
      <c r="AN122" s="119">
        <f t="shared" ref="AN122:BS122" ca="1" si="815">AN119-AN121</f>
        <v>69.811609618705816</v>
      </c>
      <c r="AO122" s="119">
        <f t="shared" ca="1" si="815"/>
        <v>77.220225779218723</v>
      </c>
      <c r="AP122" s="119">
        <f t="shared" ca="1" si="815"/>
        <v>88.452782125818558</v>
      </c>
      <c r="AQ122" s="119">
        <f t="shared" ca="1" si="815"/>
        <v>59.947727012086368</v>
      </c>
      <c r="AR122" s="119">
        <f t="shared" ca="1" si="815"/>
        <v>69.905678887543203</v>
      </c>
      <c r="AS122" s="119">
        <f t="shared" ca="1" si="815"/>
        <v>77.808201295831921</v>
      </c>
      <c r="AT122" s="119">
        <f t="shared" ca="1" si="815"/>
        <v>90.142218741602392</v>
      </c>
      <c r="AU122" s="119">
        <f t="shared" ca="1" si="815"/>
        <v>61.031680778879007</v>
      </c>
      <c r="AV122" s="119">
        <f t="shared" ca="1" si="815"/>
        <v>71.187763790145297</v>
      </c>
      <c r="AW122" s="119">
        <f t="shared" ca="1" si="815"/>
        <v>79.329360919045698</v>
      </c>
      <c r="AX122" s="119">
        <f t="shared" ca="1" si="815"/>
        <v>92.00322849700342</v>
      </c>
      <c r="AY122" s="119">
        <f t="shared" ca="1" si="815"/>
        <v>62.223173300640582</v>
      </c>
      <c r="AZ122" s="119">
        <f t="shared" ca="1" si="815"/>
        <v>72.581088576049964</v>
      </c>
      <c r="BA122" s="119">
        <f t="shared" ca="1" si="815"/>
        <v>80.878070361173314</v>
      </c>
      <c r="BB122" s="119">
        <f t="shared" ca="1" si="815"/>
        <v>91.968934891841855</v>
      </c>
      <c r="BC122" s="119">
        <f t="shared" ca="1" si="815"/>
        <v>61.629097213971818</v>
      </c>
      <c r="BD122" s="119">
        <f t="shared" ca="1" si="815"/>
        <v>71.905743328344684</v>
      </c>
      <c r="BE122" s="119">
        <f t="shared" ca="1" si="815"/>
        <v>80.105886543010627</v>
      </c>
      <c r="BF122" s="119">
        <f t="shared" ca="1" si="815"/>
        <v>93.509341857296533</v>
      </c>
      <c r="BG122" s="119">
        <f t="shared" ca="1" si="815"/>
        <v>62.822496156727198</v>
      </c>
      <c r="BH122" s="119">
        <f t="shared" ca="1" si="815"/>
        <v>73.301978044564279</v>
      </c>
      <c r="BI122" s="119">
        <f t="shared" ca="1" si="815"/>
        <v>81.657073963085935</v>
      </c>
      <c r="BJ122" s="119">
        <f t="shared" ca="1" si="815"/>
        <v>95.429795629744461</v>
      </c>
      <c r="BK122" s="119">
        <f t="shared" ca="1" si="815"/>
        <v>64.037133356766375</v>
      </c>
      <c r="BL122" s="119">
        <f t="shared" ca="1" si="815"/>
        <v>74.723187328544213</v>
      </c>
      <c r="BM122" s="119">
        <f t="shared" ca="1" si="815"/>
        <v>83.235867002994354</v>
      </c>
      <c r="BN122" s="119">
        <f t="shared" ca="1" si="815"/>
        <v>97.388045324621913</v>
      </c>
      <c r="BO122" s="119">
        <f t="shared" ca="1" si="815"/>
        <v>65.27332464834916</v>
      </c>
      <c r="BP122" s="119">
        <f t="shared" ca="1" si="815"/>
        <v>76.169747130590764</v>
      </c>
      <c r="BQ122" s="119">
        <f t="shared" ca="1" si="815"/>
        <v>84.842676186084873</v>
      </c>
      <c r="BR122" s="119">
        <f t="shared" ca="1" si="815"/>
        <v>99.384783188801833</v>
      </c>
      <c r="BS122" s="119">
        <f t="shared" ca="1" si="815"/>
        <v>66.531388316453132</v>
      </c>
      <c r="BT122" s="119">
        <f t="shared" ref="BT122:CY122" ca="1" si="816">BT119-BT121</f>
        <v>77.6420365146883</v>
      </c>
      <c r="BU122" s="119">
        <f t="shared" ca="1" si="816"/>
        <v>86.477915221164778</v>
      </c>
      <c r="BV122" s="119">
        <f t="shared" ca="1" si="816"/>
        <v>101.4207124580777</v>
      </c>
      <c r="BW122" s="119">
        <f t="shared" ca="1" si="816"/>
        <v>67.811645018595584</v>
      </c>
      <c r="BX122" s="119">
        <f t="shared" ca="1" si="816"/>
        <v>79.140437575455621</v>
      </c>
      <c r="BY122" s="119">
        <f t="shared" ca="1" si="816"/>
        <v>88.142000900883318</v>
      </c>
      <c r="BZ122" s="119">
        <f t="shared" ca="1" si="816"/>
        <v>103.4965474721164</v>
      </c>
      <c r="CA122" s="119">
        <f t="shared" ca="1" si="816"/>
        <v>69.114417701087362</v>
      </c>
      <c r="CB122" s="119">
        <f t="shared" ca="1" si="816"/>
        <v>80.665335348858719</v>
      </c>
      <c r="CC122" s="119">
        <f t="shared" ca="1" si="816"/>
        <v>89.835352992877958</v>
      </c>
      <c r="CD122" s="119">
        <f t="shared" ca="1" si="816"/>
        <v>102.63515010256521</v>
      </c>
      <c r="CE122" s="119">
        <f t="shared" ca="1" si="816"/>
        <v>67.655027679201496</v>
      </c>
      <c r="CF122" s="119">
        <f t="shared" ca="1" si="816"/>
        <v>78.990013056553664</v>
      </c>
      <c r="CG122" s="119">
        <f t="shared" ca="1" si="816"/>
        <v>87.938428702241296</v>
      </c>
      <c r="CH122" s="119">
        <f t="shared" ca="1" si="816"/>
        <v>104.18400262686652</v>
      </c>
      <c r="CI122" s="119">
        <f t="shared" ca="1" si="816"/>
        <v>68.939894024815189</v>
      </c>
      <c r="CJ122" s="119">
        <f t="shared" ca="1" si="816"/>
        <v>80.49500859081536</v>
      </c>
      <c r="CK122" s="119">
        <f t="shared" ca="1" si="816"/>
        <v>89.608506025414044</v>
      </c>
      <c r="CL122" s="119">
        <f t="shared" ca="1" si="816"/>
        <v>106.30163554171638</v>
      </c>
      <c r="CM122" s="119">
        <f t="shared" ca="1" si="816"/>
        <v>70.246791128053275</v>
      </c>
      <c r="CN122" s="119">
        <f t="shared" ca="1" si="816"/>
        <v>82.025972877456837</v>
      </c>
      <c r="CO122" s="119">
        <f t="shared" ca="1" si="816"/>
        <v>91.307219065326066</v>
      </c>
      <c r="CP122" s="119">
        <f t="shared" ca="1" si="816"/>
        <v>108.46025565181064</v>
      </c>
      <c r="CQ122" s="119">
        <f t="shared" ca="1" si="816"/>
        <v>71.576016468599661</v>
      </c>
      <c r="CR122" s="119">
        <f t="shared" ca="1" si="816"/>
        <v>83.583262681957081</v>
      </c>
      <c r="CS122" s="119">
        <f t="shared" ca="1" si="816"/>
        <v>93.034954487933604</v>
      </c>
      <c r="CT122" s="119">
        <f t="shared" ca="1" si="816"/>
        <v>69.836334793556901</v>
      </c>
      <c r="CU122" s="266">
        <f t="shared" ca="1" si="816"/>
        <v>0</v>
      </c>
      <c r="CV122" s="119">
        <f t="shared" ca="1" si="816"/>
        <v>0</v>
      </c>
      <c r="CW122" s="119">
        <f t="shared" ca="1" si="816"/>
        <v>0</v>
      </c>
      <c r="CX122" s="119">
        <f t="shared" ca="1" si="816"/>
        <v>0</v>
      </c>
      <c r="CY122" s="119">
        <f t="shared" ca="1" si="816"/>
        <v>0</v>
      </c>
      <c r="CZ122" s="119">
        <f t="shared" ref="CZ122:EE122" ca="1" si="817">CZ119-CZ121</f>
        <v>0</v>
      </c>
      <c r="DA122" s="119">
        <f t="shared" ca="1" si="817"/>
        <v>0</v>
      </c>
      <c r="DB122" s="119">
        <f t="shared" ca="1" si="817"/>
        <v>0</v>
      </c>
      <c r="DC122" s="119">
        <f t="shared" ca="1" si="817"/>
        <v>0</v>
      </c>
      <c r="DD122" s="119">
        <f t="shared" ca="1" si="817"/>
        <v>0</v>
      </c>
      <c r="DE122" s="119">
        <f t="shared" ca="1" si="817"/>
        <v>0</v>
      </c>
      <c r="DF122" s="119">
        <f t="shared" ca="1" si="817"/>
        <v>0</v>
      </c>
      <c r="DG122" s="119">
        <f t="shared" ca="1" si="817"/>
        <v>0</v>
      </c>
      <c r="DH122" s="119">
        <f t="shared" ca="1" si="817"/>
        <v>0</v>
      </c>
      <c r="DI122" s="119">
        <f t="shared" ca="1" si="817"/>
        <v>0</v>
      </c>
      <c r="DJ122" s="119">
        <f t="shared" ca="1" si="817"/>
        <v>0</v>
      </c>
      <c r="DK122" s="119">
        <f t="shared" ca="1" si="817"/>
        <v>0</v>
      </c>
      <c r="DL122" s="119">
        <f t="shared" ca="1" si="817"/>
        <v>0</v>
      </c>
      <c r="DM122" s="119">
        <f t="shared" ca="1" si="817"/>
        <v>0</v>
      </c>
      <c r="DN122" s="119">
        <f t="shared" ca="1" si="817"/>
        <v>0</v>
      </c>
      <c r="DO122" s="119">
        <f t="shared" ca="1" si="817"/>
        <v>0</v>
      </c>
      <c r="DP122" s="119">
        <f t="shared" ca="1" si="817"/>
        <v>0</v>
      </c>
      <c r="DQ122" s="119">
        <f t="shared" ca="1" si="817"/>
        <v>0</v>
      </c>
      <c r="DR122" s="119">
        <f t="shared" ca="1" si="817"/>
        <v>0</v>
      </c>
      <c r="DS122" s="119">
        <f t="shared" ca="1" si="817"/>
        <v>0</v>
      </c>
      <c r="DT122" s="119">
        <f t="shared" ca="1" si="817"/>
        <v>0</v>
      </c>
      <c r="DU122" s="119">
        <f t="shared" ca="1" si="817"/>
        <v>0</v>
      </c>
      <c r="DV122" s="119">
        <f t="shared" ca="1" si="817"/>
        <v>0</v>
      </c>
      <c r="DW122" s="119">
        <f t="shared" ca="1" si="817"/>
        <v>0</v>
      </c>
      <c r="DX122" s="119">
        <f t="shared" ca="1" si="817"/>
        <v>0</v>
      </c>
      <c r="DY122" s="119">
        <f t="shared" ca="1" si="817"/>
        <v>0</v>
      </c>
      <c r="DZ122" s="119">
        <f t="shared" ca="1" si="817"/>
        <v>0</v>
      </c>
      <c r="EA122" s="119">
        <f t="shared" ca="1" si="817"/>
        <v>0</v>
      </c>
      <c r="EB122" s="119">
        <f t="shared" ca="1" si="817"/>
        <v>0</v>
      </c>
      <c r="EC122" s="119">
        <f t="shared" ca="1" si="817"/>
        <v>0</v>
      </c>
      <c r="ED122" s="119">
        <f t="shared" ca="1" si="817"/>
        <v>0</v>
      </c>
      <c r="EE122" s="119">
        <f t="shared" ca="1" si="817"/>
        <v>0</v>
      </c>
      <c r="EF122" s="119">
        <f t="shared" ref="EF122:FA122" ca="1" si="818">EF119-EF121</f>
        <v>0</v>
      </c>
      <c r="EG122" s="119">
        <f t="shared" ca="1" si="818"/>
        <v>0</v>
      </c>
      <c r="EH122" s="119">
        <f t="shared" ca="1" si="818"/>
        <v>0</v>
      </c>
      <c r="EI122" s="119">
        <f t="shared" ca="1" si="818"/>
        <v>0</v>
      </c>
      <c r="EJ122" s="119">
        <f t="shared" ca="1" si="818"/>
        <v>0</v>
      </c>
      <c r="EK122" s="119">
        <f t="shared" ca="1" si="818"/>
        <v>0</v>
      </c>
      <c r="EL122" s="119">
        <f t="shared" ca="1" si="818"/>
        <v>0</v>
      </c>
      <c r="EM122" s="119">
        <f t="shared" ca="1" si="818"/>
        <v>0</v>
      </c>
      <c r="EN122" s="119">
        <f t="shared" ca="1" si="818"/>
        <v>0</v>
      </c>
      <c r="EO122" s="119">
        <f t="shared" ca="1" si="818"/>
        <v>0</v>
      </c>
      <c r="EP122" s="119">
        <f t="shared" ca="1" si="818"/>
        <v>0</v>
      </c>
      <c r="EQ122" s="119">
        <f t="shared" ca="1" si="818"/>
        <v>0</v>
      </c>
      <c r="ER122" s="119">
        <f t="shared" ca="1" si="818"/>
        <v>0</v>
      </c>
      <c r="ES122" s="119">
        <f t="shared" ca="1" si="818"/>
        <v>0</v>
      </c>
      <c r="ET122" s="119">
        <f t="shared" ca="1" si="818"/>
        <v>0</v>
      </c>
      <c r="EU122" s="119">
        <f t="shared" ca="1" si="818"/>
        <v>0</v>
      </c>
      <c r="EV122" s="119">
        <f t="shared" ca="1" si="818"/>
        <v>0</v>
      </c>
      <c r="EW122" s="119">
        <f t="shared" ca="1" si="818"/>
        <v>0</v>
      </c>
      <c r="EX122" s="119">
        <f t="shared" ca="1" si="818"/>
        <v>0</v>
      </c>
      <c r="EY122" s="119">
        <f t="shared" ca="1" si="818"/>
        <v>0</v>
      </c>
      <c r="EZ122" s="119">
        <f t="shared" ca="1" si="818"/>
        <v>0</v>
      </c>
      <c r="FA122" s="119">
        <f t="shared" ca="1" si="818"/>
        <v>0</v>
      </c>
    </row>
    <row r="123" spans="3:157" outlineLevel="1" x14ac:dyDescent="0.2">
      <c r="C123" s="9"/>
      <c r="D123" s="21"/>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c r="CF123" s="119"/>
      <c r="CG123" s="119"/>
      <c r="CH123" s="119"/>
      <c r="CI123" s="119"/>
      <c r="CJ123" s="119"/>
      <c r="CK123" s="119"/>
      <c r="CL123" s="119"/>
      <c r="CM123" s="119"/>
      <c r="CN123" s="119"/>
      <c r="CO123" s="119"/>
      <c r="CP123" s="119"/>
      <c r="CQ123" s="119"/>
      <c r="CR123" s="119"/>
      <c r="CS123" s="119"/>
      <c r="CT123" s="119"/>
      <c r="CU123" s="266"/>
      <c r="CV123" s="119"/>
      <c r="CW123" s="119"/>
      <c r="CX123" s="119"/>
      <c r="CY123" s="119"/>
      <c r="CZ123" s="119"/>
      <c r="DA123" s="119"/>
      <c r="DB123" s="119"/>
      <c r="DC123" s="119"/>
      <c r="DD123" s="119"/>
      <c r="DE123" s="119"/>
      <c r="DF123" s="119"/>
      <c r="DG123" s="119"/>
      <c r="DH123" s="119"/>
      <c r="DI123" s="119"/>
      <c r="DJ123" s="119"/>
      <c r="DK123" s="119"/>
      <c r="DL123" s="119"/>
      <c r="DM123" s="119"/>
      <c r="DN123" s="119"/>
      <c r="DO123" s="119"/>
      <c r="DP123" s="119"/>
      <c r="DQ123" s="119"/>
      <c r="DR123" s="119"/>
      <c r="DS123" s="119"/>
      <c r="DT123" s="119"/>
      <c r="DU123" s="119"/>
      <c r="DV123" s="119"/>
      <c r="DW123" s="119"/>
      <c r="DX123" s="119"/>
      <c r="DY123" s="119"/>
      <c r="DZ123" s="119"/>
      <c r="EA123" s="119"/>
      <c r="EB123" s="119"/>
      <c r="EC123" s="119"/>
      <c r="ED123" s="119"/>
      <c r="EE123" s="119"/>
      <c r="EF123" s="119"/>
      <c r="EG123" s="119"/>
      <c r="EH123" s="119"/>
      <c r="EI123" s="119"/>
      <c r="EJ123" s="119"/>
      <c r="EK123" s="119"/>
      <c r="EL123" s="119"/>
      <c r="EM123" s="119"/>
      <c r="EN123" s="119"/>
      <c r="EO123" s="119"/>
      <c r="EP123" s="119"/>
      <c r="EQ123" s="119"/>
      <c r="ER123" s="119"/>
      <c r="ES123" s="119"/>
      <c r="ET123" s="119"/>
      <c r="EU123" s="119"/>
      <c r="EV123" s="119"/>
      <c r="EW123" s="119"/>
      <c r="EX123" s="119"/>
      <c r="EY123" s="119"/>
      <c r="EZ123" s="119"/>
      <c r="FA123" s="119"/>
    </row>
    <row r="124" spans="3:157" s="206" customFormat="1" outlineLevel="1" x14ac:dyDescent="0.2">
      <c r="C124" s="63" t="s">
        <v>368</v>
      </c>
      <c r="D124" s="64"/>
      <c r="E124" s="307"/>
      <c r="F124" s="307"/>
      <c r="G124" s="307"/>
      <c r="H124" s="307"/>
      <c r="I124" s="307"/>
      <c r="J124" s="307"/>
      <c r="K124" s="307"/>
      <c r="L124" s="307"/>
      <c r="M124" s="307"/>
      <c r="N124" s="307"/>
      <c r="O124" s="307"/>
      <c r="P124" s="307"/>
      <c r="Q124" s="307"/>
      <c r="R124" s="307"/>
      <c r="S124" s="307"/>
      <c r="T124" s="307"/>
      <c r="U124" s="307"/>
      <c r="V124" s="307"/>
      <c r="W124" s="307"/>
      <c r="X124" s="307"/>
      <c r="Y124" s="307"/>
      <c r="Z124" s="307"/>
      <c r="AA124" s="307"/>
      <c r="AB124" s="307"/>
      <c r="AC124" s="307"/>
      <c r="AD124" s="307"/>
      <c r="AE124" s="307"/>
      <c r="AF124" s="307"/>
      <c r="AG124" s="307"/>
      <c r="AH124" s="307"/>
      <c r="AI124" s="307"/>
      <c r="AJ124" s="307"/>
      <c r="AK124" s="307"/>
      <c r="AL124" s="307"/>
      <c r="AM124" s="307"/>
      <c r="AN124" s="307"/>
      <c r="AO124" s="307"/>
      <c r="AP124" s="307"/>
      <c r="AQ124" s="307"/>
      <c r="AR124" s="307"/>
      <c r="AS124" s="307"/>
      <c r="AT124" s="307"/>
      <c r="AU124" s="307"/>
      <c r="AV124" s="307"/>
      <c r="AW124" s="307"/>
      <c r="AX124" s="307"/>
      <c r="AY124" s="307"/>
      <c r="AZ124" s="307"/>
      <c r="BA124" s="307"/>
      <c r="BB124" s="307"/>
      <c r="BC124" s="307"/>
      <c r="BD124" s="307"/>
      <c r="BE124" s="307"/>
      <c r="BF124" s="307"/>
      <c r="BG124" s="307"/>
      <c r="BH124" s="307"/>
      <c r="BI124" s="307"/>
      <c r="BJ124" s="307"/>
      <c r="BK124" s="307"/>
      <c r="BL124" s="307"/>
      <c r="BM124" s="307"/>
      <c r="BN124" s="307"/>
      <c r="BO124" s="307"/>
      <c r="BP124" s="307"/>
      <c r="BQ124" s="307"/>
      <c r="BR124" s="307"/>
      <c r="BS124" s="307"/>
      <c r="BT124" s="307"/>
      <c r="BU124" s="307"/>
      <c r="BV124" s="307"/>
      <c r="BW124" s="307"/>
      <c r="BX124" s="307"/>
      <c r="BY124" s="307"/>
      <c r="BZ124" s="307"/>
      <c r="CA124" s="307"/>
      <c r="CB124" s="307"/>
      <c r="CC124" s="307"/>
      <c r="CD124" s="307"/>
      <c r="CE124" s="307"/>
      <c r="CF124" s="307"/>
      <c r="CG124" s="307"/>
      <c r="CH124" s="307"/>
      <c r="CI124" s="307"/>
      <c r="CJ124" s="307"/>
      <c r="CK124" s="307"/>
      <c r="CL124" s="307"/>
      <c r="CM124" s="307"/>
      <c r="CN124" s="307"/>
      <c r="CO124" s="307"/>
      <c r="CP124" s="307"/>
      <c r="CQ124" s="307"/>
      <c r="CR124" s="307"/>
      <c r="CS124" s="307"/>
      <c r="CT124" s="307"/>
      <c r="CU124" s="308"/>
      <c r="CV124" s="307"/>
      <c r="CW124" s="307"/>
      <c r="CX124" s="307"/>
      <c r="CY124" s="307"/>
      <c r="CZ124" s="307"/>
      <c r="DA124" s="307"/>
      <c r="DB124" s="307"/>
      <c r="DC124" s="307"/>
      <c r="DD124" s="307"/>
      <c r="DE124" s="307"/>
      <c r="DF124" s="307"/>
      <c r="DG124" s="307"/>
      <c r="DH124" s="307"/>
      <c r="DI124" s="307"/>
      <c r="DJ124" s="307"/>
      <c r="DK124" s="307"/>
      <c r="DL124" s="307"/>
      <c r="DM124" s="307"/>
      <c r="DN124" s="307"/>
      <c r="DO124" s="307"/>
      <c r="DP124" s="307"/>
      <c r="DQ124" s="307"/>
      <c r="DR124" s="307"/>
      <c r="DS124" s="307"/>
      <c r="DT124" s="307"/>
      <c r="DU124" s="307"/>
      <c r="DV124" s="307"/>
      <c r="DW124" s="307"/>
      <c r="DX124" s="307"/>
      <c r="DY124" s="307"/>
      <c r="DZ124" s="307"/>
      <c r="EA124" s="307"/>
      <c r="EB124" s="307"/>
      <c r="EC124" s="307"/>
      <c r="ED124" s="307"/>
      <c r="EE124" s="307"/>
      <c r="EF124" s="307"/>
      <c r="EG124" s="307"/>
      <c r="EH124" s="307"/>
      <c r="EI124" s="307"/>
      <c r="EJ124" s="307"/>
      <c r="EK124" s="307"/>
      <c r="EL124" s="307"/>
      <c r="EM124" s="307"/>
      <c r="EN124" s="307"/>
      <c r="EO124" s="307"/>
      <c r="EP124" s="307"/>
      <c r="EQ124" s="307"/>
      <c r="ER124" s="307"/>
      <c r="ES124" s="307"/>
      <c r="ET124" s="307"/>
      <c r="EU124" s="307"/>
      <c r="EV124" s="307"/>
      <c r="EW124" s="307"/>
      <c r="EX124" s="307"/>
      <c r="EY124" s="307"/>
      <c r="EZ124" s="307"/>
      <c r="FA124" s="307"/>
    </row>
    <row r="125" spans="3:157" outlineLevel="1" x14ac:dyDescent="0.2">
      <c r="C125" s="12" t="s">
        <v>393</v>
      </c>
      <c r="D125" s="21" t="s">
        <v>286</v>
      </c>
      <c r="E125" s="119"/>
      <c r="F125" s="119"/>
      <c r="G125" s="119">
        <f>F130</f>
        <v>0</v>
      </c>
      <c r="H125" s="119">
        <f t="shared" ref="H125:BS125" ca="1" si="819">G130</f>
        <v>0</v>
      </c>
      <c r="I125" s="119">
        <f t="shared" ca="1" si="819"/>
        <v>0</v>
      </c>
      <c r="J125" s="119">
        <f t="shared" ca="1" si="819"/>
        <v>0</v>
      </c>
      <c r="K125" s="119">
        <f t="shared" ca="1" si="819"/>
        <v>0</v>
      </c>
      <c r="L125" s="119">
        <f t="shared" ca="1" si="819"/>
        <v>0</v>
      </c>
      <c r="M125" s="119">
        <f t="shared" ca="1" si="819"/>
        <v>0</v>
      </c>
      <c r="N125" s="119">
        <f t="shared" ca="1" si="819"/>
        <v>0</v>
      </c>
      <c r="O125" s="119">
        <f t="shared" ca="1" si="819"/>
        <v>0</v>
      </c>
      <c r="P125" s="119">
        <f t="shared" ca="1" si="819"/>
        <v>0</v>
      </c>
      <c r="Q125" s="119">
        <f t="shared" ca="1" si="819"/>
        <v>0</v>
      </c>
      <c r="R125" s="119">
        <f t="shared" ca="1" si="819"/>
        <v>0</v>
      </c>
      <c r="S125" s="119">
        <f t="shared" ca="1" si="819"/>
        <v>0</v>
      </c>
      <c r="T125" s="119">
        <f t="shared" ca="1" si="819"/>
        <v>0</v>
      </c>
      <c r="U125" s="119">
        <f t="shared" ca="1" si="819"/>
        <v>0</v>
      </c>
      <c r="V125" s="119">
        <f t="shared" ca="1" si="819"/>
        <v>0</v>
      </c>
      <c r="W125" s="119">
        <f t="shared" ca="1" si="819"/>
        <v>0</v>
      </c>
      <c r="X125" s="119">
        <f t="shared" ca="1" si="819"/>
        <v>0</v>
      </c>
      <c r="Y125" s="119">
        <f t="shared" ca="1" si="819"/>
        <v>0</v>
      </c>
      <c r="Z125" s="119">
        <f t="shared" ca="1" si="819"/>
        <v>0</v>
      </c>
      <c r="AA125" s="119">
        <f t="shared" ca="1" si="819"/>
        <v>0</v>
      </c>
      <c r="AB125" s="119">
        <f t="shared" ca="1" si="819"/>
        <v>0</v>
      </c>
      <c r="AC125" s="119">
        <f t="shared" ca="1" si="819"/>
        <v>0</v>
      </c>
      <c r="AD125" s="119">
        <f t="shared" ca="1" si="819"/>
        <v>0</v>
      </c>
      <c r="AE125" s="119">
        <f t="shared" ca="1" si="819"/>
        <v>0</v>
      </c>
      <c r="AF125" s="119">
        <f t="shared" ca="1" si="819"/>
        <v>0</v>
      </c>
      <c r="AG125" s="119">
        <f t="shared" ca="1" si="819"/>
        <v>0</v>
      </c>
      <c r="AH125" s="119">
        <f t="shared" ca="1" si="819"/>
        <v>0</v>
      </c>
      <c r="AI125" s="119">
        <f t="shared" ca="1" si="819"/>
        <v>0</v>
      </c>
      <c r="AJ125" s="119">
        <f t="shared" ca="1" si="819"/>
        <v>0</v>
      </c>
      <c r="AK125" s="119">
        <f t="shared" ca="1" si="819"/>
        <v>0</v>
      </c>
      <c r="AL125" s="119">
        <f t="shared" ca="1" si="819"/>
        <v>0</v>
      </c>
      <c r="AM125" s="119">
        <f t="shared" ca="1" si="819"/>
        <v>0</v>
      </c>
      <c r="AN125" s="119">
        <f t="shared" ca="1" si="819"/>
        <v>1.5324344354689647</v>
      </c>
      <c r="AO125" s="119">
        <f t="shared" ca="1" si="819"/>
        <v>1.5324344354689647</v>
      </c>
      <c r="AP125" s="119">
        <f t="shared" ca="1" si="819"/>
        <v>1.5324344354689647</v>
      </c>
      <c r="AQ125" s="119">
        <f t="shared" ca="1" si="819"/>
        <v>5.1175849631083565</v>
      </c>
      <c r="AR125" s="119">
        <f t="shared" ca="1" si="819"/>
        <v>7.7576537092391629</v>
      </c>
      <c r="AS125" s="119">
        <f t="shared" ca="1" si="819"/>
        <v>7.7576537092391629</v>
      </c>
      <c r="AT125" s="119">
        <f t="shared" ca="1" si="819"/>
        <v>7.7576537092391629</v>
      </c>
      <c r="AU125" s="119">
        <f t="shared" ca="1" si="819"/>
        <v>10.40460157909367</v>
      </c>
      <c r="AV125" s="119">
        <f t="shared" ca="1" si="819"/>
        <v>14.138503464853619</v>
      </c>
      <c r="AW125" s="119">
        <f t="shared" ca="1" si="819"/>
        <v>14.138503464853619</v>
      </c>
      <c r="AX125" s="119">
        <f t="shared" ca="1" si="819"/>
        <v>14.138503464853619</v>
      </c>
      <c r="AY125" s="119">
        <f t="shared" ca="1" si="819"/>
        <v>16.758590415298627</v>
      </c>
      <c r="AZ125" s="119">
        <f t="shared" ca="1" si="819"/>
        <v>20.678874464358437</v>
      </c>
      <c r="BA125" s="119">
        <f t="shared" ca="1" si="819"/>
        <v>20.678874464358437</v>
      </c>
      <c r="BB125" s="119">
        <f t="shared" ca="1" si="819"/>
        <v>20.678874464358437</v>
      </c>
      <c r="BC125" s="119">
        <f t="shared" ca="1" si="819"/>
        <v>25.201279078773727</v>
      </c>
      <c r="BD125" s="119">
        <f t="shared" ca="1" si="819"/>
        <v>27.382754738850878</v>
      </c>
      <c r="BE125" s="119">
        <f t="shared" ca="1" si="819"/>
        <v>27.382754738850878</v>
      </c>
      <c r="BF125" s="119">
        <f t="shared" ca="1" si="819"/>
        <v>27.382754738850878</v>
      </c>
      <c r="BG125" s="119">
        <f t="shared" ca="1" si="819"/>
        <v>29.546255653225622</v>
      </c>
      <c r="BH125" s="119">
        <f t="shared" ca="1" si="819"/>
        <v>34.254232020205635</v>
      </c>
      <c r="BI125" s="119">
        <f t="shared" ca="1" si="819"/>
        <v>34.254232020205635</v>
      </c>
      <c r="BJ125" s="119">
        <f t="shared" ca="1" si="819"/>
        <v>34.254232020205635</v>
      </c>
      <c r="BK125" s="119">
        <f t="shared" ca="1" si="819"/>
        <v>36.372258747542887</v>
      </c>
      <c r="BL125" s="119">
        <f t="shared" ca="1" si="819"/>
        <v>41.297496233594266</v>
      </c>
      <c r="BM125" s="119">
        <f t="shared" ca="1" si="819"/>
        <v>41.297496233594266</v>
      </c>
      <c r="BN125" s="119">
        <f t="shared" ca="1" si="819"/>
        <v>41.297496233594266</v>
      </c>
      <c r="BO125" s="119">
        <f t="shared" ca="1" si="819"/>
        <v>43.366358003182526</v>
      </c>
      <c r="BP125" s="119">
        <f t="shared" ca="1" si="819"/>
        <v>48.516842052317607</v>
      </c>
      <c r="BQ125" s="119">
        <f t="shared" ca="1" si="819"/>
        <v>48.516842052317607</v>
      </c>
      <c r="BR125" s="119">
        <f t="shared" ca="1" si="819"/>
        <v>48.516842052317607</v>
      </c>
      <c r="BS125" s="119">
        <f t="shared" ca="1" si="819"/>
        <v>50.532689546023214</v>
      </c>
      <c r="BT125" s="119">
        <f t="shared" ref="BT125:EE125" ca="1" si="820">BS130</f>
        <v>55.916671516509034</v>
      </c>
      <c r="BU125" s="119">
        <f t="shared" ca="1" si="820"/>
        <v>55.916671516509034</v>
      </c>
      <c r="BV125" s="119">
        <f t="shared" ca="1" si="820"/>
        <v>55.916671516509034</v>
      </c>
      <c r="BW125" s="119">
        <f t="shared" ca="1" si="820"/>
        <v>57.875491165531685</v>
      </c>
      <c r="BX125" s="119">
        <f t="shared" ca="1" si="820"/>
        <v>63.501496717305251</v>
      </c>
      <c r="BY125" s="119">
        <f t="shared" ca="1" si="820"/>
        <v>63.501496717305251</v>
      </c>
      <c r="BZ125" s="119">
        <f t="shared" ca="1" si="820"/>
        <v>63.501496717305251</v>
      </c>
      <c r="CA125" s="119">
        <f t="shared" ca="1" si="820"/>
        <v>65.39910481020388</v>
      </c>
      <c r="CB125" s="119">
        <f t="shared" ca="1" si="820"/>
        <v>71.275942548121378</v>
      </c>
      <c r="CC125" s="119">
        <f t="shared" ca="1" si="820"/>
        <v>71.275942548121378</v>
      </c>
      <c r="CD125" s="119">
        <f t="shared" ca="1" si="820"/>
        <v>71.275942548121378</v>
      </c>
      <c r="CE125" s="119">
        <f t="shared" ca="1" si="820"/>
        <v>76.085842829786216</v>
      </c>
      <c r="CF125" s="119">
        <f t="shared" ca="1" si="820"/>
        <v>79.244749524707913</v>
      </c>
      <c r="CG125" s="119">
        <f t="shared" ca="1" si="820"/>
        <v>79.244749524707913</v>
      </c>
      <c r="CH125" s="119">
        <f t="shared" ca="1" si="820"/>
        <v>79.244749524707913</v>
      </c>
      <c r="CI125" s="119">
        <f t="shared" ca="1" si="820"/>
        <v>80.400129595883428</v>
      </c>
      <c r="CJ125" s="119">
        <f t="shared" ca="1" si="820"/>
        <v>87.412776675709125</v>
      </c>
      <c r="CK125" s="119">
        <f t="shared" ca="1" si="820"/>
        <v>87.412776675709125</v>
      </c>
      <c r="CL125" s="119">
        <f t="shared" ca="1" si="820"/>
        <v>87.412776675709125</v>
      </c>
      <c r="CM125" s="119">
        <f t="shared" ca="1" si="820"/>
        <v>88.479391171564103</v>
      </c>
      <c r="CN125" s="119">
        <f t="shared" ca="1" si="820"/>
        <v>95.785004505485347</v>
      </c>
      <c r="CO125" s="119">
        <f t="shared" ca="1" si="820"/>
        <v>95.785004505485347</v>
      </c>
      <c r="CP125" s="119">
        <f t="shared" ca="1" si="820"/>
        <v>95.785004505485347</v>
      </c>
      <c r="CQ125" s="119">
        <f t="shared" ca="1" si="820"/>
        <v>96.757606769885797</v>
      </c>
      <c r="CR125" s="119">
        <f t="shared" ca="1" si="820"/>
        <v>104.36653803100599</v>
      </c>
      <c r="CS125" s="119">
        <f t="shared" ca="1" si="820"/>
        <v>104.36653803100599</v>
      </c>
      <c r="CT125" s="119">
        <f t="shared" ca="1" si="820"/>
        <v>104.36653803100599</v>
      </c>
      <c r="CU125" s="266">
        <f t="shared" ca="1" si="820"/>
        <v>110.94318791149637</v>
      </c>
      <c r="CV125" s="119">
        <f t="shared" ca="1" si="820"/>
        <v>113.16260989466466</v>
      </c>
      <c r="CW125" s="119">
        <f t="shared" ca="1" si="820"/>
        <v>115.39577508545325</v>
      </c>
      <c r="CX125" s="119">
        <f t="shared" ca="1" si="820"/>
        <v>115.39577508545325</v>
      </c>
      <c r="CY125" s="119">
        <f t="shared" ca="1" si="820"/>
        <v>119.9036760221673</v>
      </c>
      <c r="CZ125" s="119">
        <f t="shared" ca="1" si="820"/>
        <v>122.17858355491479</v>
      </c>
      <c r="DA125" s="119">
        <f t="shared" ca="1" si="820"/>
        <v>122.98971219396739</v>
      </c>
      <c r="DB125" s="119">
        <f t="shared" ca="1" si="820"/>
        <v>122.98971219396739</v>
      </c>
      <c r="DC125" s="119">
        <f t="shared" ca="1" si="820"/>
        <v>129.088176335605</v>
      </c>
      <c r="DD125" s="119">
        <f t="shared" ca="1" si="820"/>
        <v>131.41995655667117</v>
      </c>
      <c r="DE125" s="119">
        <f t="shared" ca="1" si="820"/>
        <v>132.05070906594341</v>
      </c>
      <c r="DF125" s="119">
        <f t="shared" ca="1" si="820"/>
        <v>132.05070906594341</v>
      </c>
      <c r="DG125" s="119">
        <f t="shared" ca="1" si="820"/>
        <v>138.50228915687862</v>
      </c>
      <c r="DH125" s="119">
        <f t="shared" ca="1" si="820"/>
        <v>140.89236388347146</v>
      </c>
      <c r="DI125" s="119">
        <f t="shared" ca="1" si="820"/>
        <v>141.33305827387247</v>
      </c>
      <c r="DJ125" s="119">
        <f t="shared" ca="1" si="820"/>
        <v>141.33305827387247</v>
      </c>
      <c r="DK125" s="119">
        <f t="shared" ca="1" si="820"/>
        <v>148.15175479868412</v>
      </c>
      <c r="DL125" s="119">
        <f t="shared" ca="1" si="820"/>
        <v>150.60158139344179</v>
      </c>
      <c r="DM125" s="119">
        <f t="shared" ca="1" si="820"/>
        <v>150.84215873960281</v>
      </c>
      <c r="DN125" s="119">
        <f t="shared" ca="1" si="820"/>
        <v>150.84215873960281</v>
      </c>
      <c r="DO125" s="119">
        <f t="shared" ca="1" si="820"/>
        <v>158.04245708153474</v>
      </c>
      <c r="DP125" s="119">
        <f t="shared" ca="1" si="820"/>
        <v>160.55352934116132</v>
      </c>
      <c r="DQ125" s="119">
        <f t="shared" ca="1" si="820"/>
        <v>160.58354080137488</v>
      </c>
      <c r="DR125" s="119">
        <f t="shared" ca="1" si="820"/>
        <v>160.58354080137488</v>
      </c>
      <c r="DS125" s="119">
        <f t="shared" ca="1" si="820"/>
        <v>168.18042692145664</v>
      </c>
      <c r="DT125" s="119">
        <f t="shared" ca="1" si="820"/>
        <v>170.75427598757392</v>
      </c>
      <c r="DU125" s="119">
        <f t="shared" ca="1" si="820"/>
        <v>170.75427598757392</v>
      </c>
      <c r="DV125" s="119">
        <f t="shared" ca="1" si="820"/>
        <v>170.75427598757392</v>
      </c>
      <c r="DW125" s="119">
        <f t="shared" ca="1" si="820"/>
        <v>178.57184600737659</v>
      </c>
      <c r="DX125" s="119">
        <f t="shared" ca="1" si="820"/>
        <v>181.2100413001468</v>
      </c>
      <c r="DY125" s="119">
        <f t="shared" ca="1" si="820"/>
        <v>181.2100413001468</v>
      </c>
      <c r="DZ125" s="119">
        <f t="shared" ca="1" si="820"/>
        <v>181.2100413001468</v>
      </c>
      <c r="EA125" s="119">
        <f t="shared" ca="1" si="820"/>
        <v>189.22305057044457</v>
      </c>
      <c r="EB125" s="119">
        <f t="shared" ca="1" si="820"/>
        <v>191.92720074553401</v>
      </c>
      <c r="EC125" s="119">
        <f t="shared" ca="1" si="820"/>
        <v>191.92720074553401</v>
      </c>
      <c r="ED125" s="119">
        <f t="shared" ca="1" si="820"/>
        <v>191.92720074553401</v>
      </c>
      <c r="EE125" s="119">
        <f t="shared" ca="1" si="820"/>
        <v>200.14053524758921</v>
      </c>
      <c r="EF125" s="119">
        <f t="shared" ref="EF125:FA125" ca="1" si="821">EE130</f>
        <v>202.9122891770559</v>
      </c>
      <c r="EG125" s="119">
        <f t="shared" ca="1" si="821"/>
        <v>202.9122891770559</v>
      </c>
      <c r="EH125" s="119">
        <f t="shared" ca="1" si="821"/>
        <v>202.9122891770559</v>
      </c>
      <c r="EI125" s="119">
        <f t="shared" ca="1" si="821"/>
        <v>211.33095704166249</v>
      </c>
      <c r="EJ125" s="119">
        <f t="shared" ca="1" si="821"/>
        <v>211.33095704166249</v>
      </c>
      <c r="EK125" s="119">
        <f t="shared" ca="1" si="821"/>
        <v>217.03064506473163</v>
      </c>
      <c r="EL125" s="119">
        <f t="shared" ca="1" si="821"/>
        <v>217.03064506473163</v>
      </c>
      <c r="EM125" s="119">
        <f t="shared" ca="1" si="821"/>
        <v>217.03064506473163</v>
      </c>
      <c r="EN125" s="119">
        <f t="shared" ca="1" si="821"/>
        <v>217.03064506473163</v>
      </c>
      <c r="EO125" s="119">
        <f t="shared" ca="1" si="821"/>
        <v>217.03064506473163</v>
      </c>
      <c r="EP125" s="119">
        <f t="shared" ca="1" si="821"/>
        <v>217.03064506473163</v>
      </c>
      <c r="EQ125" s="119">
        <f t="shared" ca="1" si="821"/>
        <v>217.03064506473163</v>
      </c>
      <c r="ER125" s="119">
        <f t="shared" ca="1" si="821"/>
        <v>217.03064506473163</v>
      </c>
      <c r="ES125" s="119">
        <f t="shared" ca="1" si="821"/>
        <v>217.03064506473163</v>
      </c>
      <c r="ET125" s="119">
        <f t="shared" ca="1" si="821"/>
        <v>217.03064506473163</v>
      </c>
      <c r="EU125" s="119">
        <f t="shared" ca="1" si="821"/>
        <v>217.03064506473163</v>
      </c>
      <c r="EV125" s="119">
        <f t="shared" ca="1" si="821"/>
        <v>217.03064506473163</v>
      </c>
      <c r="EW125" s="119">
        <f t="shared" ca="1" si="821"/>
        <v>217.03064506473163</v>
      </c>
      <c r="EX125" s="119">
        <f t="shared" ca="1" si="821"/>
        <v>217.03064506473163</v>
      </c>
      <c r="EY125" s="119">
        <f t="shared" ca="1" si="821"/>
        <v>217.03064506473163</v>
      </c>
      <c r="EZ125" s="119">
        <f t="shared" ca="1" si="821"/>
        <v>217.03064506473163</v>
      </c>
      <c r="FA125" s="119">
        <f t="shared" ca="1" si="821"/>
        <v>217.03064506473163</v>
      </c>
    </row>
    <row r="126" spans="3:157" outlineLevel="1" x14ac:dyDescent="0.2">
      <c r="C126" s="12" t="s">
        <v>438</v>
      </c>
      <c r="D126" s="21" t="s">
        <v>126</v>
      </c>
      <c r="E126" s="213"/>
      <c r="F126" s="5"/>
      <c r="G126" s="109">
        <f>IF(G154&gt;=Inputs_Assumptions!$E$194,Inputs_Assumptions!$E$192/Quarters_in_Year*IRR_Revenue_Model!G21,0)*Equity_In_Project</f>
        <v>0</v>
      </c>
      <c r="H126" s="109">
        <f>IF(H154&gt;=Inputs_Assumptions!$E$194,Inputs_Assumptions!$E$192/Quarters_in_Year*IRR_Revenue_Model!H21,0)*Equity_In_Project</f>
        <v>0</v>
      </c>
      <c r="I126" s="109">
        <f>IF(I154&gt;=Inputs_Assumptions!$E$194,Inputs_Assumptions!$E$192/Quarters_in_Year*IRR_Revenue_Model!I21,0)*Equity_In_Project</f>
        <v>0</v>
      </c>
      <c r="J126" s="109">
        <f>IF(J154&gt;=Inputs_Assumptions!$E$194,Inputs_Assumptions!$E$192/Quarters_in_Year*IRR_Revenue_Model!J21,0)*Equity_In_Project</f>
        <v>0</v>
      </c>
      <c r="K126" s="109">
        <f>IF(K154&gt;=Inputs_Assumptions!$E$194,Inputs_Assumptions!$E$192/Quarters_in_Year*IRR_Revenue_Model!K21,0)*Equity_In_Project</f>
        <v>0</v>
      </c>
      <c r="L126" s="109">
        <f>IF(L154&gt;=Inputs_Assumptions!$E$194,Inputs_Assumptions!$E$192/Quarters_in_Year*IRR_Revenue_Model!L21,0)*Equity_In_Project</f>
        <v>0</v>
      </c>
      <c r="M126" s="109">
        <f>IF(M154&gt;=Inputs_Assumptions!$E$194,Inputs_Assumptions!$E$192/Quarters_in_Year*IRR_Revenue_Model!M21,0)*Equity_In_Project</f>
        <v>0</v>
      </c>
      <c r="N126" s="109">
        <f>IF(N154&gt;=Inputs_Assumptions!$E$194,Inputs_Assumptions!$E$192/Quarters_in_Year*IRR_Revenue_Model!N21,0)*Equity_In_Project</f>
        <v>0</v>
      </c>
      <c r="O126" s="109">
        <f>IF(O154&gt;=Inputs_Assumptions!$E$194,Inputs_Assumptions!$E$192/Quarters_in_Year*IRR_Revenue_Model!O21,0)*Equity_In_Project</f>
        <v>0</v>
      </c>
      <c r="P126" s="109">
        <f>IF(P154&gt;=Inputs_Assumptions!$E$194,Inputs_Assumptions!$E$192/Quarters_in_Year*IRR_Revenue_Model!P21,0)*Equity_In_Project</f>
        <v>0</v>
      </c>
      <c r="Q126" s="109">
        <f>IF(Q154&gt;=Inputs_Assumptions!$E$194,Inputs_Assumptions!$E$192/Quarters_in_Year*IRR_Revenue_Model!Q21,0)*Equity_In_Project</f>
        <v>0</v>
      </c>
      <c r="R126" s="109">
        <f>IF(R154&gt;=Inputs_Assumptions!$E$194,Inputs_Assumptions!$E$192/Quarters_in_Year*IRR_Revenue_Model!R21,0)*Equity_In_Project</f>
        <v>0</v>
      </c>
      <c r="S126" s="109">
        <f>IF(S154&gt;=Inputs_Assumptions!$E$194,Inputs_Assumptions!$E$192/Quarters_in_Year*IRR_Revenue_Model!S21,0)*Equity_In_Project</f>
        <v>0</v>
      </c>
      <c r="T126" s="109">
        <f>IF(T154&gt;=Inputs_Assumptions!$E$194,Inputs_Assumptions!$E$192/Quarters_in_Year*IRR_Revenue_Model!T21,0)*Equity_In_Project</f>
        <v>0</v>
      </c>
      <c r="U126" s="109">
        <f>IF(U154&gt;=Inputs_Assumptions!$E$194,Inputs_Assumptions!$E$192/Quarters_in_Year*IRR_Revenue_Model!U21,0)*Equity_In_Project</f>
        <v>0</v>
      </c>
      <c r="V126" s="109">
        <f>IF(V154&gt;=Inputs_Assumptions!$E$194,Inputs_Assumptions!$E$192/Quarters_in_Year*IRR_Revenue_Model!V21,0)*Equity_In_Project</f>
        <v>0</v>
      </c>
      <c r="W126" s="109">
        <f>IF(W154&gt;=Inputs_Assumptions!$E$194,Inputs_Assumptions!$E$192/Quarters_in_Year*IRR_Revenue_Model!W21,0)*Equity_In_Project</f>
        <v>0</v>
      </c>
      <c r="X126" s="109">
        <f>IF(X154&gt;=Inputs_Assumptions!$E$194,Inputs_Assumptions!$E$192/Quarters_in_Year*IRR_Revenue_Model!X21,0)*Equity_In_Project</f>
        <v>0</v>
      </c>
      <c r="Y126" s="109">
        <f>IF(Y154&gt;=Inputs_Assumptions!$E$194,Inputs_Assumptions!$E$192/Quarters_in_Year*IRR_Revenue_Model!Y21,0)*Equity_In_Project</f>
        <v>0</v>
      </c>
      <c r="Z126" s="109">
        <f>IF(Z154&gt;=Inputs_Assumptions!$E$194,Inputs_Assumptions!$E$192/Quarters_in_Year*IRR_Revenue_Model!Z21,0)*Equity_In_Project</f>
        <v>0</v>
      </c>
      <c r="AA126" s="109">
        <f>IF(AA154&gt;=Inputs_Assumptions!$E$194,Inputs_Assumptions!$E$192/Quarters_in_Year*IRR_Revenue_Model!AA21,0)*Equity_In_Project</f>
        <v>0</v>
      </c>
      <c r="AB126" s="109">
        <f>IF(AB154&gt;=Inputs_Assumptions!$E$194,Inputs_Assumptions!$E$192/Quarters_in_Year*IRR_Revenue_Model!AB21,0)*Equity_In_Project</f>
        <v>0</v>
      </c>
      <c r="AC126" s="109">
        <f>IF(AC154&gt;=Inputs_Assumptions!$E$194,Inputs_Assumptions!$E$192/Quarters_in_Year*IRR_Revenue_Model!AC21,0)*Equity_In_Project</f>
        <v>0</v>
      </c>
      <c r="AD126" s="109">
        <f>IF(AD154&gt;=Inputs_Assumptions!$E$194,Inputs_Assumptions!$E$192/Quarters_in_Year*IRR_Revenue_Model!AD21,0)*Equity_In_Project</f>
        <v>0</v>
      </c>
      <c r="AE126" s="109">
        <f>IF(AE154&gt;=Inputs_Assumptions!$E$194,Inputs_Assumptions!$E$192/Quarters_in_Year*IRR_Revenue_Model!AE21,0)*Equity_In_Project</f>
        <v>0</v>
      </c>
      <c r="AF126" s="109">
        <f>IF(AF154&gt;=Inputs_Assumptions!$E$194,Inputs_Assumptions!$E$192/Quarters_in_Year*IRR_Revenue_Model!AF21,0)*Equity_In_Project</f>
        <v>0</v>
      </c>
      <c r="AG126" s="109">
        <f>IF(AG154&gt;=Inputs_Assumptions!$E$194,Inputs_Assumptions!$E$192/Quarters_in_Year*IRR_Revenue_Model!AG21,0)*Equity_In_Project</f>
        <v>0</v>
      </c>
      <c r="AH126" s="109">
        <f>IF(AH154&gt;=Inputs_Assumptions!$E$194,Inputs_Assumptions!$E$192/Quarters_in_Year*IRR_Revenue_Model!AH21,0)*Equity_In_Project</f>
        <v>0</v>
      </c>
      <c r="AI126" s="109">
        <f>IF(AI154&gt;=Inputs_Assumptions!$E$194,Inputs_Assumptions!$E$192/Quarters_in_Year*IRR_Revenue_Model!AI21,0)*Equity_In_Project</f>
        <v>0</v>
      </c>
      <c r="AJ126" s="109">
        <f>IF(AJ154&gt;=Inputs_Assumptions!$E$194,Inputs_Assumptions!$E$192/Quarters_in_Year*IRR_Revenue_Model!AJ21,0)*Equity_In_Project</f>
        <v>0</v>
      </c>
      <c r="AK126" s="109">
        <f>IF(AK154&gt;=Inputs_Assumptions!$E$194,Inputs_Assumptions!$E$192/Quarters_in_Year*IRR_Revenue_Model!AK21,0)*Equity_In_Project</f>
        <v>0</v>
      </c>
      <c r="AL126" s="109">
        <f>IF(AL154&gt;=Inputs_Assumptions!$E$194,Inputs_Assumptions!$E$192/Quarters_in_Year*IRR_Revenue_Model!AL21,0)*Equity_In_Project</f>
        <v>0</v>
      </c>
      <c r="AM126" s="109">
        <f>IF(AM154&gt;=Inputs_Assumptions!$E$194,Inputs_Assumptions!$E$192/Quarters_in_Year*IRR_Revenue_Model!AM21,0)*Equity_In_Project</f>
        <v>1.5324344354689647</v>
      </c>
      <c r="AN126" s="109">
        <f>IF(AN154&gt;=Inputs_Assumptions!$E$194,Inputs_Assumptions!$E$192/Quarters_in_Year*IRR_Revenue_Model!AN21,0)*Equity_In_Project</f>
        <v>1.5419236469712758</v>
      </c>
      <c r="AO126" s="109">
        <f>IF(AO154&gt;=Inputs_Assumptions!$E$194,Inputs_Assumptions!$E$192/Quarters_in_Year*IRR_Revenue_Model!AO21,0)*Equity_In_Project</f>
        <v>1.551471618008645</v>
      </c>
      <c r="AP126" s="109">
        <f>IF(AP154&gt;=Inputs_Assumptions!$E$194,Inputs_Assumptions!$E$192/Quarters_in_Year*IRR_Revenue_Model!AP21,0)*Equity_In_Project</f>
        <v>1.5610787124345875</v>
      </c>
      <c r="AQ126" s="109">
        <f>IF(AQ154&gt;=Inputs_Assumptions!$E$194,Inputs_Assumptions!$E$192/Quarters_in_Year*IRR_Revenue_Model!AQ21,0)*Equity_In_Project</f>
        <v>1.5707452963556894</v>
      </c>
      <c r="AR126" s="109">
        <f>IF(AR154&gt;=Inputs_Assumptions!$E$194,Inputs_Assumptions!$E$192/Quarters_in_Year*IRR_Revenue_Model!AR21,0)*Equity_In_Project</f>
        <v>1.5804717381455582</v>
      </c>
      <c r="AS126" s="109">
        <f>IF(AS154&gt;=Inputs_Assumptions!$E$194,Inputs_Assumptions!$E$192/Quarters_in_Year*IRR_Revenue_Model!AS21,0)*Equity_In_Project</f>
        <v>1.5902584084588618</v>
      </c>
      <c r="AT126" s="109">
        <f>IF(AT154&gt;=Inputs_Assumptions!$E$194,Inputs_Assumptions!$E$192/Quarters_in_Year*IRR_Revenue_Model!AT21,0)*Equity_In_Project</f>
        <v>1.600105680245453</v>
      </c>
      <c r="AU126" s="109">
        <f>IF(AU154&gt;=Inputs_Assumptions!$E$194,Inputs_Assumptions!$E$192/Quarters_in_Year*IRR_Revenue_Model!AU21,0)*Equity_In_Project</f>
        <v>1.6100139287645823</v>
      </c>
      <c r="AV126" s="109">
        <f>IF(AV154&gt;=Inputs_Assumptions!$E$194,Inputs_Assumptions!$E$192/Quarters_in_Year*IRR_Revenue_Model!AV21,0)*Equity_In_Project</f>
        <v>1.6199835315991979</v>
      </c>
      <c r="AW126" s="109">
        <f>IF(AW154&gt;=Inputs_Assumptions!$E$194,Inputs_Assumptions!$E$192/Quarters_in_Year*IRR_Revenue_Model!AW21,0)*Equity_In_Project</f>
        <v>1.630014868670334</v>
      </c>
      <c r="AX126" s="109">
        <f>IF(AX154&gt;=Inputs_Assumptions!$E$194,Inputs_Assumptions!$E$192/Quarters_in_Year*IRR_Revenue_Model!AX21,0)*Equity_In_Project</f>
        <v>1.64010832225159</v>
      </c>
      <c r="AY126" s="109">
        <f>IF(AY154&gt;=Inputs_Assumptions!$E$194,Inputs_Assumptions!$E$192/Quarters_in_Year*IRR_Revenue_Model!AY21,0)*Equity_In_Project</f>
        <v>1.6502642769836975</v>
      </c>
      <c r="AZ126" s="109">
        <f>IF(AZ154&gt;=Inputs_Assumptions!$E$194,Inputs_Assumptions!$E$192/Quarters_in_Year*IRR_Revenue_Model!AZ21,0)*Equity_In_Project</f>
        <v>1.6604831198891783</v>
      </c>
      <c r="BA126" s="109">
        <f>IF(BA154&gt;=Inputs_Assumptions!$E$194,Inputs_Assumptions!$E$192/Quarters_in_Year*IRR_Revenue_Model!BA21,0)*Equity_In_Project</f>
        <v>1.670765240387093</v>
      </c>
      <c r="BB126" s="109">
        <f>IF(BB154&gt;=Inputs_Assumptions!$E$194,Inputs_Assumptions!$E$192/Quarters_in_Year*IRR_Revenue_Model!BB21,0)*Equity_In_Project</f>
        <v>1.6811110303078802</v>
      </c>
      <c r="BC126" s="109">
        <f>IF(BC154&gt;=Inputs_Assumptions!$E$194,Inputs_Assumptions!$E$192/Quarters_in_Year*IRR_Revenue_Model!BC21,0)*Equity_In_Project</f>
        <v>1.6915208839082905</v>
      </c>
      <c r="BD126" s="109">
        <f>IF(BD154&gt;=Inputs_Assumptions!$E$194,Inputs_Assumptions!$E$192/Quarters_in_Year*IRR_Revenue_Model!BD21,0)*Equity_In_Project</f>
        <v>1.7019951978864081</v>
      </c>
      <c r="BE126" s="109">
        <f>IF(BE154&gt;=Inputs_Assumptions!$E$194,Inputs_Assumptions!$E$192/Quarters_in_Year*IRR_Revenue_Model!BE21,0)*Equity_In_Project</f>
        <v>1.7125343713967704</v>
      </c>
      <c r="BF126" s="109">
        <f>IF(BF154&gt;=Inputs_Assumptions!$E$194,Inputs_Assumptions!$E$192/Quarters_in_Year*IRR_Revenue_Model!BF21,0)*Equity_In_Project</f>
        <v>1.7231388060655779</v>
      </c>
      <c r="BG126" s="109">
        <f>IF(BG154&gt;=Inputs_Assumptions!$E$194,Inputs_Assumptions!$E$192/Quarters_in_Year*IRR_Revenue_Model!BG21,0)*Equity_In_Project</f>
        <v>1.7338089060059982</v>
      </c>
      <c r="BH126" s="109">
        <f>IF(BH154&gt;=Inputs_Assumptions!$E$194,Inputs_Assumptions!$E$192/Quarters_in_Year*IRR_Revenue_Model!BH21,0)*Equity_In_Project</f>
        <v>1.7445450778335692</v>
      </c>
      <c r="BI126" s="109">
        <f>IF(BI154&gt;=Inputs_Assumptions!$E$194,Inputs_Assumptions!$E$192/Quarters_in_Year*IRR_Revenue_Model!BI21,0)*Equity_In_Project</f>
        <v>1.7553477306816907</v>
      </c>
      <c r="BJ126" s="109">
        <f>IF(BJ154&gt;=Inputs_Assumptions!$E$194,Inputs_Assumptions!$E$192/Quarters_in_Year*IRR_Revenue_Model!BJ21,0)*Equity_In_Project</f>
        <v>1.7662172762172179</v>
      </c>
      <c r="BK126" s="109">
        <f>IF(BK154&gt;=Inputs_Assumptions!$E$194,Inputs_Assumptions!$E$192/Quarters_in_Year*IRR_Revenue_Model!BK21,0)*Equity_In_Project</f>
        <v>1.777154128656149</v>
      </c>
      <c r="BL126" s="109">
        <f>IF(BL154&gt;=Inputs_Assumptions!$E$194,Inputs_Assumptions!$E$192/Quarters_in_Year*IRR_Revenue_Model!BL21,0)*Equity_In_Project</f>
        <v>1.788158704779409</v>
      </c>
      <c r="BM126" s="109">
        <f>IF(BM154&gt;=Inputs_Assumptions!$E$194,Inputs_Assumptions!$E$192/Quarters_in_Year*IRR_Revenue_Model!BM21,0)*Equity_In_Project</f>
        <v>1.7992314239487333</v>
      </c>
      <c r="BN126" s="109">
        <f>IF(BN154&gt;=Inputs_Assumptions!$E$194,Inputs_Assumptions!$E$192/Quarters_in_Year*IRR_Revenue_Model!BN21,0)*Equity_In_Project</f>
        <v>1.8103727081226491</v>
      </c>
      <c r="BO126" s="109">
        <f>IF(BO154&gt;=Inputs_Assumptions!$E$194,Inputs_Assumptions!$E$192/Quarters_in_Year*IRR_Revenue_Model!BO21,0)*Equity_In_Project</f>
        <v>1.8215829818725533</v>
      </c>
      <c r="BP126" s="109">
        <f>IF(BP154&gt;=Inputs_Assumptions!$E$194,Inputs_Assumptions!$E$192/Quarters_in_Year*IRR_Revenue_Model!BP21,0)*Equity_In_Project</f>
        <v>1.8328626723988948</v>
      </c>
      <c r="BQ126" s="109">
        <f>IF(BQ154&gt;=Inputs_Assumptions!$E$194,Inputs_Assumptions!$E$192/Quarters_in_Year*IRR_Revenue_Model!BQ21,0)*Equity_In_Project</f>
        <v>1.8442122095474522</v>
      </c>
      <c r="BR126" s="109">
        <f>IF(BR154&gt;=Inputs_Assumptions!$E$194,Inputs_Assumptions!$E$192/Quarters_in_Year*IRR_Revenue_Model!BR21,0)*Equity_In_Project</f>
        <v>1.8556320258257155</v>
      </c>
      <c r="BS126" s="109">
        <f>IF(BS154&gt;=Inputs_Assumptions!$E$194,Inputs_Assumptions!$E$192/Quarters_in_Year*IRR_Revenue_Model!BS21,0)*Equity_In_Project</f>
        <v>1.8671225564193674</v>
      </c>
      <c r="BT126" s="109">
        <f>IF(BT154&gt;=Inputs_Assumptions!$E$194,Inputs_Assumptions!$E$192/Quarters_in_Year*IRR_Revenue_Model!BT21,0)*Equity_In_Project</f>
        <v>1.8786842392088676</v>
      </c>
      <c r="BU126" s="109">
        <f>IF(BU154&gt;=Inputs_Assumptions!$E$194,Inputs_Assumptions!$E$192/Quarters_in_Year*IRR_Revenue_Model!BU21,0)*Equity_In_Project</f>
        <v>1.8903175147861393</v>
      </c>
      <c r="BV126" s="109">
        <f>IF(BV154&gt;=Inputs_Assumptions!$E$194,Inputs_Assumptions!$E$192/Quarters_in_Year*IRR_Revenue_Model!BV21,0)*Equity_In_Project</f>
        <v>1.9020228264713592</v>
      </c>
      <c r="BW126" s="109">
        <f>IF(BW154&gt;=Inputs_Assumptions!$E$194,Inputs_Assumptions!$E$192/Quarters_in_Year*IRR_Revenue_Model!BW21,0)*Equity_In_Project</f>
        <v>1.9138006203298525</v>
      </c>
      <c r="BX126" s="109">
        <f>IF(BX154&gt;=Inputs_Assumptions!$E$194,Inputs_Assumptions!$E$192/Quarters_in_Year*IRR_Revenue_Model!BX21,0)*Equity_In_Project</f>
        <v>1.92565134518909</v>
      </c>
      <c r="BY126" s="109">
        <f>IF(BY154&gt;=Inputs_Assumptions!$E$194,Inputs_Assumptions!$E$192/Quarters_in_Year*IRR_Revenue_Model!BY21,0)*Equity_In_Project</f>
        <v>1.9375754526557933</v>
      </c>
      <c r="BZ126" s="109">
        <f>IF(BZ154&gt;=Inputs_Assumptions!$E$194,Inputs_Assumptions!$E$192/Quarters_in_Year*IRR_Revenue_Model!BZ21,0)*Equity_In_Project</f>
        <v>1.9495733971331439</v>
      </c>
      <c r="CA126" s="109">
        <f>IF(CA154&gt;=Inputs_Assumptions!$E$194,Inputs_Assumptions!$E$192/Quarters_in_Year*IRR_Revenue_Model!CA21,0)*Equity_In_Project</f>
        <v>1.9616456358380994</v>
      </c>
      <c r="CB126" s="109">
        <f>IF(CB154&gt;=Inputs_Assumptions!$E$194,Inputs_Assumptions!$E$192/Quarters_in_Year*IRR_Revenue_Model!CB21,0)*Equity_In_Project</f>
        <v>1.9737926288188179</v>
      </c>
      <c r="CC126" s="109">
        <f>IF(CC154&gt;=Inputs_Assumptions!$E$194,Inputs_Assumptions!$E$192/Quarters_in_Year*IRR_Revenue_Model!CC21,0)*Equity_In_Project</f>
        <v>1.9860148389721888</v>
      </c>
      <c r="CD126" s="109">
        <f>IF(CD154&gt;=Inputs_Assumptions!$E$194,Inputs_Assumptions!$E$192/Quarters_in_Year*IRR_Revenue_Model!CD21,0)*Equity_In_Project</f>
        <v>1.9983127320614731</v>
      </c>
      <c r="CE126" s="109">
        <f>IF(CE154&gt;=Inputs_Assumptions!$E$194,Inputs_Assumptions!$E$192/Quarters_in_Year*IRR_Revenue_Model!CE21,0)*Equity_In_Project</f>
        <v>2.0106867767340524</v>
      </c>
      <c r="CF126" s="109">
        <f>IF(CF154&gt;=Inputs_Assumptions!$E$194,Inputs_Assumptions!$E$192/Quarters_in_Year*IRR_Revenue_Model!CF21,0)*Equity_In_Project</f>
        <v>2.0231374445392891</v>
      </c>
      <c r="CG126" s="109">
        <f>IF(CG154&gt;=Inputs_Assumptions!$E$194,Inputs_Assumptions!$E$192/Quarters_in_Year*IRR_Revenue_Model!CG21,0)*Equity_In_Project</f>
        <v>2.0356652099464942</v>
      </c>
      <c r="CH126" s="109">
        <f>IF(CH154&gt;=Inputs_Assumptions!$E$194,Inputs_Assumptions!$E$192/Quarters_in_Year*IRR_Revenue_Model!CH21,0)*Equity_In_Project</f>
        <v>2.0482705503630108</v>
      </c>
      <c r="CI126" s="109">
        <f>IF(CI154&gt;=Inputs_Assumptions!$E$194,Inputs_Assumptions!$E$192/Quarters_in_Year*IRR_Revenue_Model!CI21,0)*Equity_In_Project</f>
        <v>2.0609539461524045</v>
      </c>
      <c r="CJ126" s="109">
        <f>IF(CJ154&gt;=Inputs_Assumptions!$E$194,Inputs_Assumptions!$E$192/Quarters_in_Year*IRR_Revenue_Model!CJ21,0)*Equity_In_Project</f>
        <v>2.073715880652772</v>
      </c>
      <c r="CK126" s="109">
        <f>IF(CK154&gt;=Inputs_Assumptions!$E$194,Inputs_Assumptions!$E$192/Quarters_in_Year*IRR_Revenue_Model!CK21,0)*Equity_In_Project</f>
        <v>2.0865568401951573</v>
      </c>
      <c r="CL126" s="109">
        <f>IF(CL154&gt;=Inputs_Assumptions!$E$194,Inputs_Assumptions!$E$192/Quarters_in_Year*IRR_Revenue_Model!CL21,0)*Equity_In_Project</f>
        <v>2.0994773141220864</v>
      </c>
      <c r="CM126" s="109">
        <f>IF(CM154&gt;=Inputs_Assumptions!$E$194,Inputs_Assumptions!$E$192/Quarters_in_Year*IRR_Revenue_Model!CM21,0)*Equity_In_Project</f>
        <v>2.1124777948062152</v>
      </c>
      <c r="CN126" s="109">
        <f>IF(CN154&gt;=Inputs_Assumptions!$E$194,Inputs_Assumptions!$E$192/Quarters_in_Year*IRR_Revenue_Model!CN21,0)*Equity_In_Project</f>
        <v>2.1255587776690921</v>
      </c>
      <c r="CO126" s="109">
        <f>IF(CO154&gt;=Inputs_Assumptions!$E$194,Inputs_Assumptions!$E$192/Quarters_in_Year*IRR_Revenue_Model!CO21,0)*Equity_In_Project</f>
        <v>2.138720761200037</v>
      </c>
      <c r="CP126" s="109">
        <f>IF(CP154&gt;=Inputs_Assumptions!$E$194,Inputs_Assumptions!$E$192/Quarters_in_Year*IRR_Revenue_Model!CP21,0)*Equity_In_Project</f>
        <v>2.1519642469751394</v>
      </c>
      <c r="CQ126" s="109">
        <f>IF(CQ154&gt;=Inputs_Assumptions!$E$194,Inputs_Assumptions!$E$192/Quarters_in_Year*IRR_Revenue_Model!CQ21,0)*Equity_In_Project</f>
        <v>2.1652897396763713</v>
      </c>
      <c r="CR126" s="109">
        <f>IF(CR154&gt;=Inputs_Assumptions!$E$194,Inputs_Assumptions!$E$192/Quarters_in_Year*IRR_Revenue_Model!CR21,0)*Equity_In_Project</f>
        <v>2.17869774711082</v>
      </c>
      <c r="CS126" s="109">
        <f>IF(CS154&gt;=Inputs_Assumptions!$E$194,Inputs_Assumptions!$E$192/Quarters_in_Year*IRR_Revenue_Model!CS21,0)*Equity_In_Project</f>
        <v>2.1921887802300386</v>
      </c>
      <c r="CT126" s="109">
        <f>IF(CT154&gt;=Inputs_Assumptions!$E$194,Inputs_Assumptions!$E$192/Quarters_in_Year*IRR_Revenue_Model!CT21,0)*Equity_In_Project</f>
        <v>2.2057633531495187</v>
      </c>
      <c r="CU126" s="257">
        <f>IF(CU154&gt;=Inputs_Assumptions!$E$194,Inputs_Assumptions!$E$192/Quarters_in_Year*IRR_Revenue_Model!CU21,0)*Equity_In_Project</f>
        <v>2.2194219831682815</v>
      </c>
      <c r="CV126" s="109">
        <f>IF(CV154&gt;=Inputs_Assumptions!$E$194,Inputs_Assumptions!$E$192/Quarters_in_Year*IRR_Revenue_Model!CV21,0)*Equity_In_Project</f>
        <v>2.2331651907885912</v>
      </c>
      <c r="CW126" s="109">
        <f>IF(CW154&gt;=Inputs_Assumptions!$E$194,Inputs_Assumptions!$E$192/Quarters_in_Year*IRR_Revenue_Model!CW21,0)*Equity_In_Project</f>
        <v>2.2469934997357903</v>
      </c>
      <c r="CX126" s="109">
        <f>IF(CX154&gt;=Inputs_Assumptions!$E$194,Inputs_Assumptions!$E$192/Quarters_in_Year*IRR_Revenue_Model!CX21,0)*Equity_In_Project</f>
        <v>2.2609074369782576</v>
      </c>
      <c r="CY126" s="109">
        <f>IF(CY154&gt;=Inputs_Assumptions!$E$194,Inputs_Assumptions!$E$192/Quarters_in_Year*IRR_Revenue_Model!CY21,0)*Equity_In_Project</f>
        <v>2.2749075327474895</v>
      </c>
      <c r="CZ126" s="109">
        <f>IF(CZ154&gt;=Inputs_Assumptions!$E$194,Inputs_Assumptions!$E$192/Quarters_in_Year*IRR_Revenue_Model!CZ21,0)*Equity_In_Project</f>
        <v>2.2889943205583068</v>
      </c>
      <c r="DA126" s="109">
        <f>IF(DA154&gt;=Inputs_Assumptions!$E$194,Inputs_Assumptions!$E$192/Quarters_in_Year*IRR_Revenue_Model!DA21,0)*Equity_In_Project</f>
        <v>2.3031683372291858</v>
      </c>
      <c r="DB126" s="109">
        <f>IF(DB154&gt;=Inputs_Assumptions!$E$194,Inputs_Assumptions!$E$192/Quarters_in_Year*IRR_Revenue_Model!DB21,0)*Equity_In_Project</f>
        <v>2.3174301229027146</v>
      </c>
      <c r="DC126" s="109">
        <f>IF(DC154&gt;=Inputs_Assumptions!$E$194,Inputs_Assumptions!$E$192/Quarters_in_Year*IRR_Revenue_Model!DC21,0)*Equity_In_Project</f>
        <v>2.3317802210661775</v>
      </c>
      <c r="DD126" s="109">
        <f>IF(DD154&gt;=Inputs_Assumptions!$E$194,Inputs_Assumptions!$E$192/Quarters_in_Year*IRR_Revenue_Model!DD21,0)*Equity_In_Project</f>
        <v>2.3462191785722655</v>
      </c>
      <c r="DE126" s="109">
        <f>IF(DE154&gt;=Inputs_Assumptions!$E$194,Inputs_Assumptions!$E$192/Quarters_in_Year*IRR_Revenue_Model!DE21,0)*Equity_In_Project</f>
        <v>2.3607475456599167</v>
      </c>
      <c r="DF126" s="109">
        <f>IF(DF154&gt;=Inputs_Assumptions!$E$194,Inputs_Assumptions!$E$192/Quarters_in_Year*IRR_Revenue_Model!DF21,0)*Equity_In_Project</f>
        <v>2.3753658759752838</v>
      </c>
      <c r="DG126" s="109">
        <f>IF(DG154&gt;=Inputs_Assumptions!$E$194,Inputs_Assumptions!$E$192/Quarters_in_Year*IRR_Revenue_Model!DG21,0)*Equity_In_Project</f>
        <v>2.3900747265928333</v>
      </c>
      <c r="DH126" s="109">
        <f>IF(DH154&gt;=Inputs_Assumptions!$E$194,Inputs_Assumptions!$E$192/Quarters_in_Year*IRR_Revenue_Model!DH21,0)*Equity_In_Project</f>
        <v>2.4048746580365736</v>
      </c>
      <c r="DI126" s="109">
        <f>IF(DI154&gt;=Inputs_Assumptions!$E$194,Inputs_Assumptions!$E$192/Quarters_in_Year*IRR_Revenue_Model!DI21,0)*Equity_In_Project</f>
        <v>2.4197662343014157</v>
      </c>
      <c r="DJ126" s="109">
        <f>IF(DJ154&gt;=Inputs_Assumptions!$E$194,Inputs_Assumptions!$E$192/Quarters_in_Year*IRR_Revenue_Model!DJ21,0)*Equity_In_Project</f>
        <v>2.4347500228746672</v>
      </c>
      <c r="DK126" s="109">
        <f>IF(DK154&gt;=Inputs_Assumptions!$E$194,Inputs_Assumptions!$E$192/Quarters_in_Year*IRR_Revenue_Model!DK21,0)*Equity_In_Project</f>
        <v>2.4498265947576554</v>
      </c>
      <c r="DL126" s="109">
        <f>IF(DL154&gt;=Inputs_Assumptions!$E$194,Inputs_Assumptions!$E$192/Quarters_in_Year*IRR_Revenue_Model!DL21,0)*Equity_In_Project</f>
        <v>2.4649965244874887</v>
      </c>
      <c r="DM126" s="109">
        <f>IF(DM154&gt;=Inputs_Assumptions!$E$194,Inputs_Assumptions!$E$192/Quarters_in_Year*IRR_Revenue_Model!DM21,0)*Equity_In_Project</f>
        <v>2.4802603901589522</v>
      </c>
      <c r="DN126" s="109">
        <f>IF(DN154&gt;=Inputs_Assumptions!$E$194,Inputs_Assumptions!$E$192/Quarters_in_Year*IRR_Revenue_Model!DN21,0)*Equity_In_Project</f>
        <v>2.4956187734465347</v>
      </c>
      <c r="DO126" s="109">
        <f>IF(DO154&gt;=Inputs_Assumptions!$E$194,Inputs_Assumptions!$E$192/Quarters_in_Year*IRR_Revenue_Model!DO21,0)*Equity_In_Project</f>
        <v>2.511072259626598</v>
      </c>
      <c r="DP126" s="109">
        <f>IF(DP154&gt;=Inputs_Assumptions!$E$194,Inputs_Assumptions!$E$192/Quarters_in_Year*IRR_Revenue_Model!DP21,0)*Equity_In_Project</f>
        <v>2.5266214375996769</v>
      </c>
      <c r="DQ126" s="109">
        <f>IF(DQ154&gt;=Inputs_Assumptions!$E$194,Inputs_Assumptions!$E$192/Quarters_in_Year*IRR_Revenue_Model!DQ21,0)*Equity_In_Project</f>
        <v>2.542266899912927</v>
      </c>
      <c r="DR126" s="109">
        <f>IF(DR154&gt;=Inputs_Assumptions!$E$194,Inputs_Assumptions!$E$192/Quarters_in_Year*IRR_Revenue_Model!DR21,0)*Equity_In_Project</f>
        <v>2.5580092427826995</v>
      </c>
      <c r="DS126" s="109">
        <f>IF(DS154&gt;=Inputs_Assumptions!$E$194,Inputs_Assumptions!$E$192/Quarters_in_Year*IRR_Revenue_Model!DS21,0)*Equity_In_Project</f>
        <v>2.5738490661172637</v>
      </c>
      <c r="DT126" s="109">
        <f>IF(DT154&gt;=Inputs_Assumptions!$E$194,Inputs_Assumptions!$E$192/Quarters_in_Year*IRR_Revenue_Model!DT21,0)*Equity_In_Project</f>
        <v>2.5897869735396699</v>
      </c>
      <c r="DU126" s="109">
        <f>IF(DU154&gt;=Inputs_Assumptions!$E$194,Inputs_Assumptions!$E$192/Quarters_in_Year*IRR_Revenue_Model!DU21,0)*Equity_In_Project</f>
        <v>2.6058235724107517</v>
      </c>
      <c r="DV126" s="109">
        <f>IF(DV154&gt;=Inputs_Assumptions!$E$194,Inputs_Assumptions!$E$192/Quarters_in_Year*IRR_Revenue_Model!DV21,0)*Equity_In_Project</f>
        <v>2.621959473852268</v>
      </c>
      <c r="DW126" s="109">
        <f>IF(DW154&gt;=Inputs_Assumptions!$E$194,Inputs_Assumptions!$E$192/Quarters_in_Year*IRR_Revenue_Model!DW21,0)*Equity_In_Project</f>
        <v>2.6381952927701962</v>
      </c>
      <c r="DX126" s="109">
        <f>IF(DX154&gt;=Inputs_Assumptions!$E$194,Inputs_Assumptions!$E$192/Quarters_in_Year*IRR_Revenue_Model!DX21,0)*Equity_In_Project</f>
        <v>2.6545316478781626</v>
      </c>
      <c r="DY126" s="109">
        <f>IF(DY154&gt;=Inputs_Assumptions!$E$194,Inputs_Assumptions!$E$192/Quarters_in_Year*IRR_Revenue_Model!DY21,0)*Equity_In_Project</f>
        <v>2.6709691617210214</v>
      </c>
      <c r="DZ126" s="109">
        <f>IF(DZ154&gt;=Inputs_Assumptions!$E$194,Inputs_Assumptions!$E$192/Quarters_in_Year*IRR_Revenue_Model!DZ21,0)*Equity_In_Project</f>
        <v>2.6875084606985755</v>
      </c>
      <c r="EA126" s="109">
        <f>IF(EA154&gt;=Inputs_Assumptions!$E$194,Inputs_Assumptions!$E$192/Quarters_in_Year*IRR_Revenue_Model!EA21,0)*Equity_In_Project</f>
        <v>2.7041501750894521</v>
      </c>
      <c r="EB126" s="109">
        <f>IF(EB154&gt;=Inputs_Assumptions!$E$194,Inputs_Assumptions!$E$192/Quarters_in_Year*IRR_Revenue_Model!EB21,0)*Equity_In_Project</f>
        <v>2.720894939075118</v>
      </c>
      <c r="EC126" s="109">
        <f>IF(EC154&gt;=Inputs_Assumptions!$E$194,Inputs_Assumptions!$E$192/Quarters_in_Year*IRR_Revenue_Model!EC21,0)*Equity_In_Project</f>
        <v>2.7377433907640474</v>
      </c>
      <c r="ED126" s="109">
        <f>IF(ED154&gt;=Inputs_Assumptions!$E$194,Inputs_Assumptions!$E$192/Quarters_in_Year*IRR_Revenue_Model!ED21,0)*Equity_In_Project</f>
        <v>2.7546961722160406</v>
      </c>
      <c r="EE126" s="109">
        <f>IF(EE154&gt;=Inputs_Assumptions!$E$194,Inputs_Assumptions!$E$192/Quarters_in_Year*IRR_Revenue_Model!EE21,0)*Equity_In_Project</f>
        <v>2.7717539294666893</v>
      </c>
      <c r="EF126" s="109">
        <f>IF(EF154&gt;=Inputs_Assumptions!$E$194,Inputs_Assumptions!$E$192/Quarters_in_Year*IRR_Revenue_Model!EF21,0)*Equity_In_Project</f>
        <v>2.7889173125519968</v>
      </c>
      <c r="EG126" s="109">
        <f>IF(EG154&gt;=Inputs_Assumptions!$E$194,Inputs_Assumptions!$E$192/Quarters_in_Year*IRR_Revenue_Model!EG21,0)*Equity_In_Project</f>
        <v>2.8061869755331497</v>
      </c>
      <c r="EH126" s="109">
        <f>IF(EH154&gt;=Inputs_Assumptions!$E$194,Inputs_Assumptions!$E$192/Quarters_in_Year*IRR_Revenue_Model!EH21,0)*Equity_In_Project</f>
        <v>2.8235635765214431</v>
      </c>
      <c r="EI126" s="109">
        <f>IF(EI154&gt;=Inputs_Assumptions!$E$194,Inputs_Assumptions!$E$192/Quarters_in_Year*IRR_Revenue_Model!EI21,0)*Equity_In_Project</f>
        <v>2.8410477777033578</v>
      </c>
      <c r="EJ126" s="109">
        <f>IF(EJ154&gt;=Inputs_Assumptions!$E$194,Inputs_Assumptions!$E$192/Quarters_in_Year*IRR_Revenue_Model!EJ21,0)*Equity_In_Project</f>
        <v>2.8586402453657977</v>
      </c>
      <c r="EK126" s="109">
        <f>IF(EK154&gt;=Inputs_Assumptions!$E$194,Inputs_Assumptions!$E$192/Quarters_in_Year*IRR_Revenue_Model!EK21,0)*Equity_In_Project</f>
        <v>2.8763416499214793</v>
      </c>
      <c r="EL126" s="109">
        <f>IF(EL154&gt;=Inputs_Assumptions!$E$194,Inputs_Assumptions!$E$192/Quarters_in_Year*IRR_Revenue_Model!EL21,0)*Equity_In_Project</f>
        <v>2.8941526659344796</v>
      </c>
      <c r="EM126" s="109">
        <f>IF(EM154&gt;=Inputs_Assumptions!$E$194,Inputs_Assumptions!$E$192/Quarters_in_Year*IRR_Revenue_Model!EM21,0)*Equity_In_Project</f>
        <v>2.9120739721459419</v>
      </c>
      <c r="EN126" s="109">
        <f>IF(EN154&gt;=Inputs_Assumptions!$E$194,Inputs_Assumptions!$E$192/Quarters_in_Year*IRR_Revenue_Model!EN21,0)*Equity_In_Project</f>
        <v>2.930106251499943</v>
      </c>
      <c r="EO126" s="109">
        <f>IF(EO154&gt;=Inputs_Assumptions!$E$194,Inputs_Assumptions!$E$192/Quarters_in_Year*IRR_Revenue_Model!EO21,0)*Equity_In_Project</f>
        <v>2.9482501911695169</v>
      </c>
      <c r="EP126" s="109">
        <f>IF(EP154&gt;=Inputs_Assumptions!$E$194,Inputs_Assumptions!$E$192/Quarters_in_Year*IRR_Revenue_Model!EP21,0)*Equity_In_Project</f>
        <v>2.9665064825828424</v>
      </c>
      <c r="EQ126" s="109">
        <f>IF(EQ154&gt;=Inputs_Assumptions!$E$194,Inputs_Assumptions!$E$192/Quarters_in_Year*IRR_Revenue_Model!EQ21,0)*Equity_In_Project</f>
        <v>2.9848758214495916</v>
      </c>
      <c r="ER126" s="109">
        <f>IF(ER154&gt;=Inputs_Assumptions!$E$194,Inputs_Assumptions!$E$192/Quarters_in_Year*IRR_Revenue_Model!ER21,0)*Equity_In_Project</f>
        <v>3.003358907787443</v>
      </c>
      <c r="ES126" s="109">
        <f>IF(ES154&gt;=Inputs_Assumptions!$E$194,Inputs_Assumptions!$E$192/Quarters_in_Year*IRR_Revenue_Model!ES21,0)*Equity_In_Project</f>
        <v>3.0219564459487556</v>
      </c>
      <c r="ET126" s="109">
        <f>IF(ET154&gt;=Inputs_Assumptions!$E$194,Inputs_Assumptions!$E$192/Quarters_in_Year*IRR_Revenue_Model!ET21,0)*Equity_In_Project</f>
        <v>3.0406691446474143</v>
      </c>
      <c r="EU126" s="109">
        <f>IF(EU154&gt;=Inputs_Assumptions!$E$194,Inputs_Assumptions!$E$192/Quarters_in_Year*IRR_Revenue_Model!EU21,0)*Equity_In_Project</f>
        <v>3.0594977169858324</v>
      </c>
      <c r="EV126" s="109">
        <f>IF(EV154&gt;=Inputs_Assumptions!$E$194,Inputs_Assumptions!$E$192/Quarters_in_Year*IRR_Revenue_Model!EV21,0)*Equity_In_Project</f>
        <v>3.0784428804821298</v>
      </c>
      <c r="EW126" s="109">
        <f>IF(EW154&gt;=Inputs_Assumptions!$E$194,Inputs_Assumptions!$E$192/Quarters_in_Year*IRR_Revenue_Model!EW21,0)*Equity_In_Project</f>
        <v>3.0975053570974751</v>
      </c>
      <c r="EX126" s="109">
        <f>IF(EX154&gt;=Inputs_Assumptions!$E$194,Inputs_Assumptions!$E$192/Quarters_in_Year*IRR_Revenue_Model!EX21,0)*Equity_In_Project</f>
        <v>3.1166858732636005</v>
      </c>
      <c r="EY126" s="109">
        <f>IF(EY154&gt;=Inputs_Assumptions!$E$194,Inputs_Assumptions!$E$192/Quarters_in_Year*IRR_Revenue_Model!EY21,0)*Equity_In_Project</f>
        <v>3.1359851599104789</v>
      </c>
      <c r="EZ126" s="109">
        <f>IF(EZ154&gt;=Inputs_Assumptions!$E$194,Inputs_Assumptions!$E$192/Quarters_in_Year*IRR_Revenue_Model!EZ21,0)*Equity_In_Project</f>
        <v>3.1554039524941837</v>
      </c>
      <c r="FA126" s="109">
        <f>IF(FA154&gt;=Inputs_Assumptions!$E$194,Inputs_Assumptions!$E$192/Quarters_in_Year*IRR_Revenue_Model!FA21,0)*Equity_In_Project</f>
        <v>3.1749429910249134</v>
      </c>
    </row>
    <row r="127" spans="3:157" outlineLevel="1" x14ac:dyDescent="0.2">
      <c r="C127" s="12" t="s">
        <v>406</v>
      </c>
      <c r="D127" s="21" t="s">
        <v>126</v>
      </c>
      <c r="E127" s="119"/>
      <c r="F127" s="119"/>
      <c r="G127" s="119">
        <f>SUM($G126:G126)</f>
        <v>0</v>
      </c>
      <c r="H127" s="119">
        <f>SUM($G126:H126)</f>
        <v>0</v>
      </c>
      <c r="I127" s="119">
        <f>SUM($G126:I126)</f>
        <v>0</v>
      </c>
      <c r="J127" s="119">
        <f>SUM($G126:J126)</f>
        <v>0</v>
      </c>
      <c r="K127" s="119">
        <f>SUM($G126:K126)</f>
        <v>0</v>
      </c>
      <c r="L127" s="119">
        <f>SUM($G126:L126)</f>
        <v>0</v>
      </c>
      <c r="M127" s="119">
        <f>SUM($G126:M126)</f>
        <v>0</v>
      </c>
      <c r="N127" s="119">
        <f>SUM($G126:N126)</f>
        <v>0</v>
      </c>
      <c r="O127" s="119">
        <f>SUM($G126:O126)</f>
        <v>0</v>
      </c>
      <c r="P127" s="119">
        <f>SUM($G126:P126)</f>
        <v>0</v>
      </c>
      <c r="Q127" s="119">
        <f>SUM($G126:Q126)</f>
        <v>0</v>
      </c>
      <c r="R127" s="119">
        <f>SUM($G126:R126)</f>
        <v>0</v>
      </c>
      <c r="S127" s="119">
        <f>SUM($G126:S126)</f>
        <v>0</v>
      </c>
      <c r="T127" s="119">
        <f>SUM($G126:T126)</f>
        <v>0</v>
      </c>
      <c r="U127" s="119">
        <f>SUM($G126:U126)</f>
        <v>0</v>
      </c>
      <c r="V127" s="119">
        <f>SUM($G126:V126)</f>
        <v>0</v>
      </c>
      <c r="W127" s="119">
        <f>SUM($G126:W126)</f>
        <v>0</v>
      </c>
      <c r="X127" s="119">
        <f>SUM($G126:X126)</f>
        <v>0</v>
      </c>
      <c r="Y127" s="119">
        <f>SUM($G126:Y126)</f>
        <v>0</v>
      </c>
      <c r="Z127" s="119">
        <f>SUM($G126:Z126)</f>
        <v>0</v>
      </c>
      <c r="AA127" s="119">
        <f>SUM($G126:AA126)</f>
        <v>0</v>
      </c>
      <c r="AB127" s="119">
        <f>SUM($G126:AB126)</f>
        <v>0</v>
      </c>
      <c r="AC127" s="119">
        <f>SUM($G126:AC126)</f>
        <v>0</v>
      </c>
      <c r="AD127" s="119">
        <f>SUM($G126:AD126)</f>
        <v>0</v>
      </c>
      <c r="AE127" s="119">
        <f>SUM($G126:AE126)</f>
        <v>0</v>
      </c>
      <c r="AF127" s="119">
        <f>SUM($G126:AF126)</f>
        <v>0</v>
      </c>
      <c r="AG127" s="119">
        <f>SUM($G126:AG126)</f>
        <v>0</v>
      </c>
      <c r="AH127" s="119">
        <f>SUM($G126:AH126)</f>
        <v>0</v>
      </c>
      <c r="AI127" s="119">
        <f>SUM($G126:AI126)</f>
        <v>0</v>
      </c>
      <c r="AJ127" s="119">
        <f>SUM($G126:AJ126)</f>
        <v>0</v>
      </c>
      <c r="AK127" s="119">
        <f>SUM($G126:AK126)</f>
        <v>0</v>
      </c>
      <c r="AL127" s="119">
        <f>SUM($G126:AL126)</f>
        <v>0</v>
      </c>
      <c r="AM127" s="119">
        <f>SUM($G126:AM126)</f>
        <v>1.5324344354689647</v>
      </c>
      <c r="AN127" s="119">
        <f>SUM($G126:AN126)</f>
        <v>3.0743580824402406</v>
      </c>
      <c r="AO127" s="119">
        <f>SUM($G126:AO126)</f>
        <v>4.625829700448886</v>
      </c>
      <c r="AP127" s="119">
        <f>SUM($G126:AP126)</f>
        <v>6.1869084128834739</v>
      </c>
      <c r="AQ127" s="119">
        <f>SUM($G126:AQ126)</f>
        <v>7.7576537092391629</v>
      </c>
      <c r="AR127" s="119">
        <f>SUM($G126:AR126)</f>
        <v>9.3381254473847211</v>
      </c>
      <c r="AS127" s="119">
        <f>SUM($G126:AS126)</f>
        <v>10.928383855843583</v>
      </c>
      <c r="AT127" s="119">
        <f>SUM($G126:AT126)</f>
        <v>12.528489536089037</v>
      </c>
      <c r="AU127" s="119">
        <f>SUM($G126:AU126)</f>
        <v>14.138503464853619</v>
      </c>
      <c r="AV127" s="119">
        <f>SUM($G126:AV126)</f>
        <v>15.758486996452817</v>
      </c>
      <c r="AW127" s="119">
        <f>SUM($G126:AW126)</f>
        <v>17.38850186512315</v>
      </c>
      <c r="AX127" s="119">
        <f>SUM($G126:AX126)</f>
        <v>19.028610187374738</v>
      </c>
      <c r="AY127" s="119">
        <f>SUM($G126:AY126)</f>
        <v>20.678874464358437</v>
      </c>
      <c r="AZ127" s="119">
        <f>SUM($G126:AZ126)</f>
        <v>22.339357584247615</v>
      </c>
      <c r="BA127" s="119">
        <f>SUM($G126:BA126)</f>
        <v>24.01012282463471</v>
      </c>
      <c r="BB127" s="119">
        <f>SUM($G126:BB126)</f>
        <v>25.691233854942588</v>
      </c>
      <c r="BC127" s="119">
        <f>SUM($G126:BC126)</f>
        <v>27.382754738850878</v>
      </c>
      <c r="BD127" s="119">
        <f>SUM($G126:BD126)</f>
        <v>29.084749936737285</v>
      </c>
      <c r="BE127" s="119">
        <f>SUM($G126:BE126)</f>
        <v>30.797284308134056</v>
      </c>
      <c r="BF127" s="119">
        <f>SUM($G126:BF126)</f>
        <v>32.520423114199637</v>
      </c>
      <c r="BG127" s="119">
        <f>SUM($G126:BG126)</f>
        <v>34.254232020205635</v>
      </c>
      <c r="BH127" s="119">
        <f>SUM($G126:BH126)</f>
        <v>35.998777098039206</v>
      </c>
      <c r="BI127" s="119">
        <f>SUM($G126:BI126)</f>
        <v>37.754124828720897</v>
      </c>
      <c r="BJ127" s="119">
        <f>SUM($G126:BJ126)</f>
        <v>39.520342104938116</v>
      </c>
      <c r="BK127" s="119">
        <f>SUM($G126:BK126)</f>
        <v>41.297496233594266</v>
      </c>
      <c r="BL127" s="119">
        <f>SUM($G126:BL126)</f>
        <v>43.085654938373672</v>
      </c>
      <c r="BM127" s="119">
        <f>SUM($G126:BM126)</f>
        <v>44.884886362322405</v>
      </c>
      <c r="BN127" s="119">
        <f>SUM($G126:BN126)</f>
        <v>46.695259070445054</v>
      </c>
      <c r="BO127" s="119">
        <f>SUM($G126:BO126)</f>
        <v>48.516842052317607</v>
      </c>
      <c r="BP127" s="119">
        <f>SUM($G126:BP126)</f>
        <v>50.349704724716503</v>
      </c>
      <c r="BQ127" s="119">
        <f>SUM($G126:BQ126)</f>
        <v>52.193916934263953</v>
      </c>
      <c r="BR127" s="119">
        <f>SUM($G126:BR126)</f>
        <v>54.049548960089666</v>
      </c>
      <c r="BS127" s="119">
        <f>SUM($G126:BS126)</f>
        <v>55.916671516509034</v>
      </c>
      <c r="BT127" s="119">
        <f>SUM($G126:BT126)</f>
        <v>57.7953557557179</v>
      </c>
      <c r="BU127" s="119">
        <f>SUM($G126:BU126)</f>
        <v>59.68567327050404</v>
      </c>
      <c r="BV127" s="119">
        <f>SUM($G126:BV126)</f>
        <v>61.587696096975399</v>
      </c>
      <c r="BW127" s="119">
        <f>SUM($G126:BW126)</f>
        <v>63.501496717305251</v>
      </c>
      <c r="BX127" s="119">
        <f>SUM($G126:BX126)</f>
        <v>65.427148062494339</v>
      </c>
      <c r="BY127" s="119">
        <f>SUM($G126:BY126)</f>
        <v>67.364723515150132</v>
      </c>
      <c r="BZ127" s="119">
        <f>SUM($G126:BZ126)</f>
        <v>69.314296912283282</v>
      </c>
      <c r="CA127" s="119">
        <f>SUM($G126:CA126)</f>
        <v>71.275942548121378</v>
      </c>
      <c r="CB127" s="119">
        <f>SUM($G126:CB126)</f>
        <v>73.249735176940192</v>
      </c>
      <c r="CC127" s="119">
        <f>SUM($G126:CC126)</f>
        <v>75.235750015912387</v>
      </c>
      <c r="CD127" s="119">
        <f>SUM($G126:CD126)</f>
        <v>77.234062747973866</v>
      </c>
      <c r="CE127" s="119">
        <f>SUM($G126:CE126)</f>
        <v>79.244749524707913</v>
      </c>
      <c r="CF127" s="119">
        <f>SUM($G126:CF126)</f>
        <v>81.267886969247201</v>
      </c>
      <c r="CG127" s="119">
        <f>SUM($G126:CG126)</f>
        <v>83.303552179193701</v>
      </c>
      <c r="CH127" s="119">
        <f>SUM($G126:CH126)</f>
        <v>85.351822729556716</v>
      </c>
      <c r="CI127" s="119">
        <f>SUM($G126:CI126)</f>
        <v>87.412776675709125</v>
      </c>
      <c r="CJ127" s="119">
        <f>SUM($G126:CJ126)</f>
        <v>89.486492556361895</v>
      </c>
      <c r="CK127" s="119">
        <f>SUM($G126:CK126)</f>
        <v>91.573049396557053</v>
      </c>
      <c r="CL127" s="119">
        <f>SUM($G126:CL126)</f>
        <v>93.672526710679136</v>
      </c>
      <c r="CM127" s="119">
        <f>SUM($G126:CM126)</f>
        <v>95.785004505485347</v>
      </c>
      <c r="CN127" s="119">
        <f>SUM($G126:CN126)</f>
        <v>97.910563283154445</v>
      </c>
      <c r="CO127" s="119">
        <f>SUM($G126:CO126)</f>
        <v>100.04928404435448</v>
      </c>
      <c r="CP127" s="119">
        <f>SUM($G126:CP126)</f>
        <v>102.20124829132962</v>
      </c>
      <c r="CQ127" s="119">
        <f>SUM($G126:CQ126)</f>
        <v>104.36653803100599</v>
      </c>
      <c r="CR127" s="119">
        <f>SUM($G126:CR126)</f>
        <v>106.5452357781168</v>
      </c>
      <c r="CS127" s="119">
        <f>SUM($G126:CS126)</f>
        <v>108.73742455834685</v>
      </c>
      <c r="CT127" s="119">
        <f>SUM($G126:CT126)</f>
        <v>110.94318791149637</v>
      </c>
      <c r="CU127" s="266">
        <f>SUM($G126:CU126)</f>
        <v>113.16260989466466</v>
      </c>
      <c r="CV127" s="119">
        <f>SUM($G126:CV126)</f>
        <v>115.39577508545325</v>
      </c>
      <c r="CW127" s="119">
        <f>SUM($G126:CW126)</f>
        <v>117.64276858518905</v>
      </c>
      <c r="CX127" s="119">
        <f>SUM($G126:CX126)</f>
        <v>119.9036760221673</v>
      </c>
      <c r="CY127" s="119">
        <f>SUM($G126:CY126)</f>
        <v>122.17858355491479</v>
      </c>
      <c r="CZ127" s="119">
        <f>SUM($G126:CZ126)</f>
        <v>124.4675778754731</v>
      </c>
      <c r="DA127" s="119">
        <f>SUM($G126:DA126)</f>
        <v>126.77074621270228</v>
      </c>
      <c r="DB127" s="119">
        <f>SUM($G126:DB126)</f>
        <v>129.088176335605</v>
      </c>
      <c r="DC127" s="119">
        <f>SUM($G126:DC126)</f>
        <v>131.41995655667117</v>
      </c>
      <c r="DD127" s="119">
        <f>SUM($G126:DD126)</f>
        <v>133.76617573524342</v>
      </c>
      <c r="DE127" s="119">
        <f>SUM($G126:DE126)</f>
        <v>136.12692328090333</v>
      </c>
      <c r="DF127" s="119">
        <f>SUM($G126:DF126)</f>
        <v>138.50228915687862</v>
      </c>
      <c r="DG127" s="119">
        <f>SUM($G126:DG126)</f>
        <v>140.89236388347146</v>
      </c>
      <c r="DH127" s="119">
        <f>SUM($G126:DH126)</f>
        <v>143.29723854150802</v>
      </c>
      <c r="DI127" s="119">
        <f>SUM($G126:DI126)</f>
        <v>145.71700477580944</v>
      </c>
      <c r="DJ127" s="119">
        <f>SUM($G126:DJ126)</f>
        <v>148.15175479868412</v>
      </c>
      <c r="DK127" s="119">
        <f>SUM($G126:DK126)</f>
        <v>150.60158139344179</v>
      </c>
      <c r="DL127" s="119">
        <f>SUM($G126:DL126)</f>
        <v>153.06657791792927</v>
      </c>
      <c r="DM127" s="119">
        <f>SUM($G126:DM126)</f>
        <v>155.54683830808821</v>
      </c>
      <c r="DN127" s="119">
        <f>SUM($G126:DN126)</f>
        <v>158.04245708153474</v>
      </c>
      <c r="DO127" s="119">
        <f>SUM($G126:DO126)</f>
        <v>160.55352934116132</v>
      </c>
      <c r="DP127" s="119">
        <f>SUM($G126:DP126)</f>
        <v>163.08015077876101</v>
      </c>
      <c r="DQ127" s="119">
        <f>SUM($G126:DQ126)</f>
        <v>165.62241767867394</v>
      </c>
      <c r="DR127" s="119">
        <f>SUM($G126:DR126)</f>
        <v>168.18042692145664</v>
      </c>
      <c r="DS127" s="119">
        <f>SUM($G126:DS126)</f>
        <v>170.75427598757392</v>
      </c>
      <c r="DT127" s="119">
        <f>SUM($G126:DT126)</f>
        <v>173.34406296111359</v>
      </c>
      <c r="DU127" s="119">
        <f>SUM($G126:DU126)</f>
        <v>175.94988653352434</v>
      </c>
      <c r="DV127" s="119">
        <f>SUM($G126:DV126)</f>
        <v>178.57184600737659</v>
      </c>
      <c r="DW127" s="119">
        <f>SUM($G126:DW126)</f>
        <v>181.2100413001468</v>
      </c>
      <c r="DX127" s="119">
        <f>SUM($G126:DX126)</f>
        <v>183.86457294802497</v>
      </c>
      <c r="DY127" s="119">
        <f>SUM($G126:DY126)</f>
        <v>186.53554210974599</v>
      </c>
      <c r="DZ127" s="119">
        <f>SUM($G126:DZ126)</f>
        <v>189.22305057044457</v>
      </c>
      <c r="EA127" s="119">
        <f>SUM($G126:EA126)</f>
        <v>191.92720074553401</v>
      </c>
      <c r="EB127" s="119">
        <f>SUM($G126:EB126)</f>
        <v>194.64809568460913</v>
      </c>
      <c r="EC127" s="119">
        <f>SUM($G126:EC126)</f>
        <v>197.38583907537318</v>
      </c>
      <c r="ED127" s="119">
        <f>SUM($G126:ED126)</f>
        <v>200.14053524758921</v>
      </c>
      <c r="EE127" s="119">
        <f>SUM($G126:EE126)</f>
        <v>202.9122891770559</v>
      </c>
      <c r="EF127" s="119">
        <f>SUM($G126:EF126)</f>
        <v>205.7012064896079</v>
      </c>
      <c r="EG127" s="119">
        <f>SUM($G126:EG126)</f>
        <v>208.50739346514104</v>
      </c>
      <c r="EH127" s="119">
        <f>SUM($G126:EH126)</f>
        <v>211.33095704166249</v>
      </c>
      <c r="EI127" s="119">
        <f>SUM($G126:EI126)</f>
        <v>214.17200481936584</v>
      </c>
      <c r="EJ127" s="119">
        <f>SUM($G126:EJ126)</f>
        <v>217.03064506473163</v>
      </c>
      <c r="EK127" s="119">
        <f>SUM($G126:EK126)</f>
        <v>219.9069867146531</v>
      </c>
      <c r="EL127" s="119">
        <f>SUM($G126:EL126)</f>
        <v>222.80113938058759</v>
      </c>
      <c r="EM127" s="119">
        <f>SUM($G126:EM126)</f>
        <v>225.71321335273353</v>
      </c>
      <c r="EN127" s="119">
        <f>SUM($G126:EN126)</f>
        <v>228.64331960423348</v>
      </c>
      <c r="EO127" s="119">
        <f>SUM($G126:EO126)</f>
        <v>231.59156979540299</v>
      </c>
      <c r="EP127" s="119">
        <f>SUM($G126:EP126)</f>
        <v>234.55807627798583</v>
      </c>
      <c r="EQ127" s="119">
        <f>SUM($G126:EQ126)</f>
        <v>237.54295209943541</v>
      </c>
      <c r="ER127" s="119">
        <f>SUM($G126:ER126)</f>
        <v>240.54631100722284</v>
      </c>
      <c r="ES127" s="119">
        <f>SUM($G126:ES126)</f>
        <v>243.56826745317159</v>
      </c>
      <c r="ET127" s="119">
        <f>SUM($G126:ET126)</f>
        <v>246.608936597819</v>
      </c>
      <c r="EU127" s="119">
        <f>SUM($G126:EU126)</f>
        <v>249.66843431480484</v>
      </c>
      <c r="EV127" s="119">
        <f>SUM($G126:EV126)</f>
        <v>252.74687719528697</v>
      </c>
      <c r="EW127" s="119">
        <f>SUM($G126:EW126)</f>
        <v>255.84438255238445</v>
      </c>
      <c r="EX127" s="119">
        <f>SUM($G126:EX126)</f>
        <v>258.96106842564802</v>
      </c>
      <c r="EY127" s="119">
        <f>SUM($G126:EY126)</f>
        <v>262.09705358555851</v>
      </c>
      <c r="EZ127" s="119">
        <f>SUM($G126:EZ126)</f>
        <v>265.25245753805268</v>
      </c>
      <c r="FA127" s="119">
        <f>SUM($G126:FA126)</f>
        <v>268.4274005290776</v>
      </c>
    </row>
    <row r="128" spans="3:157" outlineLevel="1" x14ac:dyDescent="0.2">
      <c r="C128" s="12"/>
      <c r="D128" s="21"/>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c r="CF128" s="119"/>
      <c r="CG128" s="119"/>
      <c r="CH128" s="119"/>
      <c r="CI128" s="119"/>
      <c r="CJ128" s="119"/>
      <c r="CK128" s="119"/>
      <c r="CL128" s="119"/>
      <c r="CM128" s="119"/>
      <c r="CN128" s="119"/>
      <c r="CO128" s="119"/>
      <c r="CP128" s="119"/>
      <c r="CQ128" s="119"/>
      <c r="CR128" s="119"/>
      <c r="CS128" s="119"/>
      <c r="CT128" s="119"/>
      <c r="CU128" s="266"/>
      <c r="CV128" s="119"/>
      <c r="CW128" s="119"/>
      <c r="CX128" s="119"/>
      <c r="CY128" s="119"/>
      <c r="CZ128" s="119"/>
      <c r="DA128" s="119"/>
      <c r="DB128" s="119"/>
      <c r="DC128" s="119"/>
      <c r="DD128" s="119"/>
      <c r="DE128" s="119"/>
      <c r="DF128" s="119"/>
      <c r="DG128" s="119"/>
      <c r="DH128" s="119"/>
      <c r="DI128" s="119"/>
      <c r="DJ128" s="119"/>
      <c r="DK128" s="119"/>
      <c r="DL128" s="119"/>
      <c r="DM128" s="119"/>
      <c r="DN128" s="119"/>
      <c r="DO128" s="119"/>
      <c r="DP128" s="119"/>
      <c r="DQ128" s="119"/>
      <c r="DR128" s="119"/>
      <c r="DS128" s="119"/>
      <c r="DT128" s="119"/>
      <c r="DU128" s="119"/>
      <c r="DV128" s="119"/>
      <c r="DW128" s="119"/>
      <c r="DX128" s="119"/>
      <c r="DY128" s="119"/>
      <c r="DZ128" s="119"/>
      <c r="EA128" s="119"/>
      <c r="EB128" s="119"/>
      <c r="EC128" s="119"/>
      <c r="ED128" s="119"/>
      <c r="EE128" s="119"/>
      <c r="EF128" s="119"/>
      <c r="EG128" s="119"/>
      <c r="EH128" s="119"/>
      <c r="EI128" s="119"/>
      <c r="EJ128" s="119"/>
      <c r="EK128" s="119"/>
      <c r="EL128" s="119"/>
      <c r="EM128" s="119"/>
      <c r="EN128" s="119"/>
      <c r="EO128" s="119"/>
      <c r="EP128" s="119"/>
      <c r="EQ128" s="119"/>
      <c r="ER128" s="119"/>
      <c r="ES128" s="119"/>
      <c r="ET128" s="119"/>
      <c r="EU128" s="119"/>
      <c r="EV128" s="119"/>
      <c r="EW128" s="119"/>
      <c r="EX128" s="119"/>
      <c r="EY128" s="119"/>
      <c r="EZ128" s="119"/>
      <c r="FA128" s="119"/>
    </row>
    <row r="129" spans="3:157" outlineLevel="1" x14ac:dyDescent="0.2">
      <c r="C129" s="9" t="s">
        <v>407</v>
      </c>
      <c r="D129" s="21" t="s">
        <v>286</v>
      </c>
      <c r="E129" s="119"/>
      <c r="F129" s="119"/>
      <c r="G129" s="119">
        <f t="shared" ref="G129:AL129" ca="1" si="822">MIN(MAX(0,G127-G125),MAX(0,G99))</f>
        <v>0</v>
      </c>
      <c r="H129" s="119">
        <f t="shared" ca="1" si="822"/>
        <v>0</v>
      </c>
      <c r="I129" s="119">
        <f t="shared" ca="1" si="822"/>
        <v>0</v>
      </c>
      <c r="J129" s="119">
        <f t="shared" ca="1" si="822"/>
        <v>0</v>
      </c>
      <c r="K129" s="119">
        <f t="shared" ca="1" si="822"/>
        <v>0</v>
      </c>
      <c r="L129" s="119">
        <f t="shared" ca="1" si="822"/>
        <v>0</v>
      </c>
      <c r="M129" s="119">
        <f t="shared" ca="1" si="822"/>
        <v>0</v>
      </c>
      <c r="N129" s="119">
        <f t="shared" ca="1" si="822"/>
        <v>0</v>
      </c>
      <c r="O129" s="119">
        <f t="shared" ca="1" si="822"/>
        <v>0</v>
      </c>
      <c r="P129" s="119">
        <f t="shared" ca="1" si="822"/>
        <v>0</v>
      </c>
      <c r="Q129" s="119">
        <f t="shared" ca="1" si="822"/>
        <v>0</v>
      </c>
      <c r="R129" s="119">
        <f t="shared" ca="1" si="822"/>
        <v>0</v>
      </c>
      <c r="S129" s="119">
        <f t="shared" ca="1" si="822"/>
        <v>0</v>
      </c>
      <c r="T129" s="119">
        <f t="shared" ca="1" si="822"/>
        <v>0</v>
      </c>
      <c r="U129" s="119">
        <f t="shared" ca="1" si="822"/>
        <v>0</v>
      </c>
      <c r="V129" s="119">
        <f t="shared" ca="1" si="822"/>
        <v>0</v>
      </c>
      <c r="W129" s="119">
        <f t="shared" ca="1" si="822"/>
        <v>0</v>
      </c>
      <c r="X129" s="119">
        <f t="shared" ca="1" si="822"/>
        <v>0</v>
      </c>
      <c r="Y129" s="119">
        <f t="shared" ca="1" si="822"/>
        <v>0</v>
      </c>
      <c r="Z129" s="119">
        <f t="shared" ca="1" si="822"/>
        <v>0</v>
      </c>
      <c r="AA129" s="119">
        <f t="shared" ca="1" si="822"/>
        <v>0</v>
      </c>
      <c r="AB129" s="119">
        <f t="shared" ca="1" si="822"/>
        <v>0</v>
      </c>
      <c r="AC129" s="119">
        <f t="shared" ca="1" si="822"/>
        <v>0</v>
      </c>
      <c r="AD129" s="119">
        <f t="shared" ca="1" si="822"/>
        <v>0</v>
      </c>
      <c r="AE129" s="119">
        <f t="shared" ca="1" si="822"/>
        <v>0</v>
      </c>
      <c r="AF129" s="119">
        <f t="shared" ca="1" si="822"/>
        <v>0</v>
      </c>
      <c r="AG129" s="119">
        <f t="shared" ca="1" si="822"/>
        <v>0</v>
      </c>
      <c r="AH129" s="119">
        <f t="shared" ca="1" si="822"/>
        <v>0</v>
      </c>
      <c r="AI129" s="119">
        <f t="shared" ca="1" si="822"/>
        <v>0</v>
      </c>
      <c r="AJ129" s="119">
        <f t="shared" ca="1" si="822"/>
        <v>0</v>
      </c>
      <c r="AK129" s="119">
        <f t="shared" ca="1" si="822"/>
        <v>0</v>
      </c>
      <c r="AL129" s="119">
        <f t="shared" ca="1" si="822"/>
        <v>0</v>
      </c>
      <c r="AM129" s="119">
        <f ca="1">MIN(MAX(0,AM127-AM125),MAX(0,AM99))</f>
        <v>1.5324344354689647</v>
      </c>
      <c r="AN129" s="119">
        <f t="shared" ref="AN129:CY129" ca="1" si="823">MIN(MAX(0,AN127-AN125),MAX(0,AN99))</f>
        <v>0</v>
      </c>
      <c r="AO129" s="119">
        <f t="shared" ca="1" si="823"/>
        <v>0</v>
      </c>
      <c r="AP129" s="119">
        <f t="shared" ca="1" si="823"/>
        <v>3.5851505276393922</v>
      </c>
      <c r="AQ129" s="119">
        <f t="shared" ca="1" si="823"/>
        <v>2.6400687461308063</v>
      </c>
      <c r="AR129" s="119">
        <f t="shared" ca="1" si="823"/>
        <v>0</v>
      </c>
      <c r="AS129" s="119">
        <f t="shared" ca="1" si="823"/>
        <v>0</v>
      </c>
      <c r="AT129" s="119">
        <f t="shared" ca="1" si="823"/>
        <v>2.6469478698545075</v>
      </c>
      <c r="AU129" s="119">
        <f t="shared" ca="1" si="823"/>
        <v>3.7339018857599484</v>
      </c>
      <c r="AV129" s="119">
        <f t="shared" ca="1" si="823"/>
        <v>0</v>
      </c>
      <c r="AW129" s="119">
        <f t="shared" ca="1" si="823"/>
        <v>0</v>
      </c>
      <c r="AX129" s="119">
        <f t="shared" ca="1" si="823"/>
        <v>2.6200869504450104</v>
      </c>
      <c r="AY129" s="119">
        <f t="shared" ca="1" si="823"/>
        <v>3.9202840490598092</v>
      </c>
      <c r="AZ129" s="119">
        <f t="shared" ca="1" si="823"/>
        <v>0</v>
      </c>
      <c r="BA129" s="119">
        <f t="shared" ca="1" si="823"/>
        <v>0</v>
      </c>
      <c r="BB129" s="119">
        <f t="shared" ca="1" si="823"/>
        <v>4.5224046144152901</v>
      </c>
      <c r="BC129" s="119">
        <f t="shared" ca="1" si="823"/>
        <v>2.181475660077151</v>
      </c>
      <c r="BD129" s="119">
        <f t="shared" ca="1" si="823"/>
        <v>0</v>
      </c>
      <c r="BE129" s="119">
        <f t="shared" ca="1" si="823"/>
        <v>0</v>
      </c>
      <c r="BF129" s="119">
        <f t="shared" ca="1" si="823"/>
        <v>2.1635009143747439</v>
      </c>
      <c r="BG129" s="119">
        <f t="shared" ca="1" si="823"/>
        <v>4.707976366980013</v>
      </c>
      <c r="BH129" s="119">
        <f t="shared" ca="1" si="823"/>
        <v>0</v>
      </c>
      <c r="BI129" s="119">
        <f t="shared" ca="1" si="823"/>
        <v>0</v>
      </c>
      <c r="BJ129" s="119">
        <f t="shared" ca="1" si="823"/>
        <v>2.1180267273372486</v>
      </c>
      <c r="BK129" s="119">
        <f t="shared" ca="1" si="823"/>
        <v>4.9252374860513797</v>
      </c>
      <c r="BL129" s="119">
        <f t="shared" ca="1" si="823"/>
        <v>0</v>
      </c>
      <c r="BM129" s="119">
        <f t="shared" ca="1" si="823"/>
        <v>0</v>
      </c>
      <c r="BN129" s="119">
        <f t="shared" ca="1" si="823"/>
        <v>2.0688617695882598</v>
      </c>
      <c r="BO129" s="119">
        <f t="shared" ca="1" si="823"/>
        <v>5.1504840491350805</v>
      </c>
      <c r="BP129" s="119">
        <f t="shared" ca="1" si="823"/>
        <v>0</v>
      </c>
      <c r="BQ129" s="119">
        <f t="shared" ca="1" si="823"/>
        <v>0</v>
      </c>
      <c r="BR129" s="119">
        <f t="shared" ca="1" si="823"/>
        <v>2.015847493705607</v>
      </c>
      <c r="BS129" s="119">
        <f t="shared" ca="1" si="823"/>
        <v>5.3839819704858201</v>
      </c>
      <c r="BT129" s="119">
        <f t="shared" ca="1" si="823"/>
        <v>0</v>
      </c>
      <c r="BU129" s="119">
        <f t="shared" ca="1" si="823"/>
        <v>0</v>
      </c>
      <c r="BV129" s="119">
        <f t="shared" ca="1" si="823"/>
        <v>1.9588196490226508</v>
      </c>
      <c r="BW129" s="119">
        <f t="shared" ca="1" si="823"/>
        <v>5.6260055517735665</v>
      </c>
      <c r="BX129" s="119">
        <f t="shared" ca="1" si="823"/>
        <v>0</v>
      </c>
      <c r="BY129" s="119">
        <f t="shared" ca="1" si="823"/>
        <v>0</v>
      </c>
      <c r="BZ129" s="119">
        <f t="shared" ca="1" si="823"/>
        <v>1.8976080928986221</v>
      </c>
      <c r="CA129" s="119">
        <f t="shared" ca="1" si="823"/>
        <v>5.8768377379174979</v>
      </c>
      <c r="CB129" s="119">
        <f t="shared" ca="1" si="823"/>
        <v>0</v>
      </c>
      <c r="CC129" s="119">
        <f t="shared" ca="1" si="823"/>
        <v>0</v>
      </c>
      <c r="CD129" s="119">
        <f t="shared" ca="1" si="823"/>
        <v>4.809900281664838</v>
      </c>
      <c r="CE129" s="119">
        <f t="shared" ca="1" si="823"/>
        <v>3.1589066949216971</v>
      </c>
      <c r="CF129" s="119">
        <f t="shared" ca="1" si="823"/>
        <v>0</v>
      </c>
      <c r="CG129" s="119">
        <f t="shared" ca="1" si="823"/>
        <v>0</v>
      </c>
      <c r="CH129" s="119">
        <f t="shared" ca="1" si="823"/>
        <v>1.1553800711755144</v>
      </c>
      <c r="CI129" s="119">
        <f t="shared" ca="1" si="823"/>
        <v>7.0126470798256975</v>
      </c>
      <c r="CJ129" s="119">
        <f t="shared" ca="1" si="823"/>
        <v>0</v>
      </c>
      <c r="CK129" s="119">
        <f t="shared" ca="1" si="823"/>
        <v>0</v>
      </c>
      <c r="CL129" s="119">
        <f t="shared" ca="1" si="823"/>
        <v>1.0666144958549779</v>
      </c>
      <c r="CM129" s="119">
        <f t="shared" ca="1" si="823"/>
        <v>7.3056133339212437</v>
      </c>
      <c r="CN129" s="119">
        <f t="shared" ca="1" si="823"/>
        <v>0</v>
      </c>
      <c r="CO129" s="119">
        <f t="shared" ca="1" si="823"/>
        <v>0</v>
      </c>
      <c r="CP129" s="119">
        <f t="shared" ca="1" si="823"/>
        <v>0.97260226440044306</v>
      </c>
      <c r="CQ129" s="119">
        <f t="shared" ca="1" si="823"/>
        <v>7.6089312611201905</v>
      </c>
      <c r="CR129" s="119">
        <f t="shared" ca="1" si="823"/>
        <v>0</v>
      </c>
      <c r="CS129" s="119">
        <f t="shared" ca="1" si="823"/>
        <v>0</v>
      </c>
      <c r="CT129" s="119">
        <f t="shared" ca="1" si="823"/>
        <v>6.576649880490379</v>
      </c>
      <c r="CU129" s="266">
        <f t="shared" ca="1" si="823"/>
        <v>2.2194219831682886</v>
      </c>
      <c r="CV129" s="119">
        <f t="shared" ca="1" si="823"/>
        <v>2.233165190788597</v>
      </c>
      <c r="CW129" s="119">
        <f t="shared" ca="1" si="823"/>
        <v>0</v>
      </c>
      <c r="CX129" s="119">
        <f t="shared" ca="1" si="823"/>
        <v>4.5079009367140515</v>
      </c>
      <c r="CY129" s="119">
        <f t="shared" ca="1" si="823"/>
        <v>2.2749075327474912</v>
      </c>
      <c r="CZ129" s="119">
        <f t="shared" ref="CZ129:FA129" ca="1" si="824">MIN(MAX(0,CZ127-CZ125),MAX(0,CZ99))</f>
        <v>0.81112863905260468</v>
      </c>
      <c r="DA129" s="119">
        <f t="shared" ca="1" si="824"/>
        <v>0</v>
      </c>
      <c r="DB129" s="119">
        <f t="shared" ca="1" si="824"/>
        <v>6.0984641416376064</v>
      </c>
      <c r="DC129" s="119">
        <f t="shared" ca="1" si="824"/>
        <v>2.3317802210661682</v>
      </c>
      <c r="DD129" s="119">
        <f t="shared" ca="1" si="824"/>
        <v>0.63075250927223436</v>
      </c>
      <c r="DE129" s="119">
        <f t="shared" ca="1" si="824"/>
        <v>0</v>
      </c>
      <c r="DF129" s="119">
        <f t="shared" ca="1" si="824"/>
        <v>6.4515800909352095</v>
      </c>
      <c r="DG129" s="119">
        <f t="shared" ca="1" si="824"/>
        <v>2.390074726592843</v>
      </c>
      <c r="DH129" s="119">
        <f t="shared" ca="1" si="824"/>
        <v>0.44069439040100189</v>
      </c>
      <c r="DI129" s="119">
        <f t="shared" ca="1" si="824"/>
        <v>0</v>
      </c>
      <c r="DJ129" s="119">
        <f t="shared" ca="1" si="824"/>
        <v>6.8186965248116564</v>
      </c>
      <c r="DK129" s="119">
        <f t="shared" ca="1" si="824"/>
        <v>2.449826594757667</v>
      </c>
      <c r="DL129" s="119">
        <f t="shared" ca="1" si="824"/>
        <v>0.24057734616101278</v>
      </c>
      <c r="DM129" s="119">
        <f t="shared" ca="1" si="824"/>
        <v>0</v>
      </c>
      <c r="DN129" s="119">
        <f t="shared" ca="1" si="824"/>
        <v>7.2002983419319264</v>
      </c>
      <c r="DO129" s="119">
        <f t="shared" ca="1" si="824"/>
        <v>2.5110722596265873</v>
      </c>
      <c r="DP129" s="119">
        <f t="shared" ca="1" si="824"/>
        <v>3.0011460213558827E-2</v>
      </c>
      <c r="DQ129" s="119">
        <f t="shared" ca="1" si="824"/>
        <v>0</v>
      </c>
      <c r="DR129" s="119">
        <f t="shared" ca="1" si="824"/>
        <v>7.5968861200817628</v>
      </c>
      <c r="DS129" s="119">
        <f t="shared" ca="1" si="824"/>
        <v>2.5738490661172762</v>
      </c>
      <c r="DT129" s="119">
        <f t="shared" ca="1" si="824"/>
        <v>0</v>
      </c>
      <c r="DU129" s="119">
        <f t="shared" ca="1" si="824"/>
        <v>0</v>
      </c>
      <c r="DV129" s="119">
        <f t="shared" ca="1" si="824"/>
        <v>7.8175700198026732</v>
      </c>
      <c r="DW129" s="119">
        <f t="shared" ca="1" si="824"/>
        <v>2.6381952927702059</v>
      </c>
      <c r="DX129" s="119">
        <f t="shared" ca="1" si="824"/>
        <v>0</v>
      </c>
      <c r="DY129" s="119">
        <f t="shared" ca="1" si="824"/>
        <v>0</v>
      </c>
      <c r="DZ129" s="119">
        <f t="shared" ca="1" si="824"/>
        <v>8.013009270297772</v>
      </c>
      <c r="EA129" s="119">
        <f t="shared" ca="1" si="824"/>
        <v>2.7041501750894383</v>
      </c>
      <c r="EB129" s="119">
        <f t="shared" ca="1" si="824"/>
        <v>0</v>
      </c>
      <c r="EC129" s="119">
        <f t="shared" ca="1" si="824"/>
        <v>0</v>
      </c>
      <c r="ED129" s="119">
        <f t="shared" ca="1" si="824"/>
        <v>8.2133345020552042</v>
      </c>
      <c r="EE129" s="119">
        <f t="shared" ca="1" si="824"/>
        <v>2.7717539294666835</v>
      </c>
      <c r="EF129" s="119">
        <f t="shared" ca="1" si="824"/>
        <v>0</v>
      </c>
      <c r="EG129" s="119">
        <f t="shared" ca="1" si="824"/>
        <v>0</v>
      </c>
      <c r="EH129" s="119">
        <f t="shared" ca="1" si="824"/>
        <v>8.41866786460659</v>
      </c>
      <c r="EI129" s="119">
        <f t="shared" ca="1" si="824"/>
        <v>0</v>
      </c>
      <c r="EJ129" s="119">
        <f t="shared" ca="1" si="824"/>
        <v>5.6996880230691431</v>
      </c>
      <c r="EK129" s="119">
        <f t="shared" ca="1" si="824"/>
        <v>0</v>
      </c>
      <c r="EL129" s="119">
        <f t="shared" ca="1" si="824"/>
        <v>0</v>
      </c>
      <c r="EM129" s="119">
        <f t="shared" ca="1" si="824"/>
        <v>0</v>
      </c>
      <c r="EN129" s="119">
        <f t="shared" ca="1" si="824"/>
        <v>0</v>
      </c>
      <c r="EO129" s="119">
        <f t="shared" ca="1" si="824"/>
        <v>0</v>
      </c>
      <c r="EP129" s="119">
        <f t="shared" ca="1" si="824"/>
        <v>0</v>
      </c>
      <c r="EQ129" s="119">
        <f t="shared" ca="1" si="824"/>
        <v>0</v>
      </c>
      <c r="ER129" s="119">
        <f t="shared" ca="1" si="824"/>
        <v>0</v>
      </c>
      <c r="ES129" s="119">
        <f t="shared" ca="1" si="824"/>
        <v>0</v>
      </c>
      <c r="ET129" s="119">
        <f t="shared" ca="1" si="824"/>
        <v>0</v>
      </c>
      <c r="EU129" s="119">
        <f t="shared" ca="1" si="824"/>
        <v>0</v>
      </c>
      <c r="EV129" s="119">
        <f t="shared" ca="1" si="824"/>
        <v>0</v>
      </c>
      <c r="EW129" s="119">
        <f t="shared" ca="1" si="824"/>
        <v>0</v>
      </c>
      <c r="EX129" s="119">
        <f t="shared" ca="1" si="824"/>
        <v>0</v>
      </c>
      <c r="EY129" s="119">
        <f t="shared" ca="1" si="824"/>
        <v>0</v>
      </c>
      <c r="EZ129" s="119">
        <f t="shared" ca="1" si="824"/>
        <v>0</v>
      </c>
      <c r="FA129" s="119">
        <f t="shared" ca="1" si="824"/>
        <v>0</v>
      </c>
    </row>
    <row r="130" spans="3:157" outlineLevel="1" x14ac:dyDescent="0.2">
      <c r="C130" s="9" t="s">
        <v>394</v>
      </c>
      <c r="D130" s="21" t="s">
        <v>126</v>
      </c>
      <c r="E130" s="119"/>
      <c r="F130" s="285">
        <f t="shared" ref="F130:AL130" si="825">F125+F129</f>
        <v>0</v>
      </c>
      <c r="G130" s="119">
        <f t="shared" ca="1" si="825"/>
        <v>0</v>
      </c>
      <c r="H130" s="119">
        <f t="shared" ca="1" si="825"/>
        <v>0</v>
      </c>
      <c r="I130" s="119">
        <f t="shared" ca="1" si="825"/>
        <v>0</v>
      </c>
      <c r="J130" s="119">
        <f t="shared" ca="1" si="825"/>
        <v>0</v>
      </c>
      <c r="K130" s="119">
        <f t="shared" ca="1" si="825"/>
        <v>0</v>
      </c>
      <c r="L130" s="119">
        <f t="shared" ca="1" si="825"/>
        <v>0</v>
      </c>
      <c r="M130" s="119">
        <f t="shared" ca="1" si="825"/>
        <v>0</v>
      </c>
      <c r="N130" s="119">
        <f t="shared" ca="1" si="825"/>
        <v>0</v>
      </c>
      <c r="O130" s="119">
        <f t="shared" ca="1" si="825"/>
        <v>0</v>
      </c>
      <c r="P130" s="119">
        <f t="shared" ca="1" si="825"/>
        <v>0</v>
      </c>
      <c r="Q130" s="119">
        <f t="shared" ca="1" si="825"/>
        <v>0</v>
      </c>
      <c r="R130" s="119">
        <f t="shared" ca="1" si="825"/>
        <v>0</v>
      </c>
      <c r="S130" s="119">
        <f t="shared" ca="1" si="825"/>
        <v>0</v>
      </c>
      <c r="T130" s="119">
        <f t="shared" ca="1" si="825"/>
        <v>0</v>
      </c>
      <c r="U130" s="119">
        <f t="shared" ca="1" si="825"/>
        <v>0</v>
      </c>
      <c r="V130" s="119">
        <f t="shared" ca="1" si="825"/>
        <v>0</v>
      </c>
      <c r="W130" s="119">
        <f t="shared" ca="1" si="825"/>
        <v>0</v>
      </c>
      <c r="X130" s="119">
        <f t="shared" ca="1" si="825"/>
        <v>0</v>
      </c>
      <c r="Y130" s="119">
        <f t="shared" ca="1" si="825"/>
        <v>0</v>
      </c>
      <c r="Z130" s="119">
        <f t="shared" ca="1" si="825"/>
        <v>0</v>
      </c>
      <c r="AA130" s="119">
        <f t="shared" ca="1" si="825"/>
        <v>0</v>
      </c>
      <c r="AB130" s="119">
        <f t="shared" ca="1" si="825"/>
        <v>0</v>
      </c>
      <c r="AC130" s="119">
        <f t="shared" ca="1" si="825"/>
        <v>0</v>
      </c>
      <c r="AD130" s="119">
        <f t="shared" ca="1" si="825"/>
        <v>0</v>
      </c>
      <c r="AE130" s="119">
        <f t="shared" ca="1" si="825"/>
        <v>0</v>
      </c>
      <c r="AF130" s="119">
        <f t="shared" ca="1" si="825"/>
        <v>0</v>
      </c>
      <c r="AG130" s="119">
        <f t="shared" ca="1" si="825"/>
        <v>0</v>
      </c>
      <c r="AH130" s="119">
        <f t="shared" ca="1" si="825"/>
        <v>0</v>
      </c>
      <c r="AI130" s="119">
        <f t="shared" ca="1" si="825"/>
        <v>0</v>
      </c>
      <c r="AJ130" s="119">
        <f t="shared" ca="1" si="825"/>
        <v>0</v>
      </c>
      <c r="AK130" s="119">
        <f t="shared" ca="1" si="825"/>
        <v>0</v>
      </c>
      <c r="AL130" s="119">
        <f t="shared" ca="1" si="825"/>
        <v>0</v>
      </c>
      <c r="AM130" s="119">
        <f ca="1">AM125+AM129</f>
        <v>1.5324344354689647</v>
      </c>
      <c r="AN130" s="119">
        <f t="shared" ref="AN130:CY130" ca="1" si="826">AN125+AN129</f>
        <v>1.5324344354689647</v>
      </c>
      <c r="AO130" s="119">
        <f t="shared" ca="1" si="826"/>
        <v>1.5324344354689647</v>
      </c>
      <c r="AP130" s="119">
        <f t="shared" ca="1" si="826"/>
        <v>5.1175849631083565</v>
      </c>
      <c r="AQ130" s="119">
        <f t="shared" ca="1" si="826"/>
        <v>7.7576537092391629</v>
      </c>
      <c r="AR130" s="119">
        <f t="shared" ca="1" si="826"/>
        <v>7.7576537092391629</v>
      </c>
      <c r="AS130" s="119">
        <f t="shared" ca="1" si="826"/>
        <v>7.7576537092391629</v>
      </c>
      <c r="AT130" s="119">
        <f t="shared" ca="1" si="826"/>
        <v>10.40460157909367</v>
      </c>
      <c r="AU130" s="119">
        <f t="shared" ca="1" si="826"/>
        <v>14.138503464853619</v>
      </c>
      <c r="AV130" s="119">
        <f t="shared" ca="1" si="826"/>
        <v>14.138503464853619</v>
      </c>
      <c r="AW130" s="119">
        <f t="shared" ca="1" si="826"/>
        <v>14.138503464853619</v>
      </c>
      <c r="AX130" s="119">
        <f t="shared" ca="1" si="826"/>
        <v>16.758590415298627</v>
      </c>
      <c r="AY130" s="119">
        <f t="shared" ca="1" si="826"/>
        <v>20.678874464358437</v>
      </c>
      <c r="AZ130" s="119">
        <f t="shared" ca="1" si="826"/>
        <v>20.678874464358437</v>
      </c>
      <c r="BA130" s="119">
        <f t="shared" ca="1" si="826"/>
        <v>20.678874464358437</v>
      </c>
      <c r="BB130" s="119">
        <f t="shared" ca="1" si="826"/>
        <v>25.201279078773727</v>
      </c>
      <c r="BC130" s="119">
        <f t="shared" ca="1" si="826"/>
        <v>27.382754738850878</v>
      </c>
      <c r="BD130" s="119">
        <f t="shared" ca="1" si="826"/>
        <v>27.382754738850878</v>
      </c>
      <c r="BE130" s="119">
        <f t="shared" ca="1" si="826"/>
        <v>27.382754738850878</v>
      </c>
      <c r="BF130" s="119">
        <f t="shared" ca="1" si="826"/>
        <v>29.546255653225622</v>
      </c>
      <c r="BG130" s="119">
        <f t="shared" ca="1" si="826"/>
        <v>34.254232020205635</v>
      </c>
      <c r="BH130" s="119">
        <f t="shared" ca="1" si="826"/>
        <v>34.254232020205635</v>
      </c>
      <c r="BI130" s="119">
        <f t="shared" ca="1" si="826"/>
        <v>34.254232020205635</v>
      </c>
      <c r="BJ130" s="119">
        <f t="shared" ca="1" si="826"/>
        <v>36.372258747542887</v>
      </c>
      <c r="BK130" s="119">
        <f t="shared" ca="1" si="826"/>
        <v>41.297496233594266</v>
      </c>
      <c r="BL130" s="119">
        <f t="shared" ca="1" si="826"/>
        <v>41.297496233594266</v>
      </c>
      <c r="BM130" s="119">
        <f t="shared" ca="1" si="826"/>
        <v>41.297496233594266</v>
      </c>
      <c r="BN130" s="119">
        <f t="shared" ca="1" si="826"/>
        <v>43.366358003182526</v>
      </c>
      <c r="BO130" s="119">
        <f t="shared" ca="1" si="826"/>
        <v>48.516842052317607</v>
      </c>
      <c r="BP130" s="119">
        <f t="shared" ca="1" si="826"/>
        <v>48.516842052317607</v>
      </c>
      <c r="BQ130" s="119">
        <f t="shared" ca="1" si="826"/>
        <v>48.516842052317607</v>
      </c>
      <c r="BR130" s="119">
        <f t="shared" ca="1" si="826"/>
        <v>50.532689546023214</v>
      </c>
      <c r="BS130" s="119">
        <f t="shared" ca="1" si="826"/>
        <v>55.916671516509034</v>
      </c>
      <c r="BT130" s="119">
        <f t="shared" ca="1" si="826"/>
        <v>55.916671516509034</v>
      </c>
      <c r="BU130" s="119">
        <f t="shared" ca="1" si="826"/>
        <v>55.916671516509034</v>
      </c>
      <c r="BV130" s="119">
        <f t="shared" ca="1" si="826"/>
        <v>57.875491165531685</v>
      </c>
      <c r="BW130" s="119">
        <f t="shared" ca="1" si="826"/>
        <v>63.501496717305251</v>
      </c>
      <c r="BX130" s="119">
        <f t="shared" ca="1" si="826"/>
        <v>63.501496717305251</v>
      </c>
      <c r="BY130" s="119">
        <f t="shared" ca="1" si="826"/>
        <v>63.501496717305251</v>
      </c>
      <c r="BZ130" s="119">
        <f t="shared" ca="1" si="826"/>
        <v>65.39910481020388</v>
      </c>
      <c r="CA130" s="119">
        <f t="shared" ca="1" si="826"/>
        <v>71.275942548121378</v>
      </c>
      <c r="CB130" s="119">
        <f t="shared" ca="1" si="826"/>
        <v>71.275942548121378</v>
      </c>
      <c r="CC130" s="119">
        <f t="shared" ca="1" si="826"/>
        <v>71.275942548121378</v>
      </c>
      <c r="CD130" s="119">
        <f t="shared" ca="1" si="826"/>
        <v>76.085842829786216</v>
      </c>
      <c r="CE130" s="119">
        <f t="shared" ca="1" si="826"/>
        <v>79.244749524707913</v>
      </c>
      <c r="CF130" s="119">
        <f t="shared" ca="1" si="826"/>
        <v>79.244749524707913</v>
      </c>
      <c r="CG130" s="119">
        <f t="shared" ca="1" si="826"/>
        <v>79.244749524707913</v>
      </c>
      <c r="CH130" s="119">
        <f t="shared" ca="1" si="826"/>
        <v>80.400129595883428</v>
      </c>
      <c r="CI130" s="119">
        <f t="shared" ca="1" si="826"/>
        <v>87.412776675709125</v>
      </c>
      <c r="CJ130" s="119">
        <f t="shared" ca="1" si="826"/>
        <v>87.412776675709125</v>
      </c>
      <c r="CK130" s="119">
        <f t="shared" ca="1" si="826"/>
        <v>87.412776675709125</v>
      </c>
      <c r="CL130" s="119">
        <f t="shared" ca="1" si="826"/>
        <v>88.479391171564103</v>
      </c>
      <c r="CM130" s="119">
        <f t="shared" ca="1" si="826"/>
        <v>95.785004505485347</v>
      </c>
      <c r="CN130" s="119">
        <f t="shared" ca="1" si="826"/>
        <v>95.785004505485347</v>
      </c>
      <c r="CO130" s="119">
        <f t="shared" ca="1" si="826"/>
        <v>95.785004505485347</v>
      </c>
      <c r="CP130" s="119">
        <f t="shared" ca="1" si="826"/>
        <v>96.757606769885797</v>
      </c>
      <c r="CQ130" s="119">
        <f t="shared" ca="1" si="826"/>
        <v>104.36653803100599</v>
      </c>
      <c r="CR130" s="119">
        <f t="shared" ca="1" si="826"/>
        <v>104.36653803100599</v>
      </c>
      <c r="CS130" s="119">
        <f t="shared" ca="1" si="826"/>
        <v>104.36653803100599</v>
      </c>
      <c r="CT130" s="119">
        <f t="shared" ca="1" si="826"/>
        <v>110.94318791149637</v>
      </c>
      <c r="CU130" s="266">
        <f t="shared" ca="1" si="826"/>
        <v>113.16260989466466</v>
      </c>
      <c r="CV130" s="119">
        <f t="shared" ca="1" si="826"/>
        <v>115.39577508545325</v>
      </c>
      <c r="CW130" s="119">
        <f t="shared" ca="1" si="826"/>
        <v>115.39577508545325</v>
      </c>
      <c r="CX130" s="119">
        <f t="shared" ca="1" si="826"/>
        <v>119.9036760221673</v>
      </c>
      <c r="CY130" s="119">
        <f t="shared" ca="1" si="826"/>
        <v>122.17858355491479</v>
      </c>
      <c r="CZ130" s="119">
        <f t="shared" ref="CZ130:FA130" ca="1" si="827">CZ125+CZ129</f>
        <v>122.98971219396739</v>
      </c>
      <c r="DA130" s="119">
        <f t="shared" ca="1" si="827"/>
        <v>122.98971219396739</v>
      </c>
      <c r="DB130" s="119">
        <f t="shared" ca="1" si="827"/>
        <v>129.088176335605</v>
      </c>
      <c r="DC130" s="119">
        <f t="shared" ca="1" si="827"/>
        <v>131.41995655667117</v>
      </c>
      <c r="DD130" s="119">
        <f t="shared" ca="1" si="827"/>
        <v>132.05070906594341</v>
      </c>
      <c r="DE130" s="119">
        <f t="shared" ca="1" si="827"/>
        <v>132.05070906594341</v>
      </c>
      <c r="DF130" s="119">
        <f t="shared" ca="1" si="827"/>
        <v>138.50228915687862</v>
      </c>
      <c r="DG130" s="119">
        <f t="shared" ca="1" si="827"/>
        <v>140.89236388347146</v>
      </c>
      <c r="DH130" s="119">
        <f t="shared" ca="1" si="827"/>
        <v>141.33305827387247</v>
      </c>
      <c r="DI130" s="119">
        <f t="shared" ca="1" si="827"/>
        <v>141.33305827387247</v>
      </c>
      <c r="DJ130" s="119">
        <f t="shared" ca="1" si="827"/>
        <v>148.15175479868412</v>
      </c>
      <c r="DK130" s="119">
        <f t="shared" ca="1" si="827"/>
        <v>150.60158139344179</v>
      </c>
      <c r="DL130" s="119">
        <f t="shared" ca="1" si="827"/>
        <v>150.84215873960281</v>
      </c>
      <c r="DM130" s="119">
        <f t="shared" ca="1" si="827"/>
        <v>150.84215873960281</v>
      </c>
      <c r="DN130" s="119">
        <f t="shared" ca="1" si="827"/>
        <v>158.04245708153474</v>
      </c>
      <c r="DO130" s="119">
        <f t="shared" ca="1" si="827"/>
        <v>160.55352934116132</v>
      </c>
      <c r="DP130" s="119">
        <f t="shared" ca="1" si="827"/>
        <v>160.58354080137488</v>
      </c>
      <c r="DQ130" s="119">
        <f t="shared" ca="1" si="827"/>
        <v>160.58354080137488</v>
      </c>
      <c r="DR130" s="119">
        <f t="shared" ca="1" si="827"/>
        <v>168.18042692145664</v>
      </c>
      <c r="DS130" s="119">
        <f t="shared" ca="1" si="827"/>
        <v>170.75427598757392</v>
      </c>
      <c r="DT130" s="119">
        <f t="shared" ca="1" si="827"/>
        <v>170.75427598757392</v>
      </c>
      <c r="DU130" s="119">
        <f t="shared" ca="1" si="827"/>
        <v>170.75427598757392</v>
      </c>
      <c r="DV130" s="119">
        <f t="shared" ca="1" si="827"/>
        <v>178.57184600737659</v>
      </c>
      <c r="DW130" s="119">
        <f t="shared" ca="1" si="827"/>
        <v>181.2100413001468</v>
      </c>
      <c r="DX130" s="119">
        <f t="shared" ca="1" si="827"/>
        <v>181.2100413001468</v>
      </c>
      <c r="DY130" s="119">
        <f t="shared" ca="1" si="827"/>
        <v>181.2100413001468</v>
      </c>
      <c r="DZ130" s="119">
        <f t="shared" ca="1" si="827"/>
        <v>189.22305057044457</v>
      </c>
      <c r="EA130" s="119">
        <f t="shared" ca="1" si="827"/>
        <v>191.92720074553401</v>
      </c>
      <c r="EB130" s="119">
        <f t="shared" ca="1" si="827"/>
        <v>191.92720074553401</v>
      </c>
      <c r="EC130" s="119">
        <f t="shared" ca="1" si="827"/>
        <v>191.92720074553401</v>
      </c>
      <c r="ED130" s="119">
        <f t="shared" ca="1" si="827"/>
        <v>200.14053524758921</v>
      </c>
      <c r="EE130" s="119">
        <f t="shared" ca="1" si="827"/>
        <v>202.9122891770559</v>
      </c>
      <c r="EF130" s="119">
        <f t="shared" ca="1" si="827"/>
        <v>202.9122891770559</v>
      </c>
      <c r="EG130" s="119">
        <f t="shared" ca="1" si="827"/>
        <v>202.9122891770559</v>
      </c>
      <c r="EH130" s="119">
        <f t="shared" ca="1" si="827"/>
        <v>211.33095704166249</v>
      </c>
      <c r="EI130" s="119">
        <f t="shared" ca="1" si="827"/>
        <v>211.33095704166249</v>
      </c>
      <c r="EJ130" s="119">
        <f t="shared" ca="1" si="827"/>
        <v>217.03064506473163</v>
      </c>
      <c r="EK130" s="119">
        <f t="shared" ca="1" si="827"/>
        <v>217.03064506473163</v>
      </c>
      <c r="EL130" s="119">
        <f t="shared" ca="1" si="827"/>
        <v>217.03064506473163</v>
      </c>
      <c r="EM130" s="119">
        <f t="shared" ca="1" si="827"/>
        <v>217.03064506473163</v>
      </c>
      <c r="EN130" s="119">
        <f t="shared" ca="1" si="827"/>
        <v>217.03064506473163</v>
      </c>
      <c r="EO130" s="119">
        <f t="shared" ca="1" si="827"/>
        <v>217.03064506473163</v>
      </c>
      <c r="EP130" s="119">
        <f t="shared" ca="1" si="827"/>
        <v>217.03064506473163</v>
      </c>
      <c r="EQ130" s="119">
        <f t="shared" ca="1" si="827"/>
        <v>217.03064506473163</v>
      </c>
      <c r="ER130" s="119">
        <f t="shared" ca="1" si="827"/>
        <v>217.03064506473163</v>
      </c>
      <c r="ES130" s="119">
        <f t="shared" ca="1" si="827"/>
        <v>217.03064506473163</v>
      </c>
      <c r="ET130" s="119">
        <f t="shared" ca="1" si="827"/>
        <v>217.03064506473163</v>
      </c>
      <c r="EU130" s="119">
        <f t="shared" ca="1" si="827"/>
        <v>217.03064506473163</v>
      </c>
      <c r="EV130" s="119">
        <f t="shared" ca="1" si="827"/>
        <v>217.03064506473163</v>
      </c>
      <c r="EW130" s="119">
        <f t="shared" ca="1" si="827"/>
        <v>217.03064506473163</v>
      </c>
      <c r="EX130" s="119">
        <f t="shared" ca="1" si="827"/>
        <v>217.03064506473163</v>
      </c>
      <c r="EY130" s="119">
        <f t="shared" ca="1" si="827"/>
        <v>217.03064506473163</v>
      </c>
      <c r="EZ130" s="119">
        <f t="shared" ca="1" si="827"/>
        <v>217.03064506473163</v>
      </c>
      <c r="FA130" s="119">
        <f t="shared" ca="1" si="827"/>
        <v>217.03064506473163</v>
      </c>
    </row>
    <row r="131" spans="3:157" outlineLevel="1" x14ac:dyDescent="0.2">
      <c r="C131" s="9"/>
      <c r="D131" s="21"/>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c r="CF131" s="119"/>
      <c r="CG131" s="119"/>
      <c r="CH131" s="119"/>
      <c r="CI131" s="119"/>
      <c r="CJ131" s="119"/>
      <c r="CK131" s="119"/>
      <c r="CL131" s="119"/>
      <c r="CM131" s="119"/>
      <c r="CN131" s="119"/>
      <c r="CO131" s="119"/>
      <c r="CP131" s="119"/>
      <c r="CQ131" s="119"/>
      <c r="CR131" s="119"/>
      <c r="CS131" s="119"/>
      <c r="CT131" s="119"/>
      <c r="CU131" s="266"/>
      <c r="CV131" s="119"/>
      <c r="CW131" s="119"/>
      <c r="CX131" s="119"/>
      <c r="CY131" s="119"/>
      <c r="CZ131" s="119"/>
      <c r="DA131" s="119"/>
      <c r="DB131" s="119"/>
      <c r="DC131" s="119"/>
      <c r="DD131" s="119"/>
      <c r="DE131" s="119"/>
      <c r="DF131" s="119"/>
      <c r="DG131" s="119"/>
      <c r="DH131" s="119"/>
      <c r="DI131" s="119"/>
      <c r="DJ131" s="119"/>
      <c r="DK131" s="119"/>
      <c r="DL131" s="119"/>
      <c r="DM131" s="119"/>
      <c r="DN131" s="119"/>
      <c r="DO131" s="119"/>
      <c r="DP131" s="119"/>
      <c r="DQ131" s="119"/>
      <c r="DR131" s="119"/>
      <c r="DS131" s="119"/>
      <c r="DT131" s="119"/>
      <c r="DU131" s="119"/>
      <c r="DV131" s="119"/>
      <c r="DW131" s="119"/>
      <c r="DX131" s="119"/>
      <c r="DY131" s="119"/>
      <c r="DZ131" s="119"/>
      <c r="EA131" s="119"/>
      <c r="EB131" s="119"/>
      <c r="EC131" s="119"/>
      <c r="ED131" s="119"/>
      <c r="EE131" s="119"/>
      <c r="EF131" s="119"/>
      <c r="EG131" s="119"/>
      <c r="EH131" s="119"/>
      <c r="EI131" s="119"/>
      <c r="EJ131" s="119"/>
      <c r="EK131" s="119"/>
      <c r="EL131" s="119"/>
      <c r="EM131" s="119"/>
      <c r="EN131" s="119"/>
      <c r="EO131" s="119"/>
      <c r="EP131" s="119"/>
      <c r="EQ131" s="119"/>
      <c r="ER131" s="119"/>
      <c r="ES131" s="119"/>
      <c r="ET131" s="119"/>
      <c r="EU131" s="119"/>
      <c r="EV131" s="119"/>
      <c r="EW131" s="119"/>
      <c r="EX131" s="119"/>
      <c r="EY131" s="119"/>
      <c r="EZ131" s="119"/>
      <c r="FA131" s="119"/>
    </row>
    <row r="132" spans="3:157" s="206" customFormat="1" outlineLevel="1" x14ac:dyDescent="0.2">
      <c r="C132" s="63" t="s">
        <v>408</v>
      </c>
      <c r="D132" s="64" t="s">
        <v>126</v>
      </c>
      <c r="E132" s="307"/>
      <c r="F132" s="307"/>
      <c r="G132" s="307"/>
      <c r="H132" s="307"/>
      <c r="I132" s="307"/>
      <c r="J132" s="307"/>
      <c r="K132" s="307"/>
      <c r="L132" s="307"/>
      <c r="M132" s="307"/>
      <c r="N132" s="307"/>
      <c r="O132" s="307"/>
      <c r="P132" s="307"/>
      <c r="Q132" s="307"/>
      <c r="R132" s="307"/>
      <c r="S132" s="307"/>
      <c r="T132" s="307"/>
      <c r="U132" s="307"/>
      <c r="V132" s="307"/>
      <c r="W132" s="307"/>
      <c r="X132" s="307"/>
      <c r="Y132" s="307"/>
      <c r="Z132" s="307"/>
      <c r="AA132" s="307"/>
      <c r="AB132" s="307"/>
      <c r="AC132" s="307"/>
      <c r="AD132" s="307"/>
      <c r="AE132" s="307"/>
      <c r="AF132" s="307"/>
      <c r="AG132" s="307"/>
      <c r="AH132" s="307"/>
      <c r="AI132" s="307"/>
      <c r="AJ132" s="307"/>
      <c r="AK132" s="307"/>
      <c r="AL132" s="307"/>
      <c r="AM132" s="307"/>
      <c r="AN132" s="307"/>
      <c r="AO132" s="307"/>
      <c r="AP132" s="307"/>
      <c r="AQ132" s="307"/>
      <c r="AR132" s="307"/>
      <c r="AS132" s="307"/>
      <c r="AT132" s="307"/>
      <c r="AU132" s="307"/>
      <c r="AV132" s="307"/>
      <c r="AW132" s="307"/>
      <c r="AX132" s="307"/>
      <c r="AY132" s="307"/>
      <c r="AZ132" s="307"/>
      <c r="BA132" s="307"/>
      <c r="BB132" s="307"/>
      <c r="BC132" s="307"/>
      <c r="BD132" s="307"/>
      <c r="BE132" s="307"/>
      <c r="BF132" s="307"/>
      <c r="BG132" s="307"/>
      <c r="BH132" s="307"/>
      <c r="BI132" s="307"/>
      <c r="BJ132" s="307"/>
      <c r="BK132" s="307"/>
      <c r="BL132" s="307"/>
      <c r="BM132" s="307"/>
      <c r="BN132" s="307"/>
      <c r="BO132" s="307"/>
      <c r="BP132" s="307"/>
      <c r="BQ132" s="307"/>
      <c r="BR132" s="307"/>
      <c r="BS132" s="307"/>
      <c r="BT132" s="307"/>
      <c r="BU132" s="307"/>
      <c r="BV132" s="307"/>
      <c r="BW132" s="307"/>
      <c r="BX132" s="307"/>
      <c r="BY132" s="307"/>
      <c r="BZ132" s="307"/>
      <c r="CA132" s="307"/>
      <c r="CB132" s="307"/>
      <c r="CC132" s="307"/>
      <c r="CD132" s="307"/>
      <c r="CE132" s="307"/>
      <c r="CF132" s="307"/>
      <c r="CG132" s="307"/>
      <c r="CH132" s="307"/>
      <c r="CI132" s="307"/>
      <c r="CJ132" s="307"/>
      <c r="CK132" s="307"/>
      <c r="CL132" s="307"/>
      <c r="CM132" s="307"/>
      <c r="CN132" s="307"/>
      <c r="CO132" s="307"/>
      <c r="CP132" s="307"/>
      <c r="CQ132" s="307"/>
      <c r="CR132" s="307"/>
      <c r="CS132" s="307"/>
      <c r="CT132" s="307"/>
      <c r="CU132" s="308"/>
      <c r="CV132" s="307"/>
      <c r="CW132" s="307"/>
      <c r="CX132" s="307"/>
      <c r="CY132" s="307"/>
      <c r="CZ132" s="307"/>
      <c r="DA132" s="307"/>
      <c r="DB132" s="307"/>
      <c r="DC132" s="307"/>
      <c r="DD132" s="307"/>
      <c r="DE132" s="307"/>
      <c r="DF132" s="307"/>
      <c r="DG132" s="307"/>
      <c r="DH132" s="307"/>
      <c r="DI132" s="307"/>
      <c r="DJ132" s="307"/>
      <c r="DK132" s="307"/>
      <c r="DL132" s="307"/>
      <c r="DM132" s="307"/>
      <c r="DN132" s="307"/>
      <c r="DO132" s="307"/>
      <c r="DP132" s="307"/>
      <c r="DQ132" s="307"/>
      <c r="DR132" s="307"/>
      <c r="DS132" s="307"/>
      <c r="DT132" s="307"/>
      <c r="DU132" s="307"/>
      <c r="DV132" s="307"/>
      <c r="DW132" s="307"/>
      <c r="DX132" s="307"/>
      <c r="DY132" s="307"/>
      <c r="DZ132" s="307"/>
      <c r="EA132" s="307"/>
      <c r="EB132" s="307"/>
      <c r="EC132" s="307"/>
      <c r="ED132" s="307"/>
      <c r="EE132" s="307"/>
      <c r="EF132" s="307"/>
      <c r="EG132" s="307"/>
      <c r="EH132" s="307"/>
      <c r="EI132" s="307"/>
      <c r="EJ132" s="307"/>
      <c r="EK132" s="307"/>
      <c r="EL132" s="307"/>
      <c r="EM132" s="307"/>
      <c r="EN132" s="307"/>
      <c r="EO132" s="307"/>
      <c r="EP132" s="307"/>
      <c r="EQ132" s="307"/>
      <c r="ER132" s="307"/>
      <c r="ES132" s="307"/>
      <c r="ET132" s="307"/>
      <c r="EU132" s="307"/>
      <c r="EV132" s="307"/>
      <c r="EW132" s="307"/>
      <c r="EX132" s="307"/>
      <c r="EY132" s="307"/>
      <c r="EZ132" s="307"/>
      <c r="FA132" s="307"/>
    </row>
    <row r="133" spans="3:157" outlineLevel="1" x14ac:dyDescent="0.2">
      <c r="C133" s="12" t="s">
        <v>393</v>
      </c>
      <c r="D133" s="21" t="s">
        <v>126</v>
      </c>
      <c r="E133" s="119"/>
      <c r="F133" s="119"/>
      <c r="G133" s="119">
        <f t="shared" ref="G133:AM133" si="828">F139</f>
        <v>0</v>
      </c>
      <c r="H133" s="119">
        <f t="shared" ca="1" si="828"/>
        <v>0</v>
      </c>
      <c r="I133" s="119">
        <f t="shared" ca="1" si="828"/>
        <v>0</v>
      </c>
      <c r="J133" s="119">
        <f t="shared" ca="1" si="828"/>
        <v>0</v>
      </c>
      <c r="K133" s="119">
        <f t="shared" ca="1" si="828"/>
        <v>0</v>
      </c>
      <c r="L133" s="119">
        <f t="shared" ca="1" si="828"/>
        <v>0</v>
      </c>
      <c r="M133" s="119">
        <f t="shared" ca="1" si="828"/>
        <v>0</v>
      </c>
      <c r="N133" s="119">
        <f t="shared" ca="1" si="828"/>
        <v>0</v>
      </c>
      <c r="O133" s="119">
        <f t="shared" ca="1" si="828"/>
        <v>0</v>
      </c>
      <c r="P133" s="119">
        <f t="shared" ca="1" si="828"/>
        <v>0</v>
      </c>
      <c r="Q133" s="119">
        <f t="shared" ca="1" si="828"/>
        <v>0</v>
      </c>
      <c r="R133" s="119">
        <f t="shared" ca="1" si="828"/>
        <v>0</v>
      </c>
      <c r="S133" s="119">
        <f t="shared" ca="1" si="828"/>
        <v>0</v>
      </c>
      <c r="T133" s="119">
        <f t="shared" ca="1" si="828"/>
        <v>0</v>
      </c>
      <c r="U133" s="119">
        <f t="shared" ca="1" si="828"/>
        <v>0</v>
      </c>
      <c r="V133" s="119">
        <f t="shared" ca="1" si="828"/>
        <v>0</v>
      </c>
      <c r="W133" s="119">
        <f t="shared" ca="1" si="828"/>
        <v>0</v>
      </c>
      <c r="X133" s="119">
        <f t="shared" ca="1" si="828"/>
        <v>0</v>
      </c>
      <c r="Y133" s="119">
        <f t="shared" ca="1" si="828"/>
        <v>0</v>
      </c>
      <c r="Z133" s="119">
        <f t="shared" ca="1" si="828"/>
        <v>0</v>
      </c>
      <c r="AA133" s="119">
        <f t="shared" ca="1" si="828"/>
        <v>0</v>
      </c>
      <c r="AB133" s="119">
        <f t="shared" ca="1" si="828"/>
        <v>0</v>
      </c>
      <c r="AC133" s="119">
        <f t="shared" ca="1" si="828"/>
        <v>0</v>
      </c>
      <c r="AD133" s="119">
        <f t="shared" ca="1" si="828"/>
        <v>0</v>
      </c>
      <c r="AE133" s="119">
        <f t="shared" ca="1" si="828"/>
        <v>0</v>
      </c>
      <c r="AF133" s="119">
        <f t="shared" ca="1" si="828"/>
        <v>0</v>
      </c>
      <c r="AG133" s="119">
        <f t="shared" ca="1" si="828"/>
        <v>0</v>
      </c>
      <c r="AH133" s="119">
        <f t="shared" ca="1" si="828"/>
        <v>0</v>
      </c>
      <c r="AI133" s="119">
        <f t="shared" ca="1" si="828"/>
        <v>0</v>
      </c>
      <c r="AJ133" s="119">
        <f t="shared" ca="1" si="828"/>
        <v>0</v>
      </c>
      <c r="AK133" s="119">
        <f t="shared" ca="1" si="828"/>
        <v>0</v>
      </c>
      <c r="AL133" s="119">
        <f t="shared" ca="1" si="828"/>
        <v>0</v>
      </c>
      <c r="AM133" s="119">
        <f t="shared" ca="1" si="828"/>
        <v>0</v>
      </c>
      <c r="AN133" s="119">
        <f t="shared" ref="AN133:CY133" ca="1" si="829">AM139</f>
        <v>4.5973033064068947</v>
      </c>
      <c r="AO133" s="119">
        <f t="shared" ca="1" si="829"/>
        <v>4.6439824817283144</v>
      </c>
      <c r="AP133" s="119">
        <f t="shared" ca="1" si="829"/>
        <v>4.6911356186884303</v>
      </c>
      <c r="AQ133" s="119">
        <f t="shared" ca="1" si="829"/>
        <v>4.7387675297037735</v>
      </c>
      <c r="AR133" s="119">
        <f t="shared" ca="1" si="829"/>
        <v>23.27296112771749</v>
      </c>
      <c r="AS133" s="119">
        <f t="shared" ca="1" si="829"/>
        <v>23.509265447951343</v>
      </c>
      <c r="AT133" s="119">
        <f t="shared" ca="1" si="829"/>
        <v>23.74796910754965</v>
      </c>
      <c r="AU133" s="119">
        <f t="shared" ca="1" si="829"/>
        <v>23.989096468442742</v>
      </c>
      <c r="AV133" s="119">
        <f t="shared" ca="1" si="829"/>
        <v>42.415510394560854</v>
      </c>
      <c r="AW133" s="119">
        <f t="shared" ca="1" si="829"/>
        <v>42.846180488329949</v>
      </c>
      <c r="AX133" s="119">
        <f t="shared" ca="1" si="829"/>
        <v>43.281223433632398</v>
      </c>
      <c r="AY133" s="119">
        <f t="shared" ca="1" si="829"/>
        <v>43.720683630650178</v>
      </c>
      <c r="AZ133" s="119">
        <f t="shared" ca="1" si="829"/>
        <v>62.036623393075317</v>
      </c>
      <c r="BA133" s="119">
        <f t="shared" ca="1" si="829"/>
        <v>62.666518404718033</v>
      </c>
      <c r="BB133" s="119">
        <f t="shared" ca="1" si="829"/>
        <v>63.302809117867234</v>
      </c>
      <c r="BC133" s="119">
        <f t="shared" ca="1" si="829"/>
        <v>63.945560471912827</v>
      </c>
      <c r="BD133" s="119">
        <f t="shared" ca="1" si="829"/>
        <v>82.148264216552661</v>
      </c>
      <c r="BE133" s="119">
        <f t="shared" ca="1" si="829"/>
        <v>82.982364769015845</v>
      </c>
      <c r="BF133" s="119">
        <f t="shared" ca="1" si="829"/>
        <v>83.824934444207969</v>
      </c>
      <c r="BG133" s="119">
        <f t="shared" ca="1" si="829"/>
        <v>84.676059234207059</v>
      </c>
      <c r="BH133" s="119">
        <f t="shared" ca="1" si="829"/>
        <v>102.76269606061692</v>
      </c>
      <c r="BI133" s="119">
        <f t="shared" ca="1" si="829"/>
        <v>103.80610729242107</v>
      </c>
      <c r="BJ133" s="119">
        <f t="shared" ca="1" si="829"/>
        <v>104.86011290370719</v>
      </c>
      <c r="BK133" s="119">
        <f t="shared" ca="1" si="829"/>
        <v>105.92482046555862</v>
      </c>
      <c r="BL133" s="119">
        <f t="shared" ca="1" si="829"/>
        <v>123.89248870078281</v>
      </c>
      <c r="BM133" s="119">
        <f t="shared" ca="1" si="829"/>
        <v>125.15044337891146</v>
      </c>
      <c r="BN133" s="119">
        <f t="shared" ca="1" si="829"/>
        <v>126.42117082469392</v>
      </c>
      <c r="BO133" s="119">
        <f t="shared" ca="1" si="829"/>
        <v>127.70480072769401</v>
      </c>
      <c r="BP133" s="119">
        <f t="shared" ca="1" si="829"/>
        <v>145.55052615695283</v>
      </c>
      <c r="BQ133" s="119">
        <f t="shared" ca="1" si="829"/>
        <v>147.02838786756411</v>
      </c>
      <c r="BR133" s="119">
        <f t="shared" ca="1" si="829"/>
        <v>148.52125519370531</v>
      </c>
      <c r="BS133" s="119">
        <f t="shared" ca="1" si="829"/>
        <v>150.02928049638277</v>
      </c>
      <c r="BT133" s="119">
        <f t="shared" ca="1" si="829"/>
        <v>167.75001454952712</v>
      </c>
      <c r="BU133" s="119">
        <f t="shared" ca="1" si="829"/>
        <v>169.45328096843306</v>
      </c>
      <c r="BV133" s="119">
        <f t="shared" ca="1" si="829"/>
        <v>171.17384167194197</v>
      </c>
      <c r="BW133" s="119">
        <f t="shared" ca="1" si="829"/>
        <v>172.91187225928871</v>
      </c>
      <c r="BX133" s="119">
        <f t="shared" ca="1" si="829"/>
        <v>190.50449015191577</v>
      </c>
      <c r="BY133" s="119">
        <f t="shared" ca="1" si="829"/>
        <v>192.43879639682376</v>
      </c>
      <c r="BZ133" s="119">
        <f t="shared" ca="1" si="829"/>
        <v>194.3927428121346</v>
      </c>
      <c r="CA133" s="119">
        <f t="shared" ca="1" si="829"/>
        <v>196.36652881626739</v>
      </c>
      <c r="CB133" s="119">
        <f t="shared" ca="1" si="829"/>
        <v>213.82782764436413</v>
      </c>
      <c r="CC133" s="119">
        <f t="shared" ca="1" si="829"/>
        <v>215.99894971092422</v>
      </c>
      <c r="CD133" s="119">
        <f t="shared" ca="1" si="829"/>
        <v>218.192116480832</v>
      </c>
      <c r="CE133" s="119">
        <f t="shared" ca="1" si="829"/>
        <v>220.40755178717046</v>
      </c>
      <c r="CF133" s="119">
        <f t="shared" ca="1" si="829"/>
        <v>237.73424857412374</v>
      </c>
      <c r="CG133" s="119">
        <f t="shared" ca="1" si="829"/>
        <v>240.14810685787722</v>
      </c>
      <c r="CH133" s="119">
        <f t="shared" ca="1" si="829"/>
        <v>242.58647449124689</v>
      </c>
      <c r="CI133" s="119">
        <f t="shared" ca="1" si="829"/>
        <v>245.04960033234619</v>
      </c>
      <c r="CJ133" s="119">
        <f t="shared" ca="1" si="829"/>
        <v>262.23833002712729</v>
      </c>
      <c r="CK133" s="119">
        <f t="shared" ca="1" si="829"/>
        <v>264.90099293350403</v>
      </c>
      <c r="CL133" s="119">
        <f t="shared" ca="1" si="829"/>
        <v>267.59069145192211</v>
      </c>
      <c r="CM133" s="119">
        <f t="shared" ca="1" si="829"/>
        <v>270.30770009115128</v>
      </c>
      <c r="CN133" s="119">
        <f t="shared" ca="1" si="829"/>
        <v>287.35501351645604</v>
      </c>
      <c r="CO133" s="119">
        <f t="shared" ca="1" si="829"/>
        <v>290.27270116102159</v>
      </c>
      <c r="CP133" s="119">
        <f t="shared" ca="1" si="829"/>
        <v>293.22001383661433</v>
      </c>
      <c r="CQ133" s="119">
        <f t="shared" ca="1" si="829"/>
        <v>296.19725234392655</v>
      </c>
      <c r="CR133" s="119">
        <f t="shared" ca="1" si="829"/>
        <v>313.09961409301792</v>
      </c>
      <c r="CS133" s="119">
        <f t="shared" ca="1" si="829"/>
        <v>316.27870209422696</v>
      </c>
      <c r="CT133" s="119">
        <f t="shared" ca="1" si="829"/>
        <v>319.49006928092371</v>
      </c>
      <c r="CU133" s="266">
        <f t="shared" ca="1" si="829"/>
        <v>332.82956373448911</v>
      </c>
      <c r="CV133" s="119">
        <f t="shared" ca="1" si="829"/>
        <v>339.48782968399394</v>
      </c>
      <c r="CW133" s="119">
        <f t="shared" ca="1" si="829"/>
        <v>346.18732525635971</v>
      </c>
      <c r="CX133" s="119">
        <f t="shared" ca="1" si="829"/>
        <v>349.70237261622708</v>
      </c>
      <c r="CY133" s="119">
        <f t="shared" ca="1" si="829"/>
        <v>359.71102806650185</v>
      </c>
      <c r="CZ133" s="119">
        <f t="shared" ref="CZ133:FA133" ca="1" si="830">CY139</f>
        <v>366.53575066474434</v>
      </c>
      <c r="DA133" s="119">
        <f t="shared" ca="1" si="830"/>
        <v>370.25740778121167</v>
      </c>
      <c r="DB133" s="119">
        <f t="shared" ca="1" si="830"/>
        <v>374.01685311251867</v>
      </c>
      <c r="DC133" s="119">
        <f t="shared" ca="1" si="830"/>
        <v>385.81400616323469</v>
      </c>
      <c r="DD133" s="119">
        <f t="shared" ca="1" si="830"/>
        <v>394.25986967001347</v>
      </c>
      <c r="DE133" s="119">
        <f t="shared" ca="1" si="830"/>
        <v>398.26302637992183</v>
      </c>
      <c r="DF133" s="119">
        <f t="shared" ca="1" si="830"/>
        <v>402.30682953872571</v>
      </c>
      <c r="DG133" s="119">
        <f t="shared" ca="1" si="830"/>
        <v>414.15991718752741</v>
      </c>
      <c r="DH133" s="119">
        <f t="shared" ca="1" si="830"/>
        <v>422.67709165041435</v>
      </c>
      <c r="DI133" s="119">
        <f t="shared" ca="1" si="830"/>
        <v>426.96878544359981</v>
      </c>
      <c r="DJ133" s="119">
        <f t="shared" ca="1" si="830"/>
        <v>431.30405537558795</v>
      </c>
      <c r="DK133" s="119">
        <f t="shared" ca="1" si="830"/>
        <v>443.20343450986888</v>
      </c>
      <c r="DL133" s="119">
        <f t="shared" ca="1" si="830"/>
        <v>451.80474418032526</v>
      </c>
      <c r="DM133" s="119">
        <f t="shared" ca="1" si="830"/>
        <v>456.3921884838698</v>
      </c>
      <c r="DN133" s="119">
        <f t="shared" ca="1" si="830"/>
        <v>461.02621185837182</v>
      </c>
      <c r="DO133" s="119">
        <f t="shared" ca="1" si="830"/>
        <v>472.9617123055051</v>
      </c>
      <c r="DP133" s="119">
        <f t="shared" ca="1" si="830"/>
        <v>481.66058802348397</v>
      </c>
      <c r="DQ133" s="119">
        <f t="shared" ca="1" si="830"/>
        <v>486.5511766001465</v>
      </c>
      <c r="DR133" s="119">
        <f t="shared" ca="1" si="830"/>
        <v>491.49142225322527</v>
      </c>
      <c r="DS133" s="119">
        <f t="shared" ca="1" si="830"/>
        <v>503.45232611223287</v>
      </c>
      <c r="DT133" s="119">
        <f t="shared" ca="1" si="830"/>
        <v>512.26282796272164</v>
      </c>
      <c r="DU133" s="119">
        <f t="shared" ca="1" si="830"/>
        <v>517.46413941933008</v>
      </c>
      <c r="DV133" s="119">
        <f t="shared" ca="1" si="830"/>
        <v>522.71826290795002</v>
      </c>
      <c r="DW133" s="119">
        <f t="shared" ca="1" si="830"/>
        <v>534.88468974917009</v>
      </c>
      <c r="DX133" s="119">
        <f t="shared" ca="1" si="830"/>
        <v>543.63012390044025</v>
      </c>
      <c r="DY133" s="119">
        <f t="shared" ca="1" si="830"/>
        <v>549.14992630899337</v>
      </c>
      <c r="DZ133" s="119">
        <f t="shared" ca="1" si="830"/>
        <v>554.72577457904299</v>
      </c>
      <c r="EA133" s="119">
        <f t="shared" ca="1" si="830"/>
        <v>567.12712692105629</v>
      </c>
      <c r="EB133" s="119">
        <f t="shared" ca="1" si="830"/>
        <v>575.78160223660188</v>
      </c>
      <c r="EC133" s="119">
        <f t="shared" ca="1" si="830"/>
        <v>581.6278578708982</v>
      </c>
      <c r="ED133" s="119">
        <f t="shared" ca="1" si="830"/>
        <v>587.53347404191322</v>
      </c>
      <c r="EE133" s="119">
        <f t="shared" ca="1" si="830"/>
        <v>600.16896025025881</v>
      </c>
      <c r="EF133" s="119">
        <f t="shared" ca="1" si="830"/>
        <v>608.7368675311676</v>
      </c>
      <c r="EG133" s="119">
        <f t="shared" ca="1" si="830"/>
        <v>614.9177377218507</v>
      </c>
      <c r="EH133" s="119">
        <f t="shared" ca="1" si="830"/>
        <v>621.1613659913553</v>
      </c>
      <c r="EI133" s="119">
        <f t="shared" ca="1" si="830"/>
        <v>633.99287112498735</v>
      </c>
      <c r="EJ133" s="119">
        <f t="shared" ca="1" si="830"/>
        <v>640.43018065436524</v>
      </c>
      <c r="EK133" s="119">
        <f t="shared" ca="1" si="830"/>
        <v>651.09193519419478</v>
      </c>
      <c r="EL133" s="119">
        <f t="shared" ca="1" si="830"/>
        <v>657.70286176737454</v>
      </c>
      <c r="EM133" s="119">
        <f t="shared" ca="1" si="830"/>
        <v>664.38091303953081</v>
      </c>
      <c r="EN133" s="119">
        <f t="shared" ca="1" si="830"/>
        <v>671.12677056795565</v>
      </c>
      <c r="EO133" s="119">
        <f t="shared" ca="1" si="830"/>
        <v>677.94112283020058</v>
      </c>
      <c r="EP133" s="119">
        <f t="shared" ca="1" si="830"/>
        <v>684.82466529434237</v>
      </c>
      <c r="EQ133" s="119">
        <f t="shared" ca="1" si="830"/>
        <v>691.77810048996184</v>
      </c>
      <c r="ER133" s="119">
        <f t="shared" ca="1" si="830"/>
        <v>698.80213807984364</v>
      </c>
      <c r="ES133" s="119">
        <f t="shared" ca="1" si="830"/>
        <v>705.8974949324039</v>
      </c>
      <c r="ET133" s="119">
        <f t="shared" ca="1" si="830"/>
        <v>713.06489519485342</v>
      </c>
      <c r="EU133" s="119">
        <f t="shared" ca="1" si="830"/>
        <v>720.30507036710355</v>
      </c>
      <c r="EV133" s="119">
        <f t="shared" ca="1" si="830"/>
        <v>727.61875937642253</v>
      </c>
      <c r="EW133" s="119">
        <f t="shared" ca="1" si="830"/>
        <v>735.00670865284997</v>
      </c>
      <c r="EX133" s="119">
        <f t="shared" ca="1" si="830"/>
        <v>742.46967220537692</v>
      </c>
      <c r="EY133" s="119">
        <f t="shared" ca="1" si="830"/>
        <v>750.00841169889964</v>
      </c>
      <c r="EZ133" s="119">
        <f t="shared" ca="1" si="830"/>
        <v>757.62369653195435</v>
      </c>
      <c r="FA133" s="119">
        <f t="shared" ca="1" si="830"/>
        <v>765.31630391524175</v>
      </c>
    </row>
    <row r="134" spans="3:157" outlineLevel="1" x14ac:dyDescent="0.2">
      <c r="C134" s="12" t="s">
        <v>409</v>
      </c>
      <c r="D134" s="21" t="s">
        <v>126</v>
      </c>
      <c r="E134" s="119"/>
      <c r="F134" s="119"/>
      <c r="G134" s="119">
        <f>IF(G154&gt;=Inputs_Assumptions!$E$194,Inputs_Assumptions!$E$193/Quarters_in_Year*IRR_Revenue_Model!G21,0)*Equity_In_Project</f>
        <v>0</v>
      </c>
      <c r="H134" s="119">
        <f>IF(H154&gt;=Inputs_Assumptions!$E$194,Inputs_Assumptions!$E$193/Quarters_in_Year*IRR_Revenue_Model!H21,0)*Equity_In_Project</f>
        <v>0</v>
      </c>
      <c r="I134" s="119">
        <f>IF(I154&gt;=Inputs_Assumptions!$E$194,Inputs_Assumptions!$E$193/Quarters_in_Year*IRR_Revenue_Model!I21,0)*Equity_In_Project</f>
        <v>0</v>
      </c>
      <c r="J134" s="119">
        <f>IF(J154&gt;=Inputs_Assumptions!$E$194,Inputs_Assumptions!$E$193/Quarters_in_Year*IRR_Revenue_Model!J21,0)*Equity_In_Project</f>
        <v>0</v>
      </c>
      <c r="K134" s="119">
        <f>IF(K154&gt;=Inputs_Assumptions!$E$194,Inputs_Assumptions!$E$193/Quarters_in_Year*IRR_Revenue_Model!K21,0)*Equity_In_Project</f>
        <v>0</v>
      </c>
      <c r="L134" s="119">
        <f>IF(L154&gt;=Inputs_Assumptions!$E$194,Inputs_Assumptions!$E$193/Quarters_in_Year*IRR_Revenue_Model!L21,0)*Equity_In_Project</f>
        <v>0</v>
      </c>
      <c r="M134" s="119">
        <f>IF(M154&gt;=Inputs_Assumptions!$E$194,Inputs_Assumptions!$E$193/Quarters_in_Year*IRR_Revenue_Model!M21,0)*Equity_In_Project</f>
        <v>0</v>
      </c>
      <c r="N134" s="119">
        <f>IF(N154&gt;=Inputs_Assumptions!$E$194,Inputs_Assumptions!$E$193/Quarters_in_Year*IRR_Revenue_Model!N21,0)*Equity_In_Project</f>
        <v>0</v>
      </c>
      <c r="O134" s="119">
        <f>IF(O154&gt;=Inputs_Assumptions!$E$194,Inputs_Assumptions!$E$193/Quarters_in_Year*IRR_Revenue_Model!O21,0)*Equity_In_Project</f>
        <v>0</v>
      </c>
      <c r="P134" s="119">
        <f>IF(P154&gt;=Inputs_Assumptions!$E$194,Inputs_Assumptions!$E$193/Quarters_in_Year*IRR_Revenue_Model!P21,0)*Equity_In_Project</f>
        <v>0</v>
      </c>
      <c r="Q134" s="119">
        <f>IF(Q154&gt;=Inputs_Assumptions!$E$194,Inputs_Assumptions!$E$193/Quarters_in_Year*IRR_Revenue_Model!Q21,0)*Equity_In_Project</f>
        <v>0</v>
      </c>
      <c r="R134" s="119">
        <f>IF(R154&gt;=Inputs_Assumptions!$E$194,Inputs_Assumptions!$E$193/Quarters_in_Year*IRR_Revenue_Model!R21,0)*Equity_In_Project</f>
        <v>0</v>
      </c>
      <c r="S134" s="119">
        <f>IF(S154&gt;=Inputs_Assumptions!$E$194,Inputs_Assumptions!$E$193/Quarters_in_Year*IRR_Revenue_Model!S21,0)*Equity_In_Project</f>
        <v>0</v>
      </c>
      <c r="T134" s="119">
        <f>IF(T154&gt;=Inputs_Assumptions!$E$194,Inputs_Assumptions!$E$193/Quarters_in_Year*IRR_Revenue_Model!T21,0)*Equity_In_Project</f>
        <v>0</v>
      </c>
      <c r="U134" s="119">
        <f>IF(U154&gt;=Inputs_Assumptions!$E$194,Inputs_Assumptions!$E$193/Quarters_in_Year*IRR_Revenue_Model!U21,0)*Equity_In_Project</f>
        <v>0</v>
      </c>
      <c r="V134" s="119">
        <f>IF(V154&gt;=Inputs_Assumptions!$E$194,Inputs_Assumptions!$E$193/Quarters_in_Year*IRR_Revenue_Model!V21,0)*Equity_In_Project</f>
        <v>0</v>
      </c>
      <c r="W134" s="119">
        <f>IF(W154&gt;=Inputs_Assumptions!$E$194,Inputs_Assumptions!$E$193/Quarters_in_Year*IRR_Revenue_Model!W21,0)*Equity_In_Project</f>
        <v>0</v>
      </c>
      <c r="X134" s="119">
        <f>IF(X154&gt;=Inputs_Assumptions!$E$194,Inputs_Assumptions!$E$193/Quarters_in_Year*IRR_Revenue_Model!X21,0)*Equity_In_Project</f>
        <v>0</v>
      </c>
      <c r="Y134" s="119">
        <f>IF(Y154&gt;=Inputs_Assumptions!$E$194,Inputs_Assumptions!$E$193/Quarters_in_Year*IRR_Revenue_Model!Y21,0)*Equity_In_Project</f>
        <v>0</v>
      </c>
      <c r="Z134" s="119">
        <f>IF(Z154&gt;=Inputs_Assumptions!$E$194,Inputs_Assumptions!$E$193/Quarters_in_Year*IRR_Revenue_Model!Z21,0)*Equity_In_Project</f>
        <v>0</v>
      </c>
      <c r="AA134" s="119">
        <f>IF(AA154&gt;=Inputs_Assumptions!$E$194,Inputs_Assumptions!$E$193/Quarters_in_Year*IRR_Revenue_Model!AA21,0)*Equity_In_Project</f>
        <v>0</v>
      </c>
      <c r="AB134" s="119">
        <f>IF(AB154&gt;=Inputs_Assumptions!$E$194,Inputs_Assumptions!$E$193/Quarters_in_Year*IRR_Revenue_Model!AB21,0)*Equity_In_Project</f>
        <v>0</v>
      </c>
      <c r="AC134" s="119">
        <f>IF(AC154&gt;=Inputs_Assumptions!$E$194,Inputs_Assumptions!$E$193/Quarters_in_Year*IRR_Revenue_Model!AC21,0)*Equity_In_Project</f>
        <v>0</v>
      </c>
      <c r="AD134" s="119">
        <f>IF(AD154&gt;=Inputs_Assumptions!$E$194,Inputs_Assumptions!$E$193/Quarters_in_Year*IRR_Revenue_Model!AD21,0)*Equity_In_Project</f>
        <v>0</v>
      </c>
      <c r="AE134" s="119">
        <f>IF(AE154&gt;=Inputs_Assumptions!$E$194,Inputs_Assumptions!$E$193/Quarters_in_Year*IRR_Revenue_Model!AE21,0)*Equity_In_Project</f>
        <v>0</v>
      </c>
      <c r="AF134" s="119">
        <f>IF(AF154&gt;=Inputs_Assumptions!$E$194,Inputs_Assumptions!$E$193/Quarters_in_Year*IRR_Revenue_Model!AF21,0)*Equity_In_Project</f>
        <v>0</v>
      </c>
      <c r="AG134" s="119">
        <f>IF(AG154&gt;=Inputs_Assumptions!$E$194,Inputs_Assumptions!$E$193/Quarters_in_Year*IRR_Revenue_Model!AG21,0)*Equity_In_Project</f>
        <v>0</v>
      </c>
      <c r="AH134" s="119">
        <f>IF(AH154&gt;=Inputs_Assumptions!$E$194,Inputs_Assumptions!$E$193/Quarters_in_Year*IRR_Revenue_Model!AH21,0)*Equity_In_Project</f>
        <v>0</v>
      </c>
      <c r="AI134" s="119">
        <f>IF(AI154&gt;=Inputs_Assumptions!$E$194,Inputs_Assumptions!$E$193/Quarters_in_Year*IRR_Revenue_Model!AI21,0)*Equity_In_Project</f>
        <v>0</v>
      </c>
      <c r="AJ134" s="119">
        <f>IF(AJ154&gt;=Inputs_Assumptions!$E$194,Inputs_Assumptions!$E$193/Quarters_in_Year*IRR_Revenue_Model!AJ21,0)*Equity_In_Project</f>
        <v>0</v>
      </c>
      <c r="AK134" s="119">
        <f>IF(AK154&gt;=Inputs_Assumptions!$E$194,Inputs_Assumptions!$E$193/Quarters_in_Year*IRR_Revenue_Model!AK21,0)*Equity_In_Project</f>
        <v>0</v>
      </c>
      <c r="AL134" s="119">
        <f>IF(AL154&gt;=Inputs_Assumptions!$E$194,Inputs_Assumptions!$E$193/Quarters_in_Year*IRR_Revenue_Model!AL21,0)*Equity_In_Project</f>
        <v>0</v>
      </c>
      <c r="AM134" s="119">
        <f>IF(AM154&gt;=Inputs_Assumptions!$E$194,Inputs_Assumptions!$E$193/Quarters_in_Year*IRR_Revenue_Model!AM21,0)*Equity_In_Project</f>
        <v>4.5973033064068947</v>
      </c>
      <c r="AN134" s="119">
        <f>IF(AN154&gt;=Inputs_Assumptions!$E$194,Inputs_Assumptions!$E$193/Quarters_in_Year*IRR_Revenue_Model!AN21,0)*Equity_In_Project</f>
        <v>4.625770940913827</v>
      </c>
      <c r="AO134" s="119">
        <f>IF(AO154&gt;=Inputs_Assumptions!$E$194,Inputs_Assumptions!$E$193/Quarters_in_Year*IRR_Revenue_Model!AO21,0)*Equity_In_Project</f>
        <v>4.6544148540259345</v>
      </c>
      <c r="AP134" s="119">
        <f>IF(AP154&gt;=Inputs_Assumptions!$E$194,Inputs_Assumptions!$E$193/Quarters_in_Year*IRR_Revenue_Model!AP21,0)*Equity_In_Project</f>
        <v>4.683236137303763</v>
      </c>
      <c r="AQ134" s="119">
        <f>IF(AQ154&gt;=Inputs_Assumptions!$E$194,Inputs_Assumptions!$E$193/Quarters_in_Year*IRR_Revenue_Model!AQ21,0)*Equity_In_Project</f>
        <v>4.7122358890670686</v>
      </c>
      <c r="AR134" s="119">
        <f>IF(AR154&gt;=Inputs_Assumptions!$E$194,Inputs_Assumptions!$E$193/Quarters_in_Year*IRR_Revenue_Model!AR21,0)*Equity_In_Project</f>
        <v>4.7414152144366746</v>
      </c>
      <c r="AS134" s="119">
        <f>IF(AS154&gt;=Inputs_Assumptions!$E$194,Inputs_Assumptions!$E$193/Quarters_in_Year*IRR_Revenue_Model!AS21,0)*Equity_In_Project</f>
        <v>4.7707752253765854</v>
      </c>
      <c r="AT134" s="119">
        <f>IF(AT154&gt;=Inputs_Assumptions!$E$194,Inputs_Assumptions!$E$193/Quarters_in_Year*IRR_Revenue_Model!AT21,0)*Equity_In_Project</f>
        <v>4.8003170407363589</v>
      </c>
      <c r="AU134" s="119">
        <f>IF(AU154&gt;=Inputs_Assumptions!$E$194,Inputs_Assumptions!$E$193/Quarters_in_Year*IRR_Revenue_Model!AU21,0)*Equity_In_Project</f>
        <v>4.830041786293747</v>
      </c>
      <c r="AV134" s="119">
        <f>IF(AV154&gt;=Inputs_Assumptions!$E$194,Inputs_Assumptions!$E$193/Quarters_in_Year*IRR_Revenue_Model!AV21,0)*Equity_In_Project</f>
        <v>4.8599505947975938</v>
      </c>
      <c r="AW134" s="119">
        <f>IF(AW154&gt;=Inputs_Assumptions!$E$194,Inputs_Assumptions!$E$193/Quarters_in_Year*IRR_Revenue_Model!AW21,0)*Equity_In_Project</f>
        <v>4.8900446060110019</v>
      </c>
      <c r="AX134" s="119">
        <f>IF(AX154&gt;=Inputs_Assumptions!$E$194,Inputs_Assumptions!$E$193/Quarters_in_Year*IRR_Revenue_Model!AX21,0)*Equity_In_Project</f>
        <v>4.9203249667547695</v>
      </c>
      <c r="AY134" s="119">
        <f>IF(AY154&gt;=Inputs_Assumptions!$E$194,Inputs_Assumptions!$E$193/Quarters_in_Year*IRR_Revenue_Model!AY21,0)*Equity_In_Project</f>
        <v>4.9507928309510927</v>
      </c>
      <c r="AZ134" s="119">
        <f>IF(AZ154&gt;=Inputs_Assumptions!$E$194,Inputs_Assumptions!$E$193/Quarters_in_Year*IRR_Revenue_Model!AZ21,0)*Equity_In_Project</f>
        <v>4.9814493596675353</v>
      </c>
      <c r="BA134" s="119">
        <f>IF(BA154&gt;=Inputs_Assumptions!$E$194,Inputs_Assumptions!$E$193/Quarters_in_Year*IRR_Revenue_Model!BA21,0)*Equity_In_Project</f>
        <v>5.0122957211612791</v>
      </c>
      <c r="BB134" s="119">
        <f>IF(BB154&gt;=Inputs_Assumptions!$E$194,Inputs_Assumptions!$E$193/Quarters_in_Year*IRR_Revenue_Model!BB21,0)*Equity_In_Project</f>
        <v>5.0433330909236407</v>
      </c>
      <c r="BC134" s="119">
        <f>IF(BC154&gt;=Inputs_Assumptions!$E$194,Inputs_Assumptions!$E$193/Quarters_in_Year*IRR_Revenue_Model!BC21,0)*Equity_In_Project</f>
        <v>5.0745626517248716</v>
      </c>
      <c r="BD134" s="119">
        <f>IF(BD154&gt;=Inputs_Assumptions!$E$194,Inputs_Assumptions!$E$193/Quarters_in_Year*IRR_Revenue_Model!BD21,0)*Equity_In_Project</f>
        <v>5.1059855936592244</v>
      </c>
      <c r="BE134" s="119">
        <f>IF(BE154&gt;=Inputs_Assumptions!$E$194,Inputs_Assumptions!$E$193/Quarters_in_Year*IRR_Revenue_Model!BE21,0)*Equity_In_Project</f>
        <v>5.1376031141903118</v>
      </c>
      <c r="BF134" s="119">
        <f>IF(BF154&gt;=Inputs_Assumptions!$E$194,Inputs_Assumptions!$E$193/Quarters_in_Year*IRR_Revenue_Model!BF21,0)*Equity_In_Project</f>
        <v>5.1694164181967333</v>
      </c>
      <c r="BG134" s="119">
        <f>IF(BG154&gt;=Inputs_Assumptions!$E$194,Inputs_Assumptions!$E$193/Quarters_in_Year*IRR_Revenue_Model!BG21,0)*Equity_In_Project</f>
        <v>5.2014267180179949</v>
      </c>
      <c r="BH134" s="119">
        <f>IF(BH154&gt;=Inputs_Assumptions!$E$194,Inputs_Assumptions!$E$193/Quarters_in_Year*IRR_Revenue_Model!BH21,0)*Equity_In_Project</f>
        <v>5.2336352335007073</v>
      </c>
      <c r="BI134" s="119">
        <f>IF(BI154&gt;=Inputs_Assumptions!$E$194,Inputs_Assumptions!$E$193/Quarters_in_Year*IRR_Revenue_Model!BI21,0)*Equity_In_Project</f>
        <v>5.2660431920450721</v>
      </c>
      <c r="BJ134" s="119">
        <f>IF(BJ154&gt;=Inputs_Assumptions!$E$194,Inputs_Assumptions!$E$193/Quarters_in_Year*IRR_Revenue_Model!BJ21,0)*Equity_In_Project</f>
        <v>5.2986518286516535</v>
      </c>
      <c r="BK134" s="119">
        <f>IF(BK154&gt;=Inputs_Assumptions!$E$194,Inputs_Assumptions!$E$193/Quarters_in_Year*IRR_Revenue_Model!BK21,0)*Equity_In_Project</f>
        <v>5.3314623859684467</v>
      </c>
      <c r="BL134" s="119">
        <f>IF(BL154&gt;=Inputs_Assumptions!$E$194,Inputs_Assumptions!$E$193/Quarters_in_Year*IRR_Revenue_Model!BL21,0)*Equity_In_Project</f>
        <v>5.3644761143382267</v>
      </c>
      <c r="BM134" s="119">
        <f>IF(BM154&gt;=Inputs_Assumptions!$E$194,Inputs_Assumptions!$E$193/Quarters_in_Year*IRR_Revenue_Model!BM21,0)*Equity_In_Project</f>
        <v>5.3976942718462002</v>
      </c>
      <c r="BN134" s="119">
        <f>IF(BN154&gt;=Inputs_Assumptions!$E$194,Inputs_Assumptions!$E$193/Quarters_in_Year*IRR_Revenue_Model!BN21,0)*Equity_In_Project</f>
        <v>5.4311181243679467</v>
      </c>
      <c r="BO134" s="119">
        <f>IF(BO154&gt;=Inputs_Assumptions!$E$194,Inputs_Assumptions!$E$193/Quarters_in_Year*IRR_Revenue_Model!BO21,0)*Equity_In_Project</f>
        <v>5.4647489456176599</v>
      </c>
      <c r="BP134" s="119">
        <f>IF(BP154&gt;=Inputs_Assumptions!$E$194,Inputs_Assumptions!$E$193/Quarters_in_Year*IRR_Revenue_Model!BP21,0)*Equity_In_Project</f>
        <v>5.4985880171966839</v>
      </c>
      <c r="BQ134" s="119">
        <f>IF(BQ154&gt;=Inputs_Assumptions!$E$194,Inputs_Assumptions!$E$193/Quarters_in_Year*IRR_Revenue_Model!BQ21,0)*Equity_In_Project</f>
        <v>5.5326366286423569</v>
      </c>
      <c r="BR134" s="119">
        <f>IF(BR154&gt;=Inputs_Assumptions!$E$194,Inputs_Assumptions!$E$193/Quarters_in_Year*IRR_Revenue_Model!BR21,0)*Equity_In_Project</f>
        <v>5.5668960774771463</v>
      </c>
      <c r="BS134" s="119">
        <f>IF(BS154&gt;=Inputs_Assumptions!$E$194,Inputs_Assumptions!$E$193/Quarters_in_Year*IRR_Revenue_Model!BS21,0)*Equity_In_Project</f>
        <v>5.601367669258102</v>
      </c>
      <c r="BT134" s="119">
        <f>IF(BT154&gt;=Inputs_Assumptions!$E$194,Inputs_Assumptions!$E$193/Quarters_in_Year*IRR_Revenue_Model!BT21,0)*Equity_In_Project</f>
        <v>5.6360527176266029</v>
      </c>
      <c r="BU134" s="119">
        <f>IF(BU154&gt;=Inputs_Assumptions!$E$194,Inputs_Assumptions!$E$193/Quarters_in_Year*IRR_Revenue_Model!BU21,0)*Equity_In_Project</f>
        <v>5.6709525443584177</v>
      </c>
      <c r="BV134" s="119">
        <f>IF(BV154&gt;=Inputs_Assumptions!$E$194,Inputs_Assumptions!$E$193/Quarters_in_Year*IRR_Revenue_Model!BV21,0)*Equity_In_Project</f>
        <v>5.7060684794140775</v>
      </c>
      <c r="BW134" s="119">
        <f>IF(BW154&gt;=Inputs_Assumptions!$E$194,Inputs_Assumptions!$E$193/Quarters_in_Year*IRR_Revenue_Model!BW21,0)*Equity_In_Project</f>
        <v>5.7414018609895576</v>
      </c>
      <c r="BX134" s="119">
        <f>IF(BX154&gt;=Inputs_Assumptions!$E$194,Inputs_Assumptions!$E$193/Quarters_in_Year*IRR_Revenue_Model!BX21,0)*Equity_In_Project</f>
        <v>5.7769540355672699</v>
      </c>
      <c r="BY134" s="119">
        <f>IF(BY154&gt;=Inputs_Assumptions!$E$194,Inputs_Assumptions!$E$193/Quarters_in_Year*IRR_Revenue_Model!BY21,0)*Equity_In_Project</f>
        <v>5.8127263579673798</v>
      </c>
      <c r="BZ134" s="119">
        <f>IF(BZ154&gt;=Inputs_Assumptions!$E$194,Inputs_Assumptions!$E$193/Quarters_in_Year*IRR_Revenue_Model!BZ21,0)*Equity_In_Project</f>
        <v>5.8487201913994316</v>
      </c>
      <c r="CA134" s="119">
        <f>IF(CA154&gt;=Inputs_Assumptions!$E$194,Inputs_Assumptions!$E$193/Quarters_in_Year*IRR_Revenue_Model!CA21,0)*Equity_In_Project</f>
        <v>5.8849369075142981</v>
      </c>
      <c r="CB134" s="119">
        <f>IF(CB154&gt;=Inputs_Assumptions!$E$194,Inputs_Assumptions!$E$193/Quarters_in_Year*IRR_Revenue_Model!CB21,0)*Equity_In_Project</f>
        <v>5.9213778864564537</v>
      </c>
      <c r="CC134" s="119">
        <f>IF(CC154&gt;=Inputs_Assumptions!$E$194,Inputs_Assumptions!$E$193/Quarters_in_Year*IRR_Revenue_Model!CC21,0)*Equity_In_Project</f>
        <v>5.9580445169165666</v>
      </c>
      <c r="CD134" s="119">
        <f>IF(CD154&gt;=Inputs_Assumptions!$E$194,Inputs_Assumptions!$E$193/Quarters_in_Year*IRR_Revenue_Model!CD21,0)*Equity_In_Project</f>
        <v>5.9949381961844193</v>
      </c>
      <c r="CE134" s="119">
        <f>IF(CE154&gt;=Inputs_Assumptions!$E$194,Inputs_Assumptions!$E$193/Quarters_in_Year*IRR_Revenue_Model!CE21,0)*Equity_In_Project</f>
        <v>6.0320603302021576</v>
      </c>
      <c r="CF134" s="119">
        <f>IF(CF154&gt;=Inputs_Assumptions!$E$194,Inputs_Assumptions!$E$193/Quarters_in_Year*IRR_Revenue_Model!CF21,0)*Equity_In_Project</f>
        <v>6.0694123336178674</v>
      </c>
      <c r="CG134" s="119">
        <f>IF(CG154&gt;=Inputs_Assumptions!$E$194,Inputs_Assumptions!$E$193/Quarters_in_Year*IRR_Revenue_Model!CG21,0)*Equity_In_Project</f>
        <v>6.1069956298394823</v>
      </c>
      <c r="CH134" s="119">
        <f>IF(CH154&gt;=Inputs_Assumptions!$E$194,Inputs_Assumptions!$E$193/Quarters_in_Year*IRR_Revenue_Model!CH21,0)*Equity_In_Project</f>
        <v>6.1448116510890314</v>
      </c>
      <c r="CI134" s="119">
        <f>IF(CI154&gt;=Inputs_Assumptions!$E$194,Inputs_Assumptions!$E$193/Quarters_in_Year*IRR_Revenue_Model!CI21,0)*Equity_In_Project</f>
        <v>6.1828618384572138</v>
      </c>
      <c r="CJ134" s="119">
        <f>IF(CJ154&gt;=Inputs_Assumptions!$E$194,Inputs_Assumptions!$E$193/Quarters_in_Year*IRR_Revenue_Model!CJ21,0)*Equity_In_Project</f>
        <v>6.221147641958316</v>
      </c>
      <c r="CK134" s="119">
        <f>IF(CK154&gt;=Inputs_Assumptions!$E$194,Inputs_Assumptions!$E$193/Quarters_in_Year*IRR_Revenue_Model!CK21,0)*Equity_In_Project</f>
        <v>6.2596705205854715</v>
      </c>
      <c r="CL134" s="119">
        <f>IF(CL154&gt;=Inputs_Assumptions!$E$194,Inputs_Assumptions!$E$193/Quarters_in_Year*IRR_Revenue_Model!CL21,0)*Equity_In_Project</f>
        <v>6.2984319423662596</v>
      </c>
      <c r="CM134" s="119">
        <f>IF(CM154&gt;=Inputs_Assumptions!$E$194,Inputs_Assumptions!$E$193/Quarters_in_Year*IRR_Revenue_Model!CM21,0)*Equity_In_Project</f>
        <v>6.3374333844186461</v>
      </c>
      <c r="CN134" s="119">
        <f>IF(CN154&gt;=Inputs_Assumptions!$E$194,Inputs_Assumptions!$E$193/Quarters_in_Year*IRR_Revenue_Model!CN21,0)*Equity_In_Project</f>
        <v>6.3766763330072767</v>
      </c>
      <c r="CO134" s="119">
        <f>IF(CO154&gt;=Inputs_Assumptions!$E$194,Inputs_Assumptions!$E$193/Quarters_in_Year*IRR_Revenue_Model!CO21,0)*Equity_In_Project</f>
        <v>6.4161622836001104</v>
      </c>
      <c r="CP134" s="119">
        <f>IF(CP154&gt;=Inputs_Assumptions!$E$194,Inputs_Assumptions!$E$193/Quarters_in_Year*IRR_Revenue_Model!CP21,0)*Equity_In_Project</f>
        <v>6.4558927409254192</v>
      </c>
      <c r="CQ134" s="119">
        <f>IF(CQ154&gt;=Inputs_Assumptions!$E$194,Inputs_Assumptions!$E$193/Quarters_in_Year*IRR_Revenue_Model!CQ21,0)*Equity_In_Project</f>
        <v>6.4958692190291147</v>
      </c>
      <c r="CR134" s="119">
        <f>IF(CR154&gt;=Inputs_Assumptions!$E$194,Inputs_Assumptions!$E$193/Quarters_in_Year*IRR_Revenue_Model!CR21,0)*Equity_In_Project</f>
        <v>6.5360932413324608</v>
      </c>
      <c r="CS134" s="119">
        <f>IF(CS154&gt;=Inputs_Assumptions!$E$194,Inputs_Assumptions!$E$193/Quarters_in_Year*IRR_Revenue_Model!CS21,0)*Equity_In_Project</f>
        <v>6.5765663406901167</v>
      </c>
      <c r="CT134" s="119">
        <f>IF(CT154&gt;=Inputs_Assumptions!$E$194,Inputs_Assumptions!$E$193/Quarters_in_Year*IRR_Revenue_Model!CT21,0)*Equity_In_Project</f>
        <v>6.6172900594485569</v>
      </c>
      <c r="CU134" s="266">
        <f>IF(CU154&gt;=Inputs_Assumptions!$E$194,Inputs_Assumptions!$E$193/Quarters_in_Year*IRR_Revenue_Model!CU21,0)*Equity_In_Project</f>
        <v>6.6582659495048446</v>
      </c>
      <c r="CV134" s="119">
        <f>IF(CV154&gt;=Inputs_Assumptions!$E$194,Inputs_Assumptions!$E$193/Quarters_in_Year*IRR_Revenue_Model!CV21,0)*Equity_In_Project</f>
        <v>6.6994955723657741</v>
      </c>
      <c r="CW134" s="119">
        <f>IF(CW154&gt;=Inputs_Assumptions!$E$194,Inputs_Assumptions!$E$193/Quarters_in_Year*IRR_Revenue_Model!CW21,0)*Equity_In_Project</f>
        <v>6.740980499207371</v>
      </c>
      <c r="CX134" s="119">
        <f>IF(CX154&gt;=Inputs_Assumptions!$E$194,Inputs_Assumptions!$E$193/Quarters_in_Year*IRR_Revenue_Model!CX21,0)*Equity_In_Project</f>
        <v>6.7827223109347727</v>
      </c>
      <c r="CY134" s="119">
        <f>IF(CY154&gt;=Inputs_Assumptions!$E$194,Inputs_Assumptions!$E$193/Quarters_in_Year*IRR_Revenue_Model!CY21,0)*Equity_In_Project</f>
        <v>6.8247225982424684</v>
      </c>
      <c r="CZ134" s="119">
        <f>IF(CZ154&gt;=Inputs_Assumptions!$E$194,Inputs_Assumptions!$E$193/Quarters_in_Year*IRR_Revenue_Model!CZ21,0)*Equity_In_Project</f>
        <v>6.8669829616749203</v>
      </c>
      <c r="DA134" s="119">
        <f>IF(DA154&gt;=Inputs_Assumptions!$E$194,Inputs_Assumptions!$E$193/Quarters_in_Year*IRR_Revenue_Model!DA21,0)*Equity_In_Project</f>
        <v>6.9095050116875578</v>
      </c>
      <c r="DB134" s="119">
        <f>IF(DB154&gt;=Inputs_Assumptions!$E$194,Inputs_Assumptions!$E$193/Quarters_in_Year*IRR_Revenue_Model!DB21,0)*Equity_In_Project</f>
        <v>6.9522903687081445</v>
      </c>
      <c r="DC134" s="119">
        <f>IF(DC154&gt;=Inputs_Assumptions!$E$194,Inputs_Assumptions!$E$193/Quarters_in_Year*IRR_Revenue_Model!DC21,0)*Equity_In_Project</f>
        <v>6.9953406631985331</v>
      </c>
      <c r="DD134" s="119">
        <f>IF(DD154&gt;=Inputs_Assumptions!$E$194,Inputs_Assumptions!$E$193/Quarters_in_Year*IRR_Revenue_Model!DD21,0)*Equity_In_Project</f>
        <v>7.0386575357167969</v>
      </c>
      <c r="DE134" s="119">
        <f>IF(DE154&gt;=Inputs_Assumptions!$E$194,Inputs_Assumptions!$E$193/Quarters_in_Year*IRR_Revenue_Model!DE21,0)*Equity_In_Project</f>
        <v>7.0822426369797498</v>
      </c>
      <c r="DF134" s="119">
        <f>IF(DF154&gt;=Inputs_Assumptions!$E$194,Inputs_Assumptions!$E$193/Quarters_in_Year*IRR_Revenue_Model!DF21,0)*Equity_In_Project</f>
        <v>7.1260976279258514</v>
      </c>
      <c r="DG134" s="119">
        <f>IF(DG154&gt;=Inputs_Assumptions!$E$194,Inputs_Assumptions!$E$193/Quarters_in_Year*IRR_Revenue_Model!DG21,0)*Equity_In_Project</f>
        <v>7.1702241797784998</v>
      </c>
      <c r="DH134" s="119">
        <f>IF(DH154&gt;=Inputs_Assumptions!$E$194,Inputs_Assumptions!$E$193/Quarters_in_Year*IRR_Revenue_Model!DH21,0)*Equity_In_Project</f>
        <v>7.2146239741097205</v>
      </c>
      <c r="DI134" s="119">
        <f>IF(DI154&gt;=Inputs_Assumptions!$E$194,Inputs_Assumptions!$E$193/Quarters_in_Year*IRR_Revenue_Model!DI21,0)*Equity_In_Project</f>
        <v>7.2592987029042479</v>
      </c>
      <c r="DJ134" s="119">
        <f>IF(DJ154&gt;=Inputs_Assumptions!$E$194,Inputs_Assumptions!$E$193/Quarters_in_Year*IRR_Revenue_Model!DJ21,0)*Equity_In_Project</f>
        <v>7.3042500686240013</v>
      </c>
      <c r="DK134" s="119">
        <f>IF(DK154&gt;=Inputs_Assumptions!$E$194,Inputs_Assumptions!$E$193/Quarters_in_Year*IRR_Revenue_Model!DK21,0)*Equity_In_Project</f>
        <v>7.3494797842729662</v>
      </c>
      <c r="DL134" s="119">
        <f>IF(DL154&gt;=Inputs_Assumptions!$E$194,Inputs_Assumptions!$E$193/Quarters_in_Year*IRR_Revenue_Model!DL21,0)*Equity_In_Project</f>
        <v>7.3949895734624667</v>
      </c>
      <c r="DM134" s="119">
        <f>IF(DM154&gt;=Inputs_Assumptions!$E$194,Inputs_Assumptions!$E$193/Quarters_in_Year*IRR_Revenue_Model!DM21,0)*Equity_In_Project</f>
        <v>7.4407811704768569</v>
      </c>
      <c r="DN134" s="119">
        <f>IF(DN154&gt;=Inputs_Assumptions!$E$194,Inputs_Assumptions!$E$193/Quarters_in_Year*IRR_Revenue_Model!DN21,0)*Equity_In_Project</f>
        <v>7.486856320339605</v>
      </c>
      <c r="DO134" s="119">
        <f>IF(DO154&gt;=Inputs_Assumptions!$E$194,Inputs_Assumptions!$E$193/Quarters_in_Year*IRR_Revenue_Model!DO21,0)*Equity_In_Project</f>
        <v>7.533216778879793</v>
      </c>
      <c r="DP134" s="119">
        <f>IF(DP154&gt;=Inputs_Assumptions!$E$194,Inputs_Assumptions!$E$193/Quarters_in_Year*IRR_Revenue_Model!DP21,0)*Equity_In_Project</f>
        <v>7.5798643127990308</v>
      </c>
      <c r="DQ134" s="119">
        <f>IF(DQ154&gt;=Inputs_Assumptions!$E$194,Inputs_Assumptions!$E$193/Quarters_in_Year*IRR_Revenue_Model!DQ21,0)*Equity_In_Project</f>
        <v>7.6268006997387818</v>
      </c>
      <c r="DR134" s="119">
        <f>IF(DR154&gt;=Inputs_Assumptions!$E$194,Inputs_Assumptions!$E$193/Quarters_in_Year*IRR_Revenue_Model!DR21,0)*Equity_In_Project</f>
        <v>7.6740277283480989</v>
      </c>
      <c r="DS134" s="119">
        <f>IF(DS154&gt;=Inputs_Assumptions!$E$194,Inputs_Assumptions!$E$193/Quarters_in_Year*IRR_Revenue_Model!DS21,0)*Equity_In_Project</f>
        <v>7.7215471983517912</v>
      </c>
      <c r="DT134" s="119">
        <f>IF(DT154&gt;=Inputs_Assumptions!$E$194,Inputs_Assumptions!$E$193/Quarters_in_Year*IRR_Revenue_Model!DT21,0)*Equity_In_Project</f>
        <v>7.7693609206190102</v>
      </c>
      <c r="DU134" s="119">
        <f>IF(DU154&gt;=Inputs_Assumptions!$E$194,Inputs_Assumptions!$E$193/Quarters_in_Year*IRR_Revenue_Model!DU21,0)*Equity_In_Project</f>
        <v>7.8174707172322542</v>
      </c>
      <c r="DV134" s="119">
        <f>IF(DV154&gt;=Inputs_Assumptions!$E$194,Inputs_Assumptions!$E$193/Quarters_in_Year*IRR_Revenue_Model!DV21,0)*Equity_In_Project</f>
        <v>7.8658784215568032</v>
      </c>
      <c r="DW134" s="119">
        <f>IF(DW154&gt;=Inputs_Assumptions!$E$194,Inputs_Assumptions!$E$193/Quarters_in_Year*IRR_Revenue_Model!DW21,0)*Equity_In_Project</f>
        <v>7.9145858783105885</v>
      </c>
      <c r="DX134" s="119">
        <f>IF(DX154&gt;=Inputs_Assumptions!$E$194,Inputs_Assumptions!$E$193/Quarters_in_Year*IRR_Revenue_Model!DX21,0)*Equity_In_Project</f>
        <v>7.9635949436344884</v>
      </c>
      <c r="DY134" s="119">
        <f>IF(DY154&gt;=Inputs_Assumptions!$E$194,Inputs_Assumptions!$E$193/Quarters_in_Year*IRR_Revenue_Model!DY21,0)*Equity_In_Project</f>
        <v>8.0129074851630637</v>
      </c>
      <c r="DZ134" s="119">
        <f>IF(DZ154&gt;=Inputs_Assumptions!$E$194,Inputs_Assumptions!$E$193/Quarters_in_Year*IRR_Revenue_Model!DZ21,0)*Equity_In_Project</f>
        <v>8.0625253820957266</v>
      </c>
      <c r="EA134" s="119">
        <f>IF(EA154&gt;=Inputs_Assumptions!$E$194,Inputs_Assumptions!$E$193/Quarters_in_Year*IRR_Revenue_Model!EA21,0)*Equity_In_Project</f>
        <v>8.1124505252683559</v>
      </c>
      <c r="EB134" s="119">
        <f>IF(EB154&gt;=Inputs_Assumptions!$E$194,Inputs_Assumptions!$E$193/Quarters_in_Year*IRR_Revenue_Model!EB21,0)*Equity_In_Project</f>
        <v>8.1626848172253545</v>
      </c>
      <c r="EC134" s="119">
        <f>IF(EC154&gt;=Inputs_Assumptions!$E$194,Inputs_Assumptions!$E$193/Quarters_in_Year*IRR_Revenue_Model!EC21,0)*Equity_In_Project</f>
        <v>8.2132301722921426</v>
      </c>
      <c r="ED134" s="119">
        <f>IF(ED154&gt;=Inputs_Assumptions!$E$194,Inputs_Assumptions!$E$193/Quarters_in_Year*IRR_Revenue_Model!ED21,0)*Equity_In_Project</f>
        <v>8.2640885166481226</v>
      </c>
      <c r="EE134" s="119">
        <f>IF(EE154&gt;=Inputs_Assumptions!$E$194,Inputs_Assumptions!$E$193/Quarters_in_Year*IRR_Revenue_Model!EE21,0)*Equity_In_Project</f>
        <v>8.3152617884000684</v>
      </c>
      <c r="EF134" s="119">
        <f>IF(EF154&gt;=Inputs_Assumptions!$E$194,Inputs_Assumptions!$E$193/Quarters_in_Year*IRR_Revenue_Model!EF21,0)*Equity_In_Project</f>
        <v>8.3667519376559909</v>
      </c>
      <c r="EG134" s="119">
        <f>IF(EG154&gt;=Inputs_Assumptions!$E$194,Inputs_Assumptions!$E$193/Quarters_in_Year*IRR_Revenue_Model!EG21,0)*Equity_In_Project</f>
        <v>8.418560926599449</v>
      </c>
      <c r="EH134" s="119">
        <f>IF(EH154&gt;=Inputs_Assumptions!$E$194,Inputs_Assumptions!$E$193/Quarters_in_Year*IRR_Revenue_Model!EH21,0)*Equity_In_Project</f>
        <v>8.4706907295643283</v>
      </c>
      <c r="EI134" s="119">
        <f>IF(EI154&gt;=Inputs_Assumptions!$E$194,Inputs_Assumptions!$E$193/Quarters_in_Year*IRR_Revenue_Model!EI21,0)*Equity_In_Project</f>
        <v>8.5231433331100739</v>
      </c>
      <c r="EJ134" s="119">
        <f>IF(EJ154&gt;=Inputs_Assumptions!$E$194,Inputs_Assumptions!$E$193/Quarters_in_Year*IRR_Revenue_Model!EJ21,0)*Equity_In_Project</f>
        <v>8.5759207360973928</v>
      </c>
      <c r="EK134" s="119">
        <f>IF(EK154&gt;=Inputs_Assumptions!$E$194,Inputs_Assumptions!$E$193/Quarters_in_Year*IRR_Revenue_Model!EK21,0)*Equity_In_Project</f>
        <v>8.6290249497644389</v>
      </c>
      <c r="EL134" s="119">
        <f>IF(EL154&gt;=Inputs_Assumptions!$E$194,Inputs_Assumptions!$E$193/Quarters_in_Year*IRR_Revenue_Model!EL21,0)*Equity_In_Project</f>
        <v>8.6824579978034393</v>
      </c>
      <c r="EM134" s="119">
        <f>IF(EM154&gt;=Inputs_Assumptions!$E$194,Inputs_Assumptions!$E$193/Quarters_in_Year*IRR_Revenue_Model!EM21,0)*Equity_In_Project</f>
        <v>8.7362219164378256</v>
      </c>
      <c r="EN134" s="119">
        <f>IF(EN154&gt;=Inputs_Assumptions!$E$194,Inputs_Assumptions!$E$193/Quarters_in_Year*IRR_Revenue_Model!EN21,0)*Equity_In_Project</f>
        <v>8.7903187544998289</v>
      </c>
      <c r="EO134" s="119">
        <f>IF(EO154&gt;=Inputs_Assumptions!$E$194,Inputs_Assumptions!$E$193/Quarters_in_Year*IRR_Revenue_Model!EO21,0)*Equity_In_Project</f>
        <v>8.8447505735085503</v>
      </c>
      <c r="EP134" s="119">
        <f>IF(EP154&gt;=Inputs_Assumptions!$E$194,Inputs_Assumptions!$E$193/Quarters_in_Year*IRR_Revenue_Model!EP21,0)*Equity_In_Project</f>
        <v>8.8995194477485278</v>
      </c>
      <c r="EQ134" s="119">
        <f>IF(EQ154&gt;=Inputs_Assumptions!$E$194,Inputs_Assumptions!$E$193/Quarters_in_Year*IRR_Revenue_Model!EQ21,0)*Equity_In_Project</f>
        <v>8.9546274643487749</v>
      </c>
      <c r="ER134" s="119">
        <f>IF(ER154&gt;=Inputs_Assumptions!$E$194,Inputs_Assumptions!$E$193/Quarters_in_Year*IRR_Revenue_Model!ER21,0)*Equity_In_Project</f>
        <v>9.010076723362328</v>
      </c>
      <c r="ES134" s="119">
        <f>IF(ES154&gt;=Inputs_Assumptions!$E$194,Inputs_Assumptions!$E$193/Quarters_in_Year*IRR_Revenue_Model!ES21,0)*Equity_In_Project</f>
        <v>9.0658693378462676</v>
      </c>
      <c r="ET134" s="119">
        <f>IF(ET154&gt;=Inputs_Assumptions!$E$194,Inputs_Assumptions!$E$193/Quarters_in_Year*IRR_Revenue_Model!ET21,0)*Equity_In_Project</f>
        <v>9.1220074339422439</v>
      </c>
      <c r="EU134" s="119">
        <f>IF(EU154&gt;=Inputs_Assumptions!$E$194,Inputs_Assumptions!$E$193/Quarters_in_Year*IRR_Revenue_Model!EU21,0)*Equity_In_Project</f>
        <v>9.1784931509574967</v>
      </c>
      <c r="EV134" s="119">
        <f>IF(EV154&gt;=Inputs_Assumptions!$E$194,Inputs_Assumptions!$E$193/Quarters_in_Year*IRR_Revenue_Model!EV21,0)*Equity_In_Project</f>
        <v>9.2353286414463884</v>
      </c>
      <c r="EW134" s="119">
        <f>IF(EW154&gt;=Inputs_Assumptions!$E$194,Inputs_Assumptions!$E$193/Quarters_in_Year*IRR_Revenue_Model!EW21,0)*Equity_In_Project</f>
        <v>9.2925160712924253</v>
      </c>
      <c r="EX134" s="119">
        <f>IF(EX154&gt;=Inputs_Assumptions!$E$194,Inputs_Assumptions!$E$193/Quarters_in_Year*IRR_Revenue_Model!EX21,0)*Equity_In_Project</f>
        <v>9.3500576197908014</v>
      </c>
      <c r="EY134" s="119">
        <f>IF(EY154&gt;=Inputs_Assumptions!$E$194,Inputs_Assumptions!$E$193/Quarters_in_Year*IRR_Revenue_Model!EY21,0)*Equity_In_Project</f>
        <v>9.4079554797314362</v>
      </c>
      <c r="EZ134" s="119">
        <f>IF(EZ154&gt;=Inputs_Assumptions!$E$194,Inputs_Assumptions!$E$193/Quarters_in_Year*IRR_Revenue_Model!EZ21,0)*Equity_In_Project</f>
        <v>9.4662118574825502</v>
      </c>
      <c r="FA134" s="119">
        <f>IF(FA154&gt;=Inputs_Assumptions!$E$194,Inputs_Assumptions!$E$193/Quarters_in_Year*IRR_Revenue_Model!FA21,0)*Equity_In_Project</f>
        <v>9.5248289730747402</v>
      </c>
    </row>
    <row r="135" spans="3:157" outlineLevel="1" x14ac:dyDescent="0.2">
      <c r="C135" s="12" t="s">
        <v>406</v>
      </c>
      <c r="D135" s="21" t="s">
        <v>126</v>
      </c>
      <c r="E135" s="119"/>
      <c r="F135" s="119"/>
      <c r="G135" s="119">
        <f>SUM($G134:G134)</f>
        <v>0</v>
      </c>
      <c r="H135" s="119">
        <f>SUM($G134:H134)</f>
        <v>0</v>
      </c>
      <c r="I135" s="119">
        <f>SUM($G134:I134)</f>
        <v>0</v>
      </c>
      <c r="J135" s="119">
        <f>SUM($G134:J134)</f>
        <v>0</v>
      </c>
      <c r="K135" s="119">
        <f>SUM($G134:K134)</f>
        <v>0</v>
      </c>
      <c r="L135" s="119">
        <f>SUM($G134:L134)</f>
        <v>0</v>
      </c>
      <c r="M135" s="119">
        <f>SUM($G134:M134)</f>
        <v>0</v>
      </c>
      <c r="N135" s="119">
        <f>SUM($G134:N134)</f>
        <v>0</v>
      </c>
      <c r="O135" s="119">
        <f>SUM($G134:O134)</f>
        <v>0</v>
      </c>
      <c r="P135" s="119">
        <f>SUM($G134:P134)</f>
        <v>0</v>
      </c>
      <c r="Q135" s="119">
        <f>SUM($G134:Q134)</f>
        <v>0</v>
      </c>
      <c r="R135" s="119">
        <f>SUM($G134:R134)</f>
        <v>0</v>
      </c>
      <c r="S135" s="119">
        <f>SUM($G134:S134)</f>
        <v>0</v>
      </c>
      <c r="T135" s="119">
        <f>SUM($G134:T134)</f>
        <v>0</v>
      </c>
      <c r="U135" s="119">
        <f>SUM($G134:U134)</f>
        <v>0</v>
      </c>
      <c r="V135" s="119">
        <f>SUM($G134:V134)</f>
        <v>0</v>
      </c>
      <c r="W135" s="119">
        <f>SUM($G134:W134)</f>
        <v>0</v>
      </c>
      <c r="X135" s="119">
        <f>SUM($G134:X134)</f>
        <v>0</v>
      </c>
      <c r="Y135" s="119">
        <f>SUM($G134:Y134)</f>
        <v>0</v>
      </c>
      <c r="Z135" s="119">
        <f>SUM($G134:Z134)</f>
        <v>0</v>
      </c>
      <c r="AA135" s="119">
        <f>SUM($G134:AA134)</f>
        <v>0</v>
      </c>
      <c r="AB135" s="119">
        <f>SUM($G134:AB134)</f>
        <v>0</v>
      </c>
      <c r="AC135" s="119">
        <f>SUM($G134:AC134)</f>
        <v>0</v>
      </c>
      <c r="AD135" s="119">
        <f>SUM($G134:AD134)</f>
        <v>0</v>
      </c>
      <c r="AE135" s="119">
        <f>SUM($G134:AE134)</f>
        <v>0</v>
      </c>
      <c r="AF135" s="119">
        <f>SUM($G134:AF134)</f>
        <v>0</v>
      </c>
      <c r="AG135" s="119">
        <f>SUM($G134:AG134)</f>
        <v>0</v>
      </c>
      <c r="AH135" s="119">
        <f>SUM($G134:AH134)</f>
        <v>0</v>
      </c>
      <c r="AI135" s="119">
        <f>SUM($G134:AI134)</f>
        <v>0</v>
      </c>
      <c r="AJ135" s="119">
        <f>SUM($G134:AJ134)</f>
        <v>0</v>
      </c>
      <c r="AK135" s="119">
        <f>SUM($G134:AK134)</f>
        <v>0</v>
      </c>
      <c r="AL135" s="119">
        <f>SUM($G134:AL134)</f>
        <v>0</v>
      </c>
      <c r="AM135" s="119">
        <f>SUM($G134:AM134)</f>
        <v>4.5973033064068947</v>
      </c>
      <c r="AN135" s="119">
        <f>SUM($G134:AN134)</f>
        <v>9.2230742473207208</v>
      </c>
      <c r="AO135" s="119">
        <f>SUM($G134:AO134)</f>
        <v>13.877489101346654</v>
      </c>
      <c r="AP135" s="119">
        <f>SUM($G134:AP134)</f>
        <v>18.560725238650416</v>
      </c>
      <c r="AQ135" s="119">
        <f>SUM($G134:AQ134)</f>
        <v>23.272961127717487</v>
      </c>
      <c r="AR135" s="119">
        <f>SUM($G134:AR134)</f>
        <v>28.014376342154161</v>
      </c>
      <c r="AS135" s="119">
        <f>SUM($G134:AS134)</f>
        <v>32.785151567530747</v>
      </c>
      <c r="AT135" s="119">
        <f>SUM($G134:AT134)</f>
        <v>37.585468608267107</v>
      </c>
      <c r="AU135" s="119">
        <f>SUM($G134:AU134)</f>
        <v>42.415510394560854</v>
      </c>
      <c r="AV135" s="119">
        <f>SUM($G134:AV134)</f>
        <v>47.27546098935845</v>
      </c>
      <c r="AW135" s="119">
        <f>SUM($G134:AW134)</f>
        <v>52.165505595369453</v>
      </c>
      <c r="AX135" s="119">
        <f>SUM($G134:AX134)</f>
        <v>57.085830562124222</v>
      </c>
      <c r="AY135" s="119">
        <f>SUM($G134:AY134)</f>
        <v>62.036623393075317</v>
      </c>
      <c r="AZ135" s="119">
        <f>SUM($G134:AZ134)</f>
        <v>67.018072752742853</v>
      </c>
      <c r="BA135" s="119">
        <f>SUM($G134:BA134)</f>
        <v>72.030368473904133</v>
      </c>
      <c r="BB135" s="119">
        <f>SUM($G134:BB134)</f>
        <v>77.073701564827772</v>
      </c>
      <c r="BC135" s="119">
        <f>SUM($G134:BC134)</f>
        <v>82.148264216552647</v>
      </c>
      <c r="BD135" s="119">
        <f>SUM($G134:BD134)</f>
        <v>87.254249810211874</v>
      </c>
      <c r="BE135" s="119">
        <f>SUM($G134:BE134)</f>
        <v>92.391852924402187</v>
      </c>
      <c r="BF135" s="119">
        <f>SUM($G134:BF134)</f>
        <v>97.561269342598919</v>
      </c>
      <c r="BG135" s="119">
        <f>SUM($G134:BG134)</f>
        <v>102.76269606061692</v>
      </c>
      <c r="BH135" s="119">
        <f>SUM($G134:BH134)</f>
        <v>107.99633129411762</v>
      </c>
      <c r="BI135" s="119">
        <f>SUM($G134:BI134)</f>
        <v>113.2623744861627</v>
      </c>
      <c r="BJ135" s="119">
        <f>SUM($G134:BJ134)</f>
        <v>118.56102631481436</v>
      </c>
      <c r="BK135" s="119">
        <f>SUM($G134:BK134)</f>
        <v>123.89248870078281</v>
      </c>
      <c r="BL135" s="119">
        <f>SUM($G134:BL134)</f>
        <v>129.25696481512102</v>
      </c>
      <c r="BM135" s="119">
        <f>SUM($G134:BM134)</f>
        <v>134.65465908696723</v>
      </c>
      <c r="BN135" s="119">
        <f>SUM($G134:BN134)</f>
        <v>140.08577721133517</v>
      </c>
      <c r="BO135" s="119">
        <f>SUM($G134:BO134)</f>
        <v>145.55052615695283</v>
      </c>
      <c r="BP135" s="119">
        <f>SUM($G134:BP134)</f>
        <v>151.04911417414951</v>
      </c>
      <c r="BQ135" s="119">
        <f>SUM($G134:BQ134)</f>
        <v>156.58175080279187</v>
      </c>
      <c r="BR135" s="119">
        <f>SUM($G134:BR134)</f>
        <v>162.14864688026901</v>
      </c>
      <c r="BS135" s="119">
        <f>SUM($G134:BS134)</f>
        <v>167.75001454952712</v>
      </c>
      <c r="BT135" s="119">
        <f>SUM($G134:BT134)</f>
        <v>173.38606726715372</v>
      </c>
      <c r="BU135" s="119">
        <f>SUM($G134:BU134)</f>
        <v>179.05701981151213</v>
      </c>
      <c r="BV135" s="119">
        <f>SUM($G134:BV134)</f>
        <v>184.76308829092622</v>
      </c>
      <c r="BW135" s="119">
        <f>SUM($G134:BW134)</f>
        <v>190.50449015191577</v>
      </c>
      <c r="BX135" s="119">
        <f>SUM($G134:BX134)</f>
        <v>196.28144418748303</v>
      </c>
      <c r="BY135" s="119">
        <f>SUM($G134:BY134)</f>
        <v>202.09417054545042</v>
      </c>
      <c r="BZ135" s="119">
        <f>SUM($G134:BZ134)</f>
        <v>207.94289073684985</v>
      </c>
      <c r="CA135" s="119">
        <f>SUM($G134:CA134)</f>
        <v>213.82782764436413</v>
      </c>
      <c r="CB135" s="119">
        <f>SUM($G134:CB134)</f>
        <v>219.74920553082057</v>
      </c>
      <c r="CC135" s="119">
        <f>SUM($G134:CC134)</f>
        <v>225.70725004773715</v>
      </c>
      <c r="CD135" s="119">
        <f>SUM($G134:CD134)</f>
        <v>231.70218824392157</v>
      </c>
      <c r="CE135" s="119">
        <f>SUM($G134:CE134)</f>
        <v>237.73424857412374</v>
      </c>
      <c r="CF135" s="119">
        <f>SUM($G134:CF134)</f>
        <v>243.8036609077416</v>
      </c>
      <c r="CG135" s="119">
        <f>SUM($G134:CG134)</f>
        <v>249.91065653758108</v>
      </c>
      <c r="CH135" s="119">
        <f>SUM($G134:CH134)</f>
        <v>256.05546818867009</v>
      </c>
      <c r="CI135" s="119">
        <f>SUM($G134:CI134)</f>
        <v>262.23833002712729</v>
      </c>
      <c r="CJ135" s="119">
        <f>SUM($G134:CJ134)</f>
        <v>268.45947766908563</v>
      </c>
      <c r="CK135" s="119">
        <f>SUM($G134:CK134)</f>
        <v>274.7191481896711</v>
      </c>
      <c r="CL135" s="119">
        <f>SUM($G134:CL134)</f>
        <v>281.01758013203738</v>
      </c>
      <c r="CM135" s="119">
        <f>SUM($G134:CM134)</f>
        <v>287.35501351645604</v>
      </c>
      <c r="CN135" s="119">
        <f>SUM($G134:CN134)</f>
        <v>293.73168984946329</v>
      </c>
      <c r="CO135" s="119">
        <f>SUM($G134:CO134)</f>
        <v>300.1478521330634</v>
      </c>
      <c r="CP135" s="119">
        <f>SUM($G134:CP134)</f>
        <v>306.60374487398883</v>
      </c>
      <c r="CQ135" s="119">
        <f>SUM($G134:CQ134)</f>
        <v>313.09961409301792</v>
      </c>
      <c r="CR135" s="119">
        <f>SUM($G134:CR134)</f>
        <v>319.6357073343504</v>
      </c>
      <c r="CS135" s="119">
        <f>SUM($G134:CS134)</f>
        <v>326.21227367504054</v>
      </c>
      <c r="CT135" s="119">
        <f>SUM($G134:CT134)</f>
        <v>332.82956373448911</v>
      </c>
      <c r="CU135" s="266">
        <f>SUM($G134:CU134)</f>
        <v>339.48782968399394</v>
      </c>
      <c r="CV135" s="119">
        <f>SUM($G134:CV134)</f>
        <v>346.18732525635971</v>
      </c>
      <c r="CW135" s="119">
        <f>SUM($G134:CW134)</f>
        <v>352.92830575556707</v>
      </c>
      <c r="CX135" s="119">
        <f>SUM($G134:CX134)</f>
        <v>359.71102806650185</v>
      </c>
      <c r="CY135" s="119">
        <f>SUM($G134:CY134)</f>
        <v>366.53575066474434</v>
      </c>
      <c r="CZ135" s="119">
        <f>SUM($G134:CZ134)</f>
        <v>373.40273362641926</v>
      </c>
      <c r="DA135" s="119">
        <f>SUM($G134:DA134)</f>
        <v>380.31223863810681</v>
      </c>
      <c r="DB135" s="119">
        <f>SUM($G134:DB134)</f>
        <v>387.26452900681494</v>
      </c>
      <c r="DC135" s="119">
        <f>SUM($G134:DC134)</f>
        <v>394.25986967001347</v>
      </c>
      <c r="DD135" s="119">
        <f>SUM($G134:DD134)</f>
        <v>401.2985272057303</v>
      </c>
      <c r="DE135" s="119">
        <f>SUM($G134:DE134)</f>
        <v>408.38076984271004</v>
      </c>
      <c r="DF135" s="119">
        <f>SUM($G134:DF134)</f>
        <v>415.50686747063588</v>
      </c>
      <c r="DG135" s="119">
        <f>SUM($G134:DG134)</f>
        <v>422.67709165041435</v>
      </c>
      <c r="DH135" s="119">
        <f>SUM($G134:DH134)</f>
        <v>429.89171562452407</v>
      </c>
      <c r="DI135" s="119">
        <f>SUM($G134:DI134)</f>
        <v>437.1510143274283</v>
      </c>
      <c r="DJ135" s="119">
        <f>SUM($G134:DJ134)</f>
        <v>444.45526439605231</v>
      </c>
      <c r="DK135" s="119">
        <f>SUM($G134:DK134)</f>
        <v>451.80474418032526</v>
      </c>
      <c r="DL135" s="119">
        <f>SUM($G134:DL134)</f>
        <v>459.19973375378771</v>
      </c>
      <c r="DM135" s="119">
        <f>SUM($G134:DM134)</f>
        <v>466.64051492426455</v>
      </c>
      <c r="DN135" s="119">
        <f>SUM($G134:DN134)</f>
        <v>474.12737124460415</v>
      </c>
      <c r="DO135" s="119">
        <f>SUM($G134:DO134)</f>
        <v>481.66058802348397</v>
      </c>
      <c r="DP135" s="119">
        <f>SUM($G134:DP134)</f>
        <v>489.240452336283</v>
      </c>
      <c r="DQ135" s="119">
        <f>SUM($G134:DQ134)</f>
        <v>496.86725303602179</v>
      </c>
      <c r="DR135" s="119">
        <f>SUM($G134:DR134)</f>
        <v>504.5412807643699</v>
      </c>
      <c r="DS135" s="119">
        <f>SUM($G134:DS134)</f>
        <v>512.26282796272164</v>
      </c>
      <c r="DT135" s="119">
        <f>SUM($G134:DT134)</f>
        <v>520.03218888334061</v>
      </c>
      <c r="DU135" s="119">
        <f>SUM($G134:DU134)</f>
        <v>527.84965960057286</v>
      </c>
      <c r="DV135" s="119">
        <f>SUM($G134:DV134)</f>
        <v>535.71553802212964</v>
      </c>
      <c r="DW135" s="119">
        <f>SUM($G134:DW134)</f>
        <v>543.63012390044025</v>
      </c>
      <c r="DX135" s="119">
        <f>SUM($G134:DX134)</f>
        <v>551.59371884407471</v>
      </c>
      <c r="DY135" s="119">
        <f>SUM($G134:DY134)</f>
        <v>559.60662632923777</v>
      </c>
      <c r="DZ135" s="119">
        <f>SUM($G134:DZ134)</f>
        <v>567.66915171133348</v>
      </c>
      <c r="EA135" s="119">
        <f>SUM($G134:EA134)</f>
        <v>575.78160223660188</v>
      </c>
      <c r="EB135" s="119">
        <f>SUM($G134:EB134)</f>
        <v>583.94428705382722</v>
      </c>
      <c r="EC135" s="119">
        <f>SUM($G134:EC134)</f>
        <v>592.15751722611935</v>
      </c>
      <c r="ED135" s="119">
        <f>SUM($G134:ED134)</f>
        <v>600.4216057427675</v>
      </c>
      <c r="EE135" s="119">
        <f>SUM($G134:EE134)</f>
        <v>608.7368675311676</v>
      </c>
      <c r="EF135" s="119">
        <f>SUM($G134:EF134)</f>
        <v>617.10361946882358</v>
      </c>
      <c r="EG135" s="119">
        <f>SUM($G134:EG134)</f>
        <v>625.52218039542299</v>
      </c>
      <c r="EH135" s="119">
        <f>SUM($G134:EH134)</f>
        <v>633.99287112498735</v>
      </c>
      <c r="EI135" s="119">
        <f>SUM($G134:EI134)</f>
        <v>642.5160144580974</v>
      </c>
      <c r="EJ135" s="119">
        <f>SUM($G134:EJ134)</f>
        <v>651.09193519419478</v>
      </c>
      <c r="EK135" s="119">
        <f>SUM($G134:EK134)</f>
        <v>659.72096014395925</v>
      </c>
      <c r="EL135" s="119">
        <f>SUM($G134:EL134)</f>
        <v>668.4034181417627</v>
      </c>
      <c r="EM135" s="119">
        <f>SUM($G134:EM134)</f>
        <v>677.13964005820048</v>
      </c>
      <c r="EN135" s="119">
        <f>SUM($G134:EN134)</f>
        <v>685.92995881270031</v>
      </c>
      <c r="EO135" s="119">
        <f>SUM($G134:EO134)</f>
        <v>694.77470938620888</v>
      </c>
      <c r="EP135" s="119">
        <f>SUM($G134:EP134)</f>
        <v>703.67422883395739</v>
      </c>
      <c r="EQ135" s="119">
        <f>SUM($G134:EQ134)</f>
        <v>712.62885629830612</v>
      </c>
      <c r="ER135" s="119">
        <f>SUM($G134:ER134)</f>
        <v>721.63893302166844</v>
      </c>
      <c r="ES135" s="119">
        <f>SUM($G134:ES134)</f>
        <v>730.7048023595147</v>
      </c>
      <c r="ET135" s="119">
        <f>SUM($G134:ET134)</f>
        <v>739.82680979345696</v>
      </c>
      <c r="EU135" s="119">
        <f>SUM($G134:EU134)</f>
        <v>749.00530294441444</v>
      </c>
      <c r="EV135" s="119">
        <f>SUM($G134:EV134)</f>
        <v>758.2406315858608</v>
      </c>
      <c r="EW135" s="119">
        <f>SUM($G134:EW134)</f>
        <v>767.53314765715322</v>
      </c>
      <c r="EX135" s="119">
        <f>SUM($G134:EX134)</f>
        <v>776.88320527694407</v>
      </c>
      <c r="EY135" s="119">
        <f>SUM($G134:EY134)</f>
        <v>786.29116075667548</v>
      </c>
      <c r="EZ135" s="119">
        <f>SUM($G134:EZ134)</f>
        <v>795.75737261415804</v>
      </c>
      <c r="FA135" s="119">
        <f>SUM($G134:FA134)</f>
        <v>805.28220158723275</v>
      </c>
    </row>
    <row r="136" spans="3:157" outlineLevel="1" x14ac:dyDescent="0.2">
      <c r="C136" s="12"/>
      <c r="D136" s="21"/>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c r="CF136" s="119"/>
      <c r="CG136" s="119"/>
      <c r="CH136" s="119"/>
      <c r="CI136" s="119"/>
      <c r="CJ136" s="119"/>
      <c r="CK136" s="119"/>
      <c r="CL136" s="119"/>
      <c r="CM136" s="119"/>
      <c r="CN136" s="119"/>
      <c r="CO136" s="119"/>
      <c r="CP136" s="119"/>
      <c r="CQ136" s="119"/>
      <c r="CR136" s="119"/>
      <c r="CS136" s="119"/>
      <c r="CT136" s="119"/>
      <c r="CU136" s="266"/>
      <c r="CV136" s="119"/>
      <c r="CW136" s="119"/>
      <c r="CX136" s="119"/>
      <c r="CY136" s="119"/>
      <c r="CZ136" s="119"/>
      <c r="DA136" s="119"/>
      <c r="DB136" s="119"/>
      <c r="DC136" s="119"/>
      <c r="DD136" s="119"/>
      <c r="DE136" s="119"/>
      <c r="DF136" s="119"/>
      <c r="DG136" s="119"/>
      <c r="DH136" s="119"/>
      <c r="DI136" s="119"/>
      <c r="DJ136" s="119"/>
      <c r="DK136" s="119"/>
      <c r="DL136" s="119"/>
      <c r="DM136" s="119"/>
      <c r="DN136" s="119"/>
      <c r="DO136" s="119"/>
      <c r="DP136" s="119"/>
      <c r="DQ136" s="119"/>
      <c r="DR136" s="119"/>
      <c r="DS136" s="119"/>
      <c r="DT136" s="119"/>
      <c r="DU136" s="119"/>
      <c r="DV136" s="119"/>
      <c r="DW136" s="119"/>
      <c r="DX136" s="119"/>
      <c r="DY136" s="119"/>
      <c r="DZ136" s="119"/>
      <c r="EA136" s="119"/>
      <c r="EB136" s="119"/>
      <c r="EC136" s="119"/>
      <c r="ED136" s="119"/>
      <c r="EE136" s="119"/>
      <c r="EF136" s="119"/>
      <c r="EG136" s="119"/>
      <c r="EH136" s="119"/>
      <c r="EI136" s="119"/>
      <c r="EJ136" s="119"/>
      <c r="EK136" s="119"/>
      <c r="EL136" s="119"/>
      <c r="EM136" s="119"/>
      <c r="EN136" s="119"/>
      <c r="EO136" s="119"/>
      <c r="EP136" s="119"/>
      <c r="EQ136" s="119"/>
      <c r="ER136" s="119"/>
      <c r="ES136" s="119"/>
      <c r="ET136" s="119"/>
      <c r="EU136" s="119"/>
      <c r="EV136" s="119"/>
      <c r="EW136" s="119"/>
      <c r="EX136" s="119"/>
      <c r="EY136" s="119"/>
      <c r="EZ136" s="119"/>
      <c r="FA136" s="119"/>
    </row>
    <row r="137" spans="3:157" outlineLevel="1" x14ac:dyDescent="0.2">
      <c r="C137" s="9" t="s">
        <v>411</v>
      </c>
      <c r="D137" s="21" t="s">
        <v>126</v>
      </c>
      <c r="E137" s="119"/>
      <c r="F137" s="119"/>
      <c r="G137" s="119">
        <f>(G133*Inputs_Assumptions!$E$130)</f>
        <v>0</v>
      </c>
      <c r="H137" s="119">
        <f ca="1">(H133*Inputs_Assumptions!$E$130)</f>
        <v>0</v>
      </c>
      <c r="I137" s="119">
        <f ca="1">(I133*Inputs_Assumptions!$E$130)</f>
        <v>0</v>
      </c>
      <c r="J137" s="119">
        <f ca="1">(J133*Inputs_Assumptions!$E$130)</f>
        <v>0</v>
      </c>
      <c r="K137" s="119">
        <f ca="1">(K133*Inputs_Assumptions!$E$130)</f>
        <v>0</v>
      </c>
      <c r="L137" s="119">
        <f ca="1">(L133*Inputs_Assumptions!$E$130)</f>
        <v>0</v>
      </c>
      <c r="M137" s="119">
        <f ca="1">(M133*Inputs_Assumptions!$E$130)</f>
        <v>0</v>
      </c>
      <c r="N137" s="119">
        <f ca="1">(N133*Inputs_Assumptions!$E$130)</f>
        <v>0</v>
      </c>
      <c r="O137" s="119">
        <f ca="1">(O133*Inputs_Assumptions!$E$130)</f>
        <v>0</v>
      </c>
      <c r="P137" s="119">
        <f ca="1">(P133*Inputs_Assumptions!$E$130)</f>
        <v>0</v>
      </c>
      <c r="Q137" s="119">
        <f ca="1">(Q133*Inputs_Assumptions!$E$130)</f>
        <v>0</v>
      </c>
      <c r="R137" s="119">
        <f ca="1">(R133*Inputs_Assumptions!$E$130)</f>
        <v>0</v>
      </c>
      <c r="S137" s="119">
        <f ca="1">(S133*Inputs_Assumptions!$E$130)</f>
        <v>0</v>
      </c>
      <c r="T137" s="119">
        <f ca="1">(T133*Inputs_Assumptions!$E$130)</f>
        <v>0</v>
      </c>
      <c r="U137" s="119">
        <f ca="1">(U133*Inputs_Assumptions!$E$130)</f>
        <v>0</v>
      </c>
      <c r="V137" s="119">
        <f ca="1">(V133*Inputs_Assumptions!$E$130)</f>
        <v>0</v>
      </c>
      <c r="W137" s="119">
        <f ca="1">(W133*Inputs_Assumptions!$E$130)</f>
        <v>0</v>
      </c>
      <c r="X137" s="119">
        <f ca="1">(X133*Inputs_Assumptions!$E$130)</f>
        <v>0</v>
      </c>
      <c r="Y137" s="119">
        <f ca="1">(Y133*Inputs_Assumptions!$E$130)</f>
        <v>0</v>
      </c>
      <c r="Z137" s="119">
        <f ca="1">(Z133*Inputs_Assumptions!$E$130)</f>
        <v>0</v>
      </c>
      <c r="AA137" s="119">
        <f ca="1">(AA133*Inputs_Assumptions!$E$130)</f>
        <v>0</v>
      </c>
      <c r="AB137" s="119">
        <f ca="1">(AB133*Inputs_Assumptions!$E$130)</f>
        <v>0</v>
      </c>
      <c r="AC137" s="119">
        <f ca="1">(AC133*Inputs_Assumptions!$E$130)</f>
        <v>0</v>
      </c>
      <c r="AD137" s="119">
        <f ca="1">(AD133*Inputs_Assumptions!$E$130)</f>
        <v>0</v>
      </c>
      <c r="AE137" s="119">
        <f ca="1">(AE133*Inputs_Assumptions!$E$130)</f>
        <v>0</v>
      </c>
      <c r="AF137" s="119">
        <f ca="1">(AF133*Inputs_Assumptions!$E$130)</f>
        <v>0</v>
      </c>
      <c r="AG137" s="119">
        <f ca="1">(AG133*Inputs_Assumptions!$E$130)</f>
        <v>0</v>
      </c>
      <c r="AH137" s="119">
        <f ca="1">(AH133*Inputs_Assumptions!$E$130)</f>
        <v>0</v>
      </c>
      <c r="AI137" s="119">
        <f ca="1">(AI133*Inputs_Assumptions!$E$130)</f>
        <v>0</v>
      </c>
      <c r="AJ137" s="119">
        <f ca="1">(AJ133*Inputs_Assumptions!$E$130)</f>
        <v>0</v>
      </c>
      <c r="AK137" s="119">
        <f ca="1">(AK133*Inputs_Assumptions!$E$130)</f>
        <v>0</v>
      </c>
      <c r="AL137" s="119">
        <f ca="1">(AL133*Inputs_Assumptions!$E$130)</f>
        <v>0</v>
      </c>
      <c r="AM137" s="119">
        <f ca="1">(AM133*Inputs_Assumptions!$E$130)</f>
        <v>0</v>
      </c>
      <c r="AN137" s="119">
        <f ca="1">(AN133*Inputs_Assumptions!$E$130)</f>
        <v>4.667917532141995E-2</v>
      </c>
      <c r="AO137" s="119">
        <f ca="1">(AO133*Inputs_Assumptions!$E$130)</f>
        <v>4.7153136960116103E-2</v>
      </c>
      <c r="AP137" s="119">
        <f ca="1">(AP133*Inputs_Assumptions!$E$130)</f>
        <v>4.7631911015342941E-2</v>
      </c>
      <c r="AQ137" s="119">
        <f ca="1">(AQ133*Inputs_Assumptions!$E$130)</f>
        <v>4.8115546350449255E-2</v>
      </c>
      <c r="AR137" s="119">
        <f ca="1">(AR133*Inputs_Assumptions!$E$130)</f>
        <v>0.23630432023385084</v>
      </c>
      <c r="AS137" s="119">
        <f ca="1">(AS133*Inputs_Assumptions!$E$130)</f>
        <v>0.23870365959830667</v>
      </c>
      <c r="AT137" s="119">
        <f ca="1">(AT133*Inputs_Assumptions!$E$130)</f>
        <v>0.24112736089309084</v>
      </c>
      <c r="AU137" s="119">
        <f ca="1">(AU133*Inputs_Assumptions!$E$130)</f>
        <v>0.24357567147948045</v>
      </c>
      <c r="AV137" s="119">
        <f ca="1">(AV133*Inputs_Assumptions!$E$130)</f>
        <v>0.43067009376909254</v>
      </c>
      <c r="AW137" s="119">
        <f ca="1">(AW133*Inputs_Assumptions!$E$130)</f>
        <v>0.43504294530245202</v>
      </c>
      <c r="AX137" s="119">
        <f ca="1">(AX133*Inputs_Assumptions!$E$130)</f>
        <v>0.43946019701778238</v>
      </c>
      <c r="AY137" s="119">
        <f ca="1">(AY133*Inputs_Assumptions!$E$130)</f>
        <v>0.4439222997367373</v>
      </c>
      <c r="AZ137" s="119">
        <f ca="1">(AZ133*Inputs_Assumptions!$E$130)</f>
        <v>0.62989501164271544</v>
      </c>
      <c r="BA137" s="119">
        <f ca="1">(BA133*Inputs_Assumptions!$E$130)</f>
        <v>0.63629071314920105</v>
      </c>
      <c r="BB137" s="119">
        <f ca="1">(BB133*Inputs_Assumptions!$E$130)</f>
        <v>0.64275135404559147</v>
      </c>
      <c r="BC137" s="119">
        <f ca="1">(BC133*Inputs_Assumptions!$E$130)</f>
        <v>0.64927759370042593</v>
      </c>
      <c r="BD137" s="119">
        <f ca="1">(BD133*Inputs_Assumptions!$E$130)</f>
        <v>0.83410055246317905</v>
      </c>
      <c r="BE137" s="119">
        <f ca="1">(BE133*Inputs_Assumptions!$E$130)</f>
        <v>0.84256967519211923</v>
      </c>
      <c r="BF137" s="119">
        <f ca="1">(BF133*Inputs_Assumptions!$E$130)</f>
        <v>0.85112478999909602</v>
      </c>
      <c r="BG137" s="119">
        <f ca="1">(BG133*Inputs_Assumptions!$E$130)</f>
        <v>0.85976677001320689</v>
      </c>
      <c r="BH137" s="119">
        <f ca="1">(BH133*Inputs_Assumptions!$E$130)</f>
        <v>1.0434112318041542</v>
      </c>
      <c r="BI137" s="119">
        <f ca="1">(BI133*Inputs_Assumptions!$E$130)</f>
        <v>1.05400561128611</v>
      </c>
      <c r="BJ137" s="119">
        <f ca="1">(BJ133*Inputs_Assumptions!$E$130)</f>
        <v>1.0647075618514379</v>
      </c>
      <c r="BK137" s="119">
        <f ca="1">(BK133*Inputs_Assumptions!$E$130)</f>
        <v>1.075518175733807</v>
      </c>
      <c r="BL137" s="119">
        <f ca="1">(BL133*Inputs_Assumptions!$E$130)</f>
        <v>1.2579546781286537</v>
      </c>
      <c r="BM137" s="119">
        <f ca="1">(BM133*Inputs_Assumptions!$E$130)</f>
        <v>1.2707274457824507</v>
      </c>
      <c r="BN137" s="119">
        <f ca="1">(BN133*Inputs_Assumptions!$E$130)</f>
        <v>1.2836299030000884</v>
      </c>
      <c r="BO137" s="119">
        <f ca="1">(BO133*Inputs_Assumptions!$E$130)</f>
        <v>1.2966633665974228</v>
      </c>
      <c r="BP137" s="119">
        <f ca="1">(BP133*Inputs_Assumptions!$E$130)</f>
        <v>1.4778617106112657</v>
      </c>
      <c r="BQ137" s="119">
        <f ca="1">(BQ133*Inputs_Assumptions!$E$130)</f>
        <v>1.4928673261412</v>
      </c>
      <c r="BR137" s="119">
        <f ca="1">(BR133*Inputs_Assumptions!$E$130)</f>
        <v>1.5080253026774555</v>
      </c>
      <c r="BS137" s="119">
        <f ca="1">(BS133*Inputs_Assumptions!$E$130)</f>
        <v>1.5233371872326287</v>
      </c>
      <c r="BT137" s="119">
        <f ca="1">(BT133*Inputs_Assumptions!$E$130)</f>
        <v>1.7032664189059434</v>
      </c>
      <c r="BU137" s="119">
        <f ca="1">(BU133*Inputs_Assumptions!$E$130)</f>
        <v>1.7205607035089181</v>
      </c>
      <c r="BV137" s="119">
        <f ca="1">(BV133*Inputs_Assumptions!$E$130)</f>
        <v>1.7380305873467563</v>
      </c>
      <c r="BW137" s="119">
        <f ca="1">(BW133*Inputs_Assumptions!$E$130)</f>
        <v>1.7556778533837143</v>
      </c>
      <c r="BX137" s="119">
        <f ca="1">(BX133*Inputs_Assumptions!$E$130)</f>
        <v>1.9343062449079877</v>
      </c>
      <c r="BY137" s="119">
        <f ca="1">(BY133*Inputs_Assumptions!$E$130)</f>
        <v>1.9539464153108292</v>
      </c>
      <c r="BZ137" s="119">
        <f ca="1">(BZ133*Inputs_Assumptions!$E$130)</f>
        <v>1.9737860041327902</v>
      </c>
      <c r="CA137" s="119">
        <f ca="1">(CA133*Inputs_Assumptions!$E$130)</f>
        <v>1.9938270361885779</v>
      </c>
      <c r="CB137" s="119">
        <f ca="1">(CB133*Inputs_Assumptions!$E$130)</f>
        <v>2.1711220665600832</v>
      </c>
      <c r="CC137" s="119">
        <f ca="1">(CC133*Inputs_Assumptions!$E$130)</f>
        <v>2.1931667699077879</v>
      </c>
      <c r="CD137" s="119">
        <f ca="1">(CD133*Inputs_Assumptions!$E$130)</f>
        <v>2.2154353063384744</v>
      </c>
      <c r="CE137" s="119">
        <f ca="1">(CE133*Inputs_Assumptions!$E$130)</f>
        <v>2.2379299485635626</v>
      </c>
      <c r="CF137" s="119">
        <f ca="1">(CF133*Inputs_Assumptions!$E$130)</f>
        <v>2.4138582837534814</v>
      </c>
      <c r="CG137" s="119">
        <f ca="1">(CG133*Inputs_Assumptions!$E$130)</f>
        <v>2.4383676333696713</v>
      </c>
      <c r="CH137" s="119">
        <f ca="1">(CH133*Inputs_Assumptions!$E$130)</f>
        <v>2.4631258410993015</v>
      </c>
      <c r="CI137" s="119">
        <f ca="1">(CI133*Inputs_Assumptions!$E$130)</f>
        <v>2.4881354337479222</v>
      </c>
      <c r="CJ137" s="119">
        <f ca="1">(CJ133*Inputs_Assumptions!$E$130)</f>
        <v>2.6626629063767142</v>
      </c>
      <c r="CK137" s="119">
        <f ca="1">(CK133*Inputs_Assumptions!$E$130)</f>
        <v>2.6896985184181013</v>
      </c>
      <c r="CL137" s="119">
        <f ca="1">(CL133*Inputs_Assumptions!$E$130)</f>
        <v>2.7170086392291486</v>
      </c>
      <c r="CM137" s="119">
        <f ca="1">(CM133*Inputs_Assumptions!$E$130)</f>
        <v>2.7445960560618912</v>
      </c>
      <c r="CN137" s="119">
        <f ca="1">(CN133*Inputs_Assumptions!$E$130)</f>
        <v>2.9176876445655289</v>
      </c>
      <c r="CO137" s="119">
        <f ca="1">(CO133*Inputs_Assumptions!$E$130)</f>
        <v>2.9473126755927428</v>
      </c>
      <c r="CP137" s="119">
        <f ca="1">(CP133*Inputs_Assumptions!$E$130)</f>
        <v>2.9772385073122436</v>
      </c>
      <c r="CQ137" s="119">
        <f ca="1">(CQ133*Inputs_Assumptions!$E$130)</f>
        <v>3.0074681939337093</v>
      </c>
      <c r="CR137" s="119">
        <f ca="1">(CR133*Inputs_Assumptions!$E$130)</f>
        <v>3.1790880012090632</v>
      </c>
      <c r="CS137" s="119">
        <f ca="1">(CS133*Inputs_Assumptions!$E$130)</f>
        <v>3.2113671866967488</v>
      </c>
      <c r="CT137" s="119">
        <f ca="1">(CT133*Inputs_Assumptions!$E$130)</f>
        <v>3.2439741220974141</v>
      </c>
      <c r="CU137" s="266">
        <f ca="1">(CU133*Inputs_Assumptions!$E$130)</f>
        <v>3.37941800273703</v>
      </c>
      <c r="CV137" s="119">
        <f ca="1">(CV133*Inputs_Assumptions!$E$130)</f>
        <v>3.4470233667686867</v>
      </c>
      <c r="CW137" s="119">
        <f ca="1">(CW133*Inputs_Assumptions!$E$130)</f>
        <v>3.5150473598673617</v>
      </c>
      <c r="CX137" s="119">
        <f ca="1">(CX133*Inputs_Assumptions!$E$130)</f>
        <v>3.5507377420411199</v>
      </c>
      <c r="CY137" s="119">
        <f ca="1">(CY133*Inputs_Assumptions!$E$130)</f>
        <v>3.6523616183348522</v>
      </c>
      <c r="CZ137" s="119">
        <f ca="1">(CZ133*Inputs_Assumptions!$E$130)</f>
        <v>3.7216571164673007</v>
      </c>
      <c r="DA137" s="119">
        <f ca="1">(DA133*Inputs_Assumptions!$E$130)</f>
        <v>3.7594453313070053</v>
      </c>
      <c r="DB137" s="119">
        <f ca="1">(DB133*Inputs_Assumptions!$E$130)</f>
        <v>3.7976172325358868</v>
      </c>
      <c r="DC137" s="119">
        <f ca="1">(DC133*Inputs_Assumptions!$E$130)</f>
        <v>3.917400796691977</v>
      </c>
      <c r="DD137" s="119">
        <f ca="1">(DD133*Inputs_Assumptions!$E$130)</f>
        <v>4.0031567099083798</v>
      </c>
      <c r="DE137" s="119">
        <f ca="1">(DE133*Inputs_Assumptions!$E$130)</f>
        <v>4.0438031588038683</v>
      </c>
      <c r="DF137" s="119">
        <f ca="1">(DF133*Inputs_Assumptions!$E$130)</f>
        <v>4.084862315451649</v>
      </c>
      <c r="DG137" s="119">
        <f ca="1">(DG133*Inputs_Assumptions!$E$130)</f>
        <v>4.2052138170999065</v>
      </c>
      <c r="DH137" s="119">
        <f ca="1">(DH133*Inputs_Assumptions!$E$130)</f>
        <v>4.2916937931854857</v>
      </c>
      <c r="DI137" s="119">
        <f ca="1">(DI133*Inputs_Assumptions!$E$130)</f>
        <v>4.3352699319881545</v>
      </c>
      <c r="DJ137" s="119">
        <f ca="1">(DJ133*Inputs_Assumptions!$E$130)</f>
        <v>4.3792885254403053</v>
      </c>
      <c r="DK137" s="119">
        <f ca="1">(DK133*Inputs_Assumptions!$E$130)</f>
        <v>4.5001100522799753</v>
      </c>
      <c r="DL137" s="119">
        <f ca="1">(DL133*Inputs_Assumptions!$E$130)</f>
        <v>4.5874443035445198</v>
      </c>
      <c r="DM137" s="119">
        <f ca="1">(DM133*Inputs_Assumptions!$E$130)</f>
        <v>4.6340233745020472</v>
      </c>
      <c r="DN137" s="119">
        <f ca="1">(DN133*Inputs_Assumptions!$E$130)</f>
        <v>4.6810753906786786</v>
      </c>
      <c r="DO137" s="119">
        <f ca="1">(DO133*Inputs_Assumptions!$E$130)</f>
        <v>4.8022636788527873</v>
      </c>
      <c r="DP137" s="119">
        <f ca="1">(DP133*Inputs_Assumptions!$E$130)</f>
        <v>4.8905885766625294</v>
      </c>
      <c r="DQ137" s="119">
        <f ca="1">(DQ133*Inputs_Assumptions!$E$130)</f>
        <v>4.9402456530787875</v>
      </c>
      <c r="DR137" s="119">
        <f ca="1">(DR133*Inputs_Assumptions!$E$130)</f>
        <v>4.9904069275480119</v>
      </c>
      <c r="DS137" s="119">
        <f ca="1">(DS133*Inputs_Assumptions!$E$130)</f>
        <v>5.1118531517854189</v>
      </c>
      <c r="DT137" s="119">
        <f ca="1">(DT133*Inputs_Assumptions!$E$130)</f>
        <v>5.2013114566084893</v>
      </c>
      <c r="DU137" s="119">
        <f ca="1">(DU133*Inputs_Assumptions!$E$130)</f>
        <v>5.2541234886199462</v>
      </c>
      <c r="DV137" s="119">
        <f ca="1">(DV133*Inputs_Assumptions!$E$130)</f>
        <v>5.3074717528390769</v>
      </c>
      <c r="DW137" s="119">
        <f ca="1">(DW133*Inputs_Assumptions!$E$130)</f>
        <v>5.4310047750708446</v>
      </c>
      <c r="DX137" s="119">
        <f ca="1">(DX133*Inputs_Assumptions!$E$130)</f>
        <v>5.5198024085530983</v>
      </c>
      <c r="DY137" s="119">
        <f ca="1">(DY133*Inputs_Assumptions!$E$130)</f>
        <v>5.5758482700496348</v>
      </c>
      <c r="DZ137" s="119">
        <f ca="1">(DZ133*Inputs_Assumptions!$E$130)</f>
        <v>5.6324631987624203</v>
      </c>
      <c r="EA137" s="119">
        <f ca="1">(EA133*Inputs_Assumptions!$E$130)</f>
        <v>5.7583815603786306</v>
      </c>
      <c r="EB137" s="119">
        <f ca="1">(EB133*Inputs_Assumptions!$E$130)</f>
        <v>5.8462556342963232</v>
      </c>
      <c r="EC137" s="119">
        <f ca="1">(EC133*Inputs_Assumptions!$E$130)</f>
        <v>5.9056161710150645</v>
      </c>
      <c r="ED137" s="119">
        <f ca="1">(ED133*Inputs_Assumptions!$E$130)</f>
        <v>5.9655794308338468</v>
      </c>
      <c r="EE137" s="119">
        <f ca="1">(EE133*Inputs_Assumptions!$E$130)</f>
        <v>6.0938750938954449</v>
      </c>
      <c r="EF137" s="119">
        <f ca="1">(EF133*Inputs_Assumptions!$E$130)</f>
        <v>6.1808701906831294</v>
      </c>
      <c r="EG137" s="119">
        <f ca="1">(EG133*Inputs_Assumptions!$E$130)</f>
        <v>6.2436282695046312</v>
      </c>
      <c r="EH137" s="119">
        <f ca="1">(EH133*Inputs_Assumptions!$E$130)</f>
        <v>6.3070235687070602</v>
      </c>
      <c r="EI137" s="119">
        <f ca="1">(EI133*Inputs_Assumptions!$E$130)</f>
        <v>6.437309529377913</v>
      </c>
      <c r="EJ137" s="119">
        <f ca="1">(EJ133*Inputs_Assumptions!$E$130)</f>
        <v>6.5026713904718525</v>
      </c>
      <c r="EK137" s="119">
        <f ca="1">(EK133*Inputs_Assumptions!$E$130)</f>
        <v>6.6109265731797384</v>
      </c>
      <c r="EL137" s="119">
        <f ca="1">(EL133*Inputs_Assumptions!$E$130)</f>
        <v>6.6780512721562957</v>
      </c>
      <c r="EM137" s="119">
        <f ca="1">(EM133*Inputs_Assumptions!$E$130)</f>
        <v>6.7458575284248319</v>
      </c>
      <c r="EN137" s="119">
        <f ca="1">(EN133*Inputs_Assumptions!$E$130)</f>
        <v>6.8143522622449444</v>
      </c>
      <c r="EO137" s="119">
        <f ca="1">(EO133*Inputs_Assumptions!$E$130)</f>
        <v>6.8835424641417715</v>
      </c>
      <c r="EP137" s="119">
        <f ca="1">(EP133*Inputs_Assumptions!$E$130)</f>
        <v>6.9534351956194449</v>
      </c>
      <c r="EQ137" s="119">
        <f ca="1">(EQ133*Inputs_Assumptions!$E$130)</f>
        <v>7.0240375898817744</v>
      </c>
      <c r="ER137" s="119">
        <f ca="1">(ER133*Inputs_Assumptions!$E$130)</f>
        <v>7.0953568525602675</v>
      </c>
      <c r="ES137" s="119">
        <f ca="1">(ES133*Inputs_Assumptions!$E$130)</f>
        <v>7.1674002624495223</v>
      </c>
      <c r="ET137" s="119">
        <f ca="1">(ET133*Inputs_Assumptions!$E$130)</f>
        <v>7.2401751722501029</v>
      </c>
      <c r="EU137" s="119">
        <f ca="1">(EU133*Inputs_Assumptions!$E$130)</f>
        <v>7.3136890093189475</v>
      </c>
      <c r="EV137" s="119">
        <f ca="1">(EV133*Inputs_Assumptions!$E$130)</f>
        <v>7.3879492764273982</v>
      </c>
      <c r="EW137" s="119">
        <f ca="1">(EW133*Inputs_Assumptions!$E$130)</f>
        <v>7.4629635525269338</v>
      </c>
      <c r="EX137" s="119">
        <f ca="1">(EX133*Inputs_Assumptions!$E$130)</f>
        <v>7.5387394935226659</v>
      </c>
      <c r="EY137" s="119">
        <f ca="1">(EY133*Inputs_Assumptions!$E$130)</f>
        <v>7.6152848330547007</v>
      </c>
      <c r="EZ137" s="119">
        <f ca="1">(EZ133*Inputs_Assumptions!$E$130)</f>
        <v>7.6926073832874238</v>
      </c>
      <c r="FA137" s="119">
        <f ca="1">(FA133*Inputs_Assumptions!$E$130)</f>
        <v>7.7707150357068091</v>
      </c>
    </row>
    <row r="138" spans="3:157" outlineLevel="1" x14ac:dyDescent="0.2">
      <c r="C138" s="9" t="s">
        <v>410</v>
      </c>
      <c r="D138" s="21" t="s">
        <v>126</v>
      </c>
      <c r="E138" s="119"/>
      <c r="F138" s="119"/>
      <c r="G138" s="119">
        <f t="shared" ref="G138:BF138" ca="1" si="831">MAX(0,MIN(G135-G133-G137,G101))</f>
        <v>0</v>
      </c>
      <c r="H138" s="119">
        <f t="shared" ca="1" si="831"/>
        <v>0</v>
      </c>
      <c r="I138" s="119">
        <f t="shared" ca="1" si="831"/>
        <v>0</v>
      </c>
      <c r="J138" s="119">
        <f t="shared" ca="1" si="831"/>
        <v>0</v>
      </c>
      <c r="K138" s="119">
        <f t="shared" ca="1" si="831"/>
        <v>0</v>
      </c>
      <c r="L138" s="119">
        <f t="shared" ca="1" si="831"/>
        <v>0</v>
      </c>
      <c r="M138" s="119">
        <f t="shared" ca="1" si="831"/>
        <v>0</v>
      </c>
      <c r="N138" s="119">
        <f t="shared" ca="1" si="831"/>
        <v>0</v>
      </c>
      <c r="O138" s="119">
        <f t="shared" ca="1" si="831"/>
        <v>0</v>
      </c>
      <c r="P138" s="119">
        <f t="shared" ca="1" si="831"/>
        <v>0</v>
      </c>
      <c r="Q138" s="119">
        <f t="shared" ca="1" si="831"/>
        <v>0</v>
      </c>
      <c r="R138" s="119">
        <f t="shared" ca="1" si="831"/>
        <v>0</v>
      </c>
      <c r="S138" s="119">
        <f t="shared" ca="1" si="831"/>
        <v>0</v>
      </c>
      <c r="T138" s="119">
        <f t="shared" ca="1" si="831"/>
        <v>0</v>
      </c>
      <c r="U138" s="119">
        <f t="shared" ca="1" si="831"/>
        <v>0</v>
      </c>
      <c r="V138" s="119">
        <f t="shared" ca="1" si="831"/>
        <v>0</v>
      </c>
      <c r="W138" s="119">
        <f t="shared" ca="1" si="831"/>
        <v>0</v>
      </c>
      <c r="X138" s="119">
        <f t="shared" ca="1" si="831"/>
        <v>0</v>
      </c>
      <c r="Y138" s="119">
        <f t="shared" ca="1" si="831"/>
        <v>0</v>
      </c>
      <c r="Z138" s="119">
        <f t="shared" ca="1" si="831"/>
        <v>0</v>
      </c>
      <c r="AA138" s="119">
        <f t="shared" ca="1" si="831"/>
        <v>0</v>
      </c>
      <c r="AB138" s="119">
        <f t="shared" ca="1" si="831"/>
        <v>0</v>
      </c>
      <c r="AC138" s="119">
        <f t="shared" ca="1" si="831"/>
        <v>0</v>
      </c>
      <c r="AD138" s="119">
        <f t="shared" ca="1" si="831"/>
        <v>0</v>
      </c>
      <c r="AE138" s="119">
        <f t="shared" ca="1" si="831"/>
        <v>0</v>
      </c>
      <c r="AF138" s="119">
        <f t="shared" ca="1" si="831"/>
        <v>0</v>
      </c>
      <c r="AG138" s="119">
        <f t="shared" ca="1" si="831"/>
        <v>0</v>
      </c>
      <c r="AH138" s="119">
        <f t="shared" ca="1" si="831"/>
        <v>0</v>
      </c>
      <c r="AI138" s="119">
        <f t="shared" ca="1" si="831"/>
        <v>0</v>
      </c>
      <c r="AJ138" s="119">
        <f t="shared" ca="1" si="831"/>
        <v>0</v>
      </c>
      <c r="AK138" s="119">
        <f t="shared" ca="1" si="831"/>
        <v>0</v>
      </c>
      <c r="AL138" s="119">
        <f t="shared" ca="1" si="831"/>
        <v>0</v>
      </c>
      <c r="AM138" s="119">
        <f t="shared" ca="1" si="831"/>
        <v>4.5973033064068947</v>
      </c>
      <c r="AN138" s="119">
        <f t="shared" ca="1" si="831"/>
        <v>0</v>
      </c>
      <c r="AO138" s="119">
        <f t="shared" ca="1" si="831"/>
        <v>0</v>
      </c>
      <c r="AP138" s="119">
        <f t="shared" ca="1" si="831"/>
        <v>0</v>
      </c>
      <c r="AQ138" s="119">
        <f t="shared" ca="1" si="831"/>
        <v>18.486078051663267</v>
      </c>
      <c r="AR138" s="119">
        <f t="shared" ca="1" si="831"/>
        <v>0</v>
      </c>
      <c r="AS138" s="119">
        <f t="shared" ca="1" si="831"/>
        <v>0</v>
      </c>
      <c r="AT138" s="119">
        <f t="shared" ca="1" si="831"/>
        <v>0</v>
      </c>
      <c r="AU138" s="119">
        <f t="shared" ca="1" si="831"/>
        <v>18.182838254638632</v>
      </c>
      <c r="AV138" s="119">
        <f t="shared" ca="1" si="831"/>
        <v>0</v>
      </c>
      <c r="AW138" s="119">
        <f t="shared" ca="1" si="831"/>
        <v>0</v>
      </c>
      <c r="AX138" s="119">
        <f t="shared" ca="1" si="831"/>
        <v>0</v>
      </c>
      <c r="AY138" s="119">
        <f t="shared" ca="1" si="831"/>
        <v>17.872017462688401</v>
      </c>
      <c r="AZ138" s="119">
        <f t="shared" ca="1" si="831"/>
        <v>0</v>
      </c>
      <c r="BA138" s="119">
        <f t="shared" ca="1" si="831"/>
        <v>0</v>
      </c>
      <c r="BB138" s="119">
        <f t="shared" ca="1" si="831"/>
        <v>0</v>
      </c>
      <c r="BC138" s="119">
        <f t="shared" ca="1" si="831"/>
        <v>17.553426150939394</v>
      </c>
      <c r="BD138" s="119">
        <f t="shared" ca="1" si="831"/>
        <v>0</v>
      </c>
      <c r="BE138" s="119">
        <f t="shared" ca="1" si="831"/>
        <v>0</v>
      </c>
      <c r="BF138" s="119">
        <f t="shared" ca="1" si="831"/>
        <v>0</v>
      </c>
      <c r="BG138" s="119">
        <f ca="1">MAX(0,MIN(BG135-BG133-BG137,BG101))</f>
        <v>17.226870056396653</v>
      </c>
      <c r="BH138" s="119">
        <f t="shared" ref="BH138:DS138" ca="1" si="832">MAX(0,MIN(BH135-BH133-BH137,BH101))</f>
        <v>0</v>
      </c>
      <c r="BI138" s="119">
        <f t="shared" ca="1" si="832"/>
        <v>0</v>
      </c>
      <c r="BJ138" s="119">
        <f t="shared" ca="1" si="832"/>
        <v>0</v>
      </c>
      <c r="BK138" s="119">
        <f t="shared" ca="1" si="832"/>
        <v>16.892150059490373</v>
      </c>
      <c r="BL138" s="119">
        <f t="shared" ca="1" si="832"/>
        <v>0</v>
      </c>
      <c r="BM138" s="119">
        <f t="shared" ca="1" si="832"/>
        <v>0</v>
      </c>
      <c r="BN138" s="119">
        <f t="shared" ca="1" si="832"/>
        <v>0</v>
      </c>
      <c r="BO138" s="119">
        <f t="shared" ca="1" si="832"/>
        <v>16.549062062661399</v>
      </c>
      <c r="BP138" s="119">
        <f t="shared" ca="1" si="832"/>
        <v>0</v>
      </c>
      <c r="BQ138" s="119">
        <f t="shared" ca="1" si="832"/>
        <v>0</v>
      </c>
      <c r="BR138" s="119">
        <f t="shared" ca="1" si="832"/>
        <v>0</v>
      </c>
      <c r="BS138" s="119">
        <f t="shared" ca="1" si="832"/>
        <v>16.197396865911728</v>
      </c>
      <c r="BT138" s="119">
        <f t="shared" ca="1" si="832"/>
        <v>0</v>
      </c>
      <c r="BU138" s="119">
        <f t="shared" ca="1" si="832"/>
        <v>0</v>
      </c>
      <c r="BV138" s="119">
        <f t="shared" ca="1" si="832"/>
        <v>0</v>
      </c>
      <c r="BW138" s="119">
        <f t="shared" ca="1" si="832"/>
        <v>15.836940039243347</v>
      </c>
      <c r="BX138" s="119">
        <f t="shared" ca="1" si="832"/>
        <v>0</v>
      </c>
      <c r="BY138" s="119">
        <f t="shared" ca="1" si="832"/>
        <v>0</v>
      </c>
      <c r="BZ138" s="119">
        <f t="shared" ca="1" si="832"/>
        <v>0</v>
      </c>
      <c r="CA138" s="119">
        <f t="shared" ca="1" si="832"/>
        <v>15.467471791908167</v>
      </c>
      <c r="CB138" s="119">
        <f t="shared" ca="1" si="832"/>
        <v>0</v>
      </c>
      <c r="CC138" s="119">
        <f t="shared" ca="1" si="832"/>
        <v>0</v>
      </c>
      <c r="CD138" s="119">
        <f t="shared" ca="1" si="832"/>
        <v>0</v>
      </c>
      <c r="CE138" s="119">
        <f t="shared" ca="1" si="832"/>
        <v>15.088766838389715</v>
      </c>
      <c r="CF138" s="119">
        <f t="shared" ca="1" si="832"/>
        <v>0</v>
      </c>
      <c r="CG138" s="119">
        <f t="shared" ca="1" si="832"/>
        <v>0</v>
      </c>
      <c r="CH138" s="119">
        <f t="shared" ca="1" si="832"/>
        <v>0</v>
      </c>
      <c r="CI138" s="119">
        <f t="shared" ca="1" si="832"/>
        <v>14.70059426103318</v>
      </c>
      <c r="CJ138" s="119">
        <f t="shared" ca="1" si="832"/>
        <v>0</v>
      </c>
      <c r="CK138" s="119">
        <f t="shared" ca="1" si="832"/>
        <v>0</v>
      </c>
      <c r="CL138" s="119">
        <f t="shared" ca="1" si="832"/>
        <v>0</v>
      </c>
      <c r="CM138" s="119">
        <f t="shared" ca="1" si="832"/>
        <v>14.302717369242874</v>
      </c>
      <c r="CN138" s="119">
        <f t="shared" ca="1" si="832"/>
        <v>0</v>
      </c>
      <c r="CO138" s="119">
        <f t="shared" ca="1" si="832"/>
        <v>0</v>
      </c>
      <c r="CP138" s="119">
        <f t="shared" ca="1" si="832"/>
        <v>0</v>
      </c>
      <c r="CQ138" s="119">
        <f t="shared" ca="1" si="832"/>
        <v>13.89489355515766</v>
      </c>
      <c r="CR138" s="119">
        <f t="shared" ca="1" si="832"/>
        <v>0</v>
      </c>
      <c r="CS138" s="119">
        <f t="shared" ca="1" si="832"/>
        <v>0</v>
      </c>
      <c r="CT138" s="119">
        <f t="shared" ca="1" si="832"/>
        <v>10.095520331467993</v>
      </c>
      <c r="CU138" s="266">
        <f t="shared" ca="1" si="832"/>
        <v>3.2788479467677933</v>
      </c>
      <c r="CV138" s="119">
        <f t="shared" ca="1" si="832"/>
        <v>3.25247220559709</v>
      </c>
      <c r="CW138" s="119">
        <f t="shared" ca="1" si="832"/>
        <v>0</v>
      </c>
      <c r="CX138" s="119">
        <f t="shared" ca="1" si="832"/>
        <v>6.4579177082336532</v>
      </c>
      <c r="CY138" s="119">
        <f t="shared" ca="1" si="832"/>
        <v>3.1723609799076358</v>
      </c>
      <c r="CZ138" s="119">
        <f t="shared" ca="1" si="832"/>
        <v>0</v>
      </c>
      <c r="DA138" s="119">
        <f t="shared" ca="1" si="832"/>
        <v>0</v>
      </c>
      <c r="DB138" s="119">
        <f t="shared" ca="1" si="832"/>
        <v>7.9995358181801262</v>
      </c>
      <c r="DC138" s="119">
        <f t="shared" ca="1" si="832"/>
        <v>4.5284627100868011</v>
      </c>
      <c r="DD138" s="119">
        <f t="shared" ca="1" si="832"/>
        <v>0</v>
      </c>
      <c r="DE138" s="119">
        <f t="shared" ca="1" si="832"/>
        <v>0</v>
      </c>
      <c r="DF138" s="119">
        <f t="shared" ca="1" si="832"/>
        <v>7.7682253333500633</v>
      </c>
      <c r="DG138" s="119">
        <f t="shared" ca="1" si="832"/>
        <v>4.3119606457870354</v>
      </c>
      <c r="DH138" s="119">
        <f t="shared" ca="1" si="832"/>
        <v>0</v>
      </c>
      <c r="DI138" s="119">
        <f t="shared" ca="1" si="832"/>
        <v>0</v>
      </c>
      <c r="DJ138" s="119">
        <f t="shared" ca="1" si="832"/>
        <v>7.5200906088406132</v>
      </c>
      <c r="DK138" s="119">
        <f t="shared" ca="1" si="832"/>
        <v>4.1011996181763983</v>
      </c>
      <c r="DL138" s="119">
        <f t="shared" ca="1" si="832"/>
        <v>0</v>
      </c>
      <c r="DM138" s="119">
        <f t="shared" ca="1" si="832"/>
        <v>0</v>
      </c>
      <c r="DN138" s="119">
        <f t="shared" ca="1" si="832"/>
        <v>7.2544250564545791</v>
      </c>
      <c r="DO138" s="119">
        <f t="shared" ca="1" si="832"/>
        <v>3.8966120391260777</v>
      </c>
      <c r="DP138" s="119">
        <f t="shared" ca="1" si="832"/>
        <v>0</v>
      </c>
      <c r="DQ138" s="119">
        <f t="shared" ca="1" si="832"/>
        <v>0</v>
      </c>
      <c r="DR138" s="119">
        <f t="shared" ca="1" si="832"/>
        <v>6.9704969314596141</v>
      </c>
      <c r="DS138" s="119">
        <f t="shared" ca="1" si="832"/>
        <v>3.6986486987033578</v>
      </c>
      <c r="DT138" s="119">
        <f t="shared" ref="DT138:FA138" ca="1" si="833">MAX(0,MIN(DT135-DT133-DT137,DT101))</f>
        <v>0</v>
      </c>
      <c r="DU138" s="119">
        <f t="shared" ca="1" si="833"/>
        <v>0</v>
      </c>
      <c r="DV138" s="119">
        <f t="shared" ca="1" si="833"/>
        <v>6.858955088381002</v>
      </c>
      <c r="DW138" s="119">
        <f t="shared" ca="1" si="833"/>
        <v>3.3144293761993158</v>
      </c>
      <c r="DX138" s="119">
        <f t="shared" ca="1" si="833"/>
        <v>0</v>
      </c>
      <c r="DY138" s="119">
        <f t="shared" ca="1" si="833"/>
        <v>0</v>
      </c>
      <c r="DZ138" s="119">
        <f t="shared" ca="1" si="833"/>
        <v>6.7688891432509379</v>
      </c>
      <c r="EA138" s="119">
        <f t="shared" ca="1" si="833"/>
        <v>2.8960937551669659</v>
      </c>
      <c r="EB138" s="119">
        <f t="shared" ca="1" si="833"/>
        <v>0</v>
      </c>
      <c r="EC138" s="119">
        <f t="shared" ca="1" si="833"/>
        <v>0</v>
      </c>
      <c r="ED138" s="119">
        <f t="shared" ca="1" si="833"/>
        <v>6.6699067775117307</v>
      </c>
      <c r="EE138" s="119">
        <f t="shared" ca="1" si="833"/>
        <v>2.4740321870133535</v>
      </c>
      <c r="EF138" s="119">
        <f t="shared" ca="1" si="833"/>
        <v>0</v>
      </c>
      <c r="EG138" s="119">
        <f t="shared" ca="1" si="833"/>
        <v>0</v>
      </c>
      <c r="EH138" s="119">
        <f t="shared" ca="1" si="833"/>
        <v>6.5244815649249892</v>
      </c>
      <c r="EI138" s="119">
        <f t="shared" ca="1" si="833"/>
        <v>0</v>
      </c>
      <c r="EJ138" s="119">
        <f t="shared" ca="1" si="833"/>
        <v>4.1590831493576781</v>
      </c>
      <c r="EK138" s="119">
        <f t="shared" ca="1" si="833"/>
        <v>0</v>
      </c>
      <c r="EL138" s="119">
        <f t="shared" ca="1" si="833"/>
        <v>0</v>
      </c>
      <c r="EM138" s="119">
        <f t="shared" ca="1" si="833"/>
        <v>0</v>
      </c>
      <c r="EN138" s="119">
        <f t="shared" ca="1" si="833"/>
        <v>0</v>
      </c>
      <c r="EO138" s="119">
        <f t="shared" ca="1" si="833"/>
        <v>0</v>
      </c>
      <c r="EP138" s="119">
        <f t="shared" ca="1" si="833"/>
        <v>0</v>
      </c>
      <c r="EQ138" s="119">
        <f t="shared" ca="1" si="833"/>
        <v>0</v>
      </c>
      <c r="ER138" s="119">
        <f t="shared" ca="1" si="833"/>
        <v>0</v>
      </c>
      <c r="ES138" s="119">
        <f t="shared" ca="1" si="833"/>
        <v>0</v>
      </c>
      <c r="ET138" s="119">
        <f t="shared" ca="1" si="833"/>
        <v>0</v>
      </c>
      <c r="EU138" s="119">
        <f t="shared" ca="1" si="833"/>
        <v>0</v>
      </c>
      <c r="EV138" s="119">
        <f t="shared" ca="1" si="833"/>
        <v>0</v>
      </c>
      <c r="EW138" s="119">
        <f t="shared" ca="1" si="833"/>
        <v>0</v>
      </c>
      <c r="EX138" s="119">
        <f t="shared" ca="1" si="833"/>
        <v>0</v>
      </c>
      <c r="EY138" s="119">
        <f t="shared" ca="1" si="833"/>
        <v>0</v>
      </c>
      <c r="EZ138" s="119">
        <f t="shared" ca="1" si="833"/>
        <v>0</v>
      </c>
      <c r="FA138" s="119">
        <f t="shared" ca="1" si="833"/>
        <v>0</v>
      </c>
    </row>
    <row r="139" spans="3:157" outlineLevel="1" x14ac:dyDescent="0.2">
      <c r="C139" s="9" t="s">
        <v>394</v>
      </c>
      <c r="D139" s="21" t="s">
        <v>126</v>
      </c>
      <c r="E139" s="119"/>
      <c r="F139" s="285">
        <f t="shared" ref="F139:AK139" si="834">F133+F137+F138</f>
        <v>0</v>
      </c>
      <c r="G139" s="119">
        <f t="shared" ca="1" si="834"/>
        <v>0</v>
      </c>
      <c r="H139" s="119">
        <f t="shared" ca="1" si="834"/>
        <v>0</v>
      </c>
      <c r="I139" s="119">
        <f t="shared" ca="1" si="834"/>
        <v>0</v>
      </c>
      <c r="J139" s="119">
        <f t="shared" ca="1" si="834"/>
        <v>0</v>
      </c>
      <c r="K139" s="119">
        <f t="shared" ca="1" si="834"/>
        <v>0</v>
      </c>
      <c r="L139" s="119">
        <f t="shared" ca="1" si="834"/>
        <v>0</v>
      </c>
      <c r="M139" s="119">
        <f t="shared" ca="1" si="834"/>
        <v>0</v>
      </c>
      <c r="N139" s="119">
        <f t="shared" ca="1" si="834"/>
        <v>0</v>
      </c>
      <c r="O139" s="119">
        <f t="shared" ca="1" si="834"/>
        <v>0</v>
      </c>
      <c r="P139" s="119">
        <f t="shared" ca="1" si="834"/>
        <v>0</v>
      </c>
      <c r="Q139" s="119">
        <f t="shared" ca="1" si="834"/>
        <v>0</v>
      </c>
      <c r="R139" s="119">
        <f t="shared" ca="1" si="834"/>
        <v>0</v>
      </c>
      <c r="S139" s="119">
        <f t="shared" ca="1" si="834"/>
        <v>0</v>
      </c>
      <c r="T139" s="119">
        <f t="shared" ca="1" si="834"/>
        <v>0</v>
      </c>
      <c r="U139" s="119">
        <f t="shared" ca="1" si="834"/>
        <v>0</v>
      </c>
      <c r="V139" s="119">
        <f t="shared" ca="1" si="834"/>
        <v>0</v>
      </c>
      <c r="W139" s="119">
        <f t="shared" ca="1" si="834"/>
        <v>0</v>
      </c>
      <c r="X139" s="119">
        <f t="shared" ca="1" si="834"/>
        <v>0</v>
      </c>
      <c r="Y139" s="119">
        <f t="shared" ca="1" si="834"/>
        <v>0</v>
      </c>
      <c r="Z139" s="119">
        <f t="shared" ca="1" si="834"/>
        <v>0</v>
      </c>
      <c r="AA139" s="119">
        <f t="shared" ca="1" si="834"/>
        <v>0</v>
      </c>
      <c r="AB139" s="119">
        <f t="shared" ca="1" si="834"/>
        <v>0</v>
      </c>
      <c r="AC139" s="119">
        <f t="shared" ca="1" si="834"/>
        <v>0</v>
      </c>
      <c r="AD139" s="119">
        <f t="shared" ca="1" si="834"/>
        <v>0</v>
      </c>
      <c r="AE139" s="119">
        <f t="shared" ca="1" si="834"/>
        <v>0</v>
      </c>
      <c r="AF139" s="119">
        <f t="shared" ca="1" si="834"/>
        <v>0</v>
      </c>
      <c r="AG139" s="119">
        <f t="shared" ca="1" si="834"/>
        <v>0</v>
      </c>
      <c r="AH139" s="119">
        <f t="shared" ca="1" si="834"/>
        <v>0</v>
      </c>
      <c r="AI139" s="119">
        <f t="shared" ca="1" si="834"/>
        <v>0</v>
      </c>
      <c r="AJ139" s="119">
        <f t="shared" ca="1" si="834"/>
        <v>0</v>
      </c>
      <c r="AK139" s="119">
        <f t="shared" ca="1" si="834"/>
        <v>0</v>
      </c>
      <c r="AL139" s="119">
        <f t="shared" ref="AL139:BQ139" ca="1" si="835">AL133+AL137+AL138</f>
        <v>0</v>
      </c>
      <c r="AM139" s="119">
        <f t="shared" ca="1" si="835"/>
        <v>4.5973033064068947</v>
      </c>
      <c r="AN139" s="119">
        <f t="shared" ca="1" si="835"/>
        <v>4.6439824817283144</v>
      </c>
      <c r="AO139" s="119">
        <f t="shared" ca="1" si="835"/>
        <v>4.6911356186884303</v>
      </c>
      <c r="AP139" s="119">
        <f t="shared" ca="1" si="835"/>
        <v>4.7387675297037735</v>
      </c>
      <c r="AQ139" s="119">
        <f t="shared" ca="1" si="835"/>
        <v>23.27296112771749</v>
      </c>
      <c r="AR139" s="119">
        <f t="shared" ca="1" si="835"/>
        <v>23.509265447951343</v>
      </c>
      <c r="AS139" s="119">
        <f t="shared" ca="1" si="835"/>
        <v>23.74796910754965</v>
      </c>
      <c r="AT139" s="119">
        <f t="shared" ca="1" si="835"/>
        <v>23.989096468442742</v>
      </c>
      <c r="AU139" s="119">
        <f t="shared" ca="1" si="835"/>
        <v>42.415510394560854</v>
      </c>
      <c r="AV139" s="119">
        <f t="shared" ca="1" si="835"/>
        <v>42.846180488329949</v>
      </c>
      <c r="AW139" s="119">
        <f t="shared" ca="1" si="835"/>
        <v>43.281223433632398</v>
      </c>
      <c r="AX139" s="119">
        <f t="shared" ca="1" si="835"/>
        <v>43.720683630650178</v>
      </c>
      <c r="AY139" s="119">
        <f t="shared" ca="1" si="835"/>
        <v>62.036623393075317</v>
      </c>
      <c r="AZ139" s="119">
        <f t="shared" ca="1" si="835"/>
        <v>62.666518404718033</v>
      </c>
      <c r="BA139" s="119">
        <f t="shared" ca="1" si="835"/>
        <v>63.302809117867234</v>
      </c>
      <c r="BB139" s="119">
        <f t="shared" ca="1" si="835"/>
        <v>63.945560471912827</v>
      </c>
      <c r="BC139" s="119">
        <f t="shared" ca="1" si="835"/>
        <v>82.148264216552661</v>
      </c>
      <c r="BD139" s="119">
        <f t="shared" ca="1" si="835"/>
        <v>82.982364769015845</v>
      </c>
      <c r="BE139" s="119">
        <f t="shared" ca="1" si="835"/>
        <v>83.824934444207969</v>
      </c>
      <c r="BF139" s="119">
        <f t="shared" ca="1" si="835"/>
        <v>84.676059234207059</v>
      </c>
      <c r="BG139" s="119">
        <f t="shared" ca="1" si="835"/>
        <v>102.76269606061692</v>
      </c>
      <c r="BH139" s="119">
        <f t="shared" ca="1" si="835"/>
        <v>103.80610729242107</v>
      </c>
      <c r="BI139" s="119">
        <f t="shared" ca="1" si="835"/>
        <v>104.86011290370719</v>
      </c>
      <c r="BJ139" s="119">
        <f t="shared" ca="1" si="835"/>
        <v>105.92482046555862</v>
      </c>
      <c r="BK139" s="119">
        <f t="shared" ca="1" si="835"/>
        <v>123.89248870078281</v>
      </c>
      <c r="BL139" s="119">
        <f t="shared" ca="1" si="835"/>
        <v>125.15044337891146</v>
      </c>
      <c r="BM139" s="119">
        <f t="shared" ca="1" si="835"/>
        <v>126.42117082469392</v>
      </c>
      <c r="BN139" s="119">
        <f t="shared" ca="1" si="835"/>
        <v>127.70480072769401</v>
      </c>
      <c r="BO139" s="119">
        <f t="shared" ca="1" si="835"/>
        <v>145.55052615695283</v>
      </c>
      <c r="BP139" s="119">
        <f t="shared" ca="1" si="835"/>
        <v>147.02838786756411</v>
      </c>
      <c r="BQ139" s="119">
        <f t="shared" ca="1" si="835"/>
        <v>148.52125519370531</v>
      </c>
      <c r="BR139" s="119">
        <f t="shared" ref="BR139:CW139" ca="1" si="836">BR133+BR137+BR138</f>
        <v>150.02928049638277</v>
      </c>
      <c r="BS139" s="119">
        <f t="shared" ca="1" si="836"/>
        <v>167.75001454952712</v>
      </c>
      <c r="BT139" s="119">
        <f t="shared" ca="1" si="836"/>
        <v>169.45328096843306</v>
      </c>
      <c r="BU139" s="119">
        <f t="shared" ca="1" si="836"/>
        <v>171.17384167194197</v>
      </c>
      <c r="BV139" s="119">
        <f t="shared" ca="1" si="836"/>
        <v>172.91187225928871</v>
      </c>
      <c r="BW139" s="119">
        <f t="shared" ca="1" si="836"/>
        <v>190.50449015191577</v>
      </c>
      <c r="BX139" s="119">
        <f t="shared" ca="1" si="836"/>
        <v>192.43879639682376</v>
      </c>
      <c r="BY139" s="119">
        <f t="shared" ca="1" si="836"/>
        <v>194.3927428121346</v>
      </c>
      <c r="BZ139" s="119">
        <f t="shared" ca="1" si="836"/>
        <v>196.36652881626739</v>
      </c>
      <c r="CA139" s="119">
        <f t="shared" ca="1" si="836"/>
        <v>213.82782764436413</v>
      </c>
      <c r="CB139" s="119">
        <f t="shared" ca="1" si="836"/>
        <v>215.99894971092422</v>
      </c>
      <c r="CC139" s="119">
        <f t="shared" ca="1" si="836"/>
        <v>218.192116480832</v>
      </c>
      <c r="CD139" s="119">
        <f t="shared" ca="1" si="836"/>
        <v>220.40755178717046</v>
      </c>
      <c r="CE139" s="119">
        <f t="shared" ca="1" si="836"/>
        <v>237.73424857412374</v>
      </c>
      <c r="CF139" s="119">
        <f t="shared" ca="1" si="836"/>
        <v>240.14810685787722</v>
      </c>
      <c r="CG139" s="119">
        <f t="shared" ca="1" si="836"/>
        <v>242.58647449124689</v>
      </c>
      <c r="CH139" s="119">
        <f t="shared" ca="1" si="836"/>
        <v>245.04960033234619</v>
      </c>
      <c r="CI139" s="119">
        <f t="shared" ca="1" si="836"/>
        <v>262.23833002712729</v>
      </c>
      <c r="CJ139" s="119">
        <f t="shared" ca="1" si="836"/>
        <v>264.90099293350403</v>
      </c>
      <c r="CK139" s="119">
        <f t="shared" ca="1" si="836"/>
        <v>267.59069145192211</v>
      </c>
      <c r="CL139" s="119">
        <f t="shared" ca="1" si="836"/>
        <v>270.30770009115128</v>
      </c>
      <c r="CM139" s="119">
        <f t="shared" ca="1" si="836"/>
        <v>287.35501351645604</v>
      </c>
      <c r="CN139" s="119">
        <f t="shared" ca="1" si="836"/>
        <v>290.27270116102159</v>
      </c>
      <c r="CO139" s="119">
        <f t="shared" ca="1" si="836"/>
        <v>293.22001383661433</v>
      </c>
      <c r="CP139" s="119">
        <f t="shared" ca="1" si="836"/>
        <v>296.19725234392655</v>
      </c>
      <c r="CQ139" s="119">
        <f t="shared" ca="1" si="836"/>
        <v>313.09961409301792</v>
      </c>
      <c r="CR139" s="119">
        <f t="shared" ca="1" si="836"/>
        <v>316.27870209422696</v>
      </c>
      <c r="CS139" s="119">
        <f t="shared" ca="1" si="836"/>
        <v>319.49006928092371</v>
      </c>
      <c r="CT139" s="119">
        <f t="shared" ca="1" si="836"/>
        <v>332.82956373448911</v>
      </c>
      <c r="CU139" s="266">
        <f t="shared" ca="1" si="836"/>
        <v>339.48782968399394</v>
      </c>
      <c r="CV139" s="119">
        <f t="shared" ca="1" si="836"/>
        <v>346.18732525635971</v>
      </c>
      <c r="CW139" s="119">
        <f t="shared" ca="1" si="836"/>
        <v>349.70237261622708</v>
      </c>
      <c r="CX139" s="119">
        <f t="shared" ref="CX139:EC139" ca="1" si="837">CX133+CX137+CX138</f>
        <v>359.71102806650185</v>
      </c>
      <c r="CY139" s="119">
        <f t="shared" ca="1" si="837"/>
        <v>366.53575066474434</v>
      </c>
      <c r="CZ139" s="119">
        <f t="shared" ca="1" si="837"/>
        <v>370.25740778121167</v>
      </c>
      <c r="DA139" s="119">
        <f t="shared" ca="1" si="837"/>
        <v>374.01685311251867</v>
      </c>
      <c r="DB139" s="119">
        <f t="shared" ca="1" si="837"/>
        <v>385.81400616323469</v>
      </c>
      <c r="DC139" s="119">
        <f t="shared" ca="1" si="837"/>
        <v>394.25986967001347</v>
      </c>
      <c r="DD139" s="119">
        <f t="shared" ca="1" si="837"/>
        <v>398.26302637992183</v>
      </c>
      <c r="DE139" s="119">
        <f t="shared" ca="1" si="837"/>
        <v>402.30682953872571</v>
      </c>
      <c r="DF139" s="119">
        <f t="shared" ca="1" si="837"/>
        <v>414.15991718752741</v>
      </c>
      <c r="DG139" s="119">
        <f t="shared" ca="1" si="837"/>
        <v>422.67709165041435</v>
      </c>
      <c r="DH139" s="119">
        <f t="shared" ca="1" si="837"/>
        <v>426.96878544359981</v>
      </c>
      <c r="DI139" s="119">
        <f t="shared" ca="1" si="837"/>
        <v>431.30405537558795</v>
      </c>
      <c r="DJ139" s="119">
        <f t="shared" ca="1" si="837"/>
        <v>443.20343450986888</v>
      </c>
      <c r="DK139" s="119">
        <f t="shared" ca="1" si="837"/>
        <v>451.80474418032526</v>
      </c>
      <c r="DL139" s="119">
        <f t="shared" ca="1" si="837"/>
        <v>456.3921884838698</v>
      </c>
      <c r="DM139" s="119">
        <f t="shared" ca="1" si="837"/>
        <v>461.02621185837182</v>
      </c>
      <c r="DN139" s="119">
        <f t="shared" ca="1" si="837"/>
        <v>472.9617123055051</v>
      </c>
      <c r="DO139" s="119">
        <f t="shared" ca="1" si="837"/>
        <v>481.66058802348397</v>
      </c>
      <c r="DP139" s="119">
        <f t="shared" ca="1" si="837"/>
        <v>486.5511766001465</v>
      </c>
      <c r="DQ139" s="119">
        <f t="shared" ca="1" si="837"/>
        <v>491.49142225322527</v>
      </c>
      <c r="DR139" s="119">
        <f t="shared" ca="1" si="837"/>
        <v>503.45232611223287</v>
      </c>
      <c r="DS139" s="119">
        <f t="shared" ca="1" si="837"/>
        <v>512.26282796272164</v>
      </c>
      <c r="DT139" s="119">
        <f t="shared" ca="1" si="837"/>
        <v>517.46413941933008</v>
      </c>
      <c r="DU139" s="119">
        <f t="shared" ca="1" si="837"/>
        <v>522.71826290795002</v>
      </c>
      <c r="DV139" s="119">
        <f t="shared" ca="1" si="837"/>
        <v>534.88468974917009</v>
      </c>
      <c r="DW139" s="119">
        <f t="shared" ca="1" si="837"/>
        <v>543.63012390044025</v>
      </c>
      <c r="DX139" s="119">
        <f t="shared" ca="1" si="837"/>
        <v>549.14992630899337</v>
      </c>
      <c r="DY139" s="119">
        <f t="shared" ca="1" si="837"/>
        <v>554.72577457904299</v>
      </c>
      <c r="DZ139" s="119">
        <f t="shared" ca="1" si="837"/>
        <v>567.12712692105629</v>
      </c>
      <c r="EA139" s="119">
        <f t="shared" ca="1" si="837"/>
        <v>575.78160223660188</v>
      </c>
      <c r="EB139" s="119">
        <f t="shared" ca="1" si="837"/>
        <v>581.6278578708982</v>
      </c>
      <c r="EC139" s="119">
        <f t="shared" ca="1" si="837"/>
        <v>587.53347404191322</v>
      </c>
      <c r="ED139" s="119">
        <f t="shared" ref="ED139:FA139" ca="1" si="838">ED133+ED137+ED138</f>
        <v>600.16896025025881</v>
      </c>
      <c r="EE139" s="119">
        <f t="shared" ca="1" si="838"/>
        <v>608.7368675311676</v>
      </c>
      <c r="EF139" s="119">
        <f t="shared" ca="1" si="838"/>
        <v>614.9177377218507</v>
      </c>
      <c r="EG139" s="119">
        <f t="shared" ca="1" si="838"/>
        <v>621.1613659913553</v>
      </c>
      <c r="EH139" s="119">
        <f t="shared" ca="1" si="838"/>
        <v>633.99287112498735</v>
      </c>
      <c r="EI139" s="119">
        <f t="shared" ca="1" si="838"/>
        <v>640.43018065436524</v>
      </c>
      <c r="EJ139" s="119">
        <f t="shared" ca="1" si="838"/>
        <v>651.09193519419478</v>
      </c>
      <c r="EK139" s="119">
        <f t="shared" ca="1" si="838"/>
        <v>657.70286176737454</v>
      </c>
      <c r="EL139" s="119">
        <f t="shared" ca="1" si="838"/>
        <v>664.38091303953081</v>
      </c>
      <c r="EM139" s="119">
        <f t="shared" ca="1" si="838"/>
        <v>671.12677056795565</v>
      </c>
      <c r="EN139" s="119">
        <f t="shared" ca="1" si="838"/>
        <v>677.94112283020058</v>
      </c>
      <c r="EO139" s="119">
        <f t="shared" ca="1" si="838"/>
        <v>684.82466529434237</v>
      </c>
      <c r="EP139" s="119">
        <f t="shared" ca="1" si="838"/>
        <v>691.77810048996184</v>
      </c>
      <c r="EQ139" s="119">
        <f t="shared" ca="1" si="838"/>
        <v>698.80213807984364</v>
      </c>
      <c r="ER139" s="119">
        <f t="shared" ca="1" si="838"/>
        <v>705.8974949324039</v>
      </c>
      <c r="ES139" s="119">
        <f t="shared" ca="1" si="838"/>
        <v>713.06489519485342</v>
      </c>
      <c r="ET139" s="119">
        <f t="shared" ca="1" si="838"/>
        <v>720.30507036710355</v>
      </c>
      <c r="EU139" s="119">
        <f t="shared" ca="1" si="838"/>
        <v>727.61875937642253</v>
      </c>
      <c r="EV139" s="119">
        <f t="shared" ca="1" si="838"/>
        <v>735.00670865284997</v>
      </c>
      <c r="EW139" s="119">
        <f t="shared" ca="1" si="838"/>
        <v>742.46967220537692</v>
      </c>
      <c r="EX139" s="119">
        <f t="shared" ca="1" si="838"/>
        <v>750.00841169889964</v>
      </c>
      <c r="EY139" s="119">
        <f t="shared" ca="1" si="838"/>
        <v>757.62369653195435</v>
      </c>
      <c r="EZ139" s="119">
        <f t="shared" ca="1" si="838"/>
        <v>765.31630391524175</v>
      </c>
      <c r="FA139" s="119">
        <f t="shared" ca="1" si="838"/>
        <v>773.0870189509485</v>
      </c>
    </row>
    <row r="140" spans="3:157" outlineLevel="1" x14ac:dyDescent="0.2">
      <c r="C140" s="9"/>
      <c r="D140" s="21"/>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c r="CF140" s="119"/>
      <c r="CG140" s="119"/>
      <c r="CH140" s="119"/>
      <c r="CI140" s="119"/>
      <c r="CJ140" s="119"/>
      <c r="CK140" s="119"/>
      <c r="CL140" s="119"/>
      <c r="CM140" s="119"/>
      <c r="CN140" s="119"/>
      <c r="CO140" s="119"/>
      <c r="CP140" s="119"/>
      <c r="CQ140" s="119"/>
      <c r="CR140" s="119"/>
      <c r="CS140" s="119"/>
      <c r="CT140" s="119"/>
      <c r="CU140" s="266"/>
      <c r="CV140" s="119"/>
      <c r="CW140" s="119"/>
      <c r="CX140" s="119"/>
      <c r="CY140" s="119"/>
      <c r="CZ140" s="119"/>
      <c r="DA140" s="119"/>
      <c r="DB140" s="119"/>
      <c r="DC140" s="119"/>
      <c r="DD140" s="119"/>
      <c r="DE140" s="119"/>
      <c r="DF140" s="119"/>
      <c r="DG140" s="119"/>
      <c r="DH140" s="119"/>
      <c r="DI140" s="119"/>
      <c r="DJ140" s="119"/>
      <c r="DK140" s="119"/>
      <c r="DL140" s="119"/>
      <c r="DM140" s="119"/>
      <c r="DN140" s="119"/>
      <c r="DO140" s="119"/>
      <c r="DP140" s="119"/>
      <c r="DQ140" s="119"/>
      <c r="DR140" s="119"/>
      <c r="DS140" s="119"/>
      <c r="DT140" s="119"/>
      <c r="DU140" s="119"/>
      <c r="DV140" s="119"/>
      <c r="DW140" s="119"/>
      <c r="DX140" s="119"/>
      <c r="DY140" s="119"/>
      <c r="DZ140" s="119"/>
      <c r="EA140" s="119"/>
      <c r="EB140" s="119"/>
      <c r="EC140" s="119"/>
      <c r="ED140" s="119"/>
      <c r="EE140" s="119"/>
      <c r="EF140" s="119"/>
      <c r="EG140" s="119"/>
      <c r="EH140" s="119"/>
      <c r="EI140" s="119"/>
      <c r="EJ140" s="119"/>
      <c r="EK140" s="119"/>
      <c r="EL140" s="119"/>
      <c r="EM140" s="119"/>
      <c r="EN140" s="119"/>
      <c r="EO140" s="119"/>
      <c r="EP140" s="119"/>
      <c r="EQ140" s="119"/>
      <c r="ER140" s="119"/>
      <c r="ES140" s="119"/>
      <c r="ET140" s="119"/>
      <c r="EU140" s="119"/>
      <c r="EV140" s="119"/>
      <c r="EW140" s="119"/>
      <c r="EX140" s="119"/>
      <c r="EY140" s="119"/>
      <c r="EZ140" s="119"/>
      <c r="FA140" s="119"/>
    </row>
    <row r="141" spans="3:157" s="206" customFormat="1" outlineLevel="1" x14ac:dyDescent="0.2">
      <c r="C141" s="63" t="s">
        <v>367</v>
      </c>
      <c r="D141" s="64" t="s">
        <v>34</v>
      </c>
      <c r="E141" s="276"/>
      <c r="F141" s="276"/>
      <c r="G141" s="309" t="str">
        <f t="shared" ref="G141:AL141" si="839">IF(AND(G56&gt;Debt_Refinance_Date,G56&lt;=CfD_Expiry_Date),IFERROR(G89/G196,"N/A"),"N/A")</f>
        <v>N/A</v>
      </c>
      <c r="H141" s="309" t="str">
        <f t="shared" si="839"/>
        <v>N/A</v>
      </c>
      <c r="I141" s="309" t="str">
        <f t="shared" si="839"/>
        <v>N/A</v>
      </c>
      <c r="J141" s="309" t="str">
        <f t="shared" si="839"/>
        <v>N/A</v>
      </c>
      <c r="K141" s="309" t="str">
        <f t="shared" si="839"/>
        <v>N/A</v>
      </c>
      <c r="L141" s="309" t="str">
        <f t="shared" si="839"/>
        <v>N/A</v>
      </c>
      <c r="M141" s="309" t="str">
        <f t="shared" si="839"/>
        <v>N/A</v>
      </c>
      <c r="N141" s="309" t="str">
        <f t="shared" si="839"/>
        <v>N/A</v>
      </c>
      <c r="O141" s="309" t="str">
        <f t="shared" si="839"/>
        <v>N/A</v>
      </c>
      <c r="P141" s="309" t="str">
        <f t="shared" si="839"/>
        <v>N/A</v>
      </c>
      <c r="Q141" s="309" t="str">
        <f t="shared" si="839"/>
        <v>N/A</v>
      </c>
      <c r="R141" s="309" t="str">
        <f t="shared" si="839"/>
        <v>N/A</v>
      </c>
      <c r="S141" s="309" t="str">
        <f t="shared" si="839"/>
        <v>N/A</v>
      </c>
      <c r="T141" s="309" t="str">
        <f t="shared" si="839"/>
        <v>N/A</v>
      </c>
      <c r="U141" s="309" t="str">
        <f t="shared" si="839"/>
        <v>N/A</v>
      </c>
      <c r="V141" s="309" t="str">
        <f t="shared" si="839"/>
        <v>N/A</v>
      </c>
      <c r="W141" s="309" t="str">
        <f t="shared" si="839"/>
        <v>N/A</v>
      </c>
      <c r="X141" s="309">
        <f t="shared" ca="1" si="839"/>
        <v>1.2998062630203508</v>
      </c>
      <c r="Y141" s="309">
        <f t="shared" ca="1" si="839"/>
        <v>1.0960023716167897</v>
      </c>
      <c r="Z141" s="309">
        <f t="shared" ca="1" si="839"/>
        <v>1.2998062630203506</v>
      </c>
      <c r="AA141" s="309">
        <f t="shared" ca="1" si="839"/>
        <v>1.2998062630203508</v>
      </c>
      <c r="AB141" s="309">
        <f t="shared" ca="1" si="839"/>
        <v>1.2998062630203508</v>
      </c>
      <c r="AC141" s="309">
        <f t="shared" ca="1" si="839"/>
        <v>1.1413652988644094</v>
      </c>
      <c r="AD141" s="309">
        <f t="shared" ca="1" si="839"/>
        <v>1.2998062630203508</v>
      </c>
      <c r="AE141" s="309">
        <f t="shared" ca="1" si="839"/>
        <v>1.2998062630203508</v>
      </c>
      <c r="AF141" s="309">
        <f t="shared" ca="1" si="839"/>
        <v>1.2998062630203508</v>
      </c>
      <c r="AG141" s="309">
        <f t="shared" ca="1" si="839"/>
        <v>1.1920829992873179</v>
      </c>
      <c r="AH141" s="309">
        <f t="shared" ca="1" si="839"/>
        <v>1.2998062630203508</v>
      </c>
      <c r="AI141" s="309">
        <f t="shared" ca="1" si="839"/>
        <v>1.2998062630203508</v>
      </c>
      <c r="AJ141" s="309">
        <f t="shared" ca="1" si="839"/>
        <v>1.2998062630203508</v>
      </c>
      <c r="AK141" s="309">
        <f t="shared" ca="1" si="839"/>
        <v>1.2243337017215024</v>
      </c>
      <c r="AL141" s="309">
        <f t="shared" ca="1" si="839"/>
        <v>1.2998062630203508</v>
      </c>
      <c r="AM141" s="309">
        <f t="shared" ref="AM141:BR141" ca="1" si="840">IF(AND(AM56&gt;Debt_Refinance_Date,AM56&lt;=CfD_Expiry_Date),IFERROR(AM89/AM196,"N/A"),"N/A")</f>
        <v>1.2998062630203506</v>
      </c>
      <c r="AN141" s="309">
        <f t="shared" ca="1" si="840"/>
        <v>1.2998062630203511</v>
      </c>
      <c r="AO141" s="309">
        <f t="shared" ca="1" si="840"/>
        <v>1.274367768847978</v>
      </c>
      <c r="AP141" s="309">
        <f t="shared" ca="1" si="840"/>
        <v>1.2998062630203508</v>
      </c>
      <c r="AQ141" s="309">
        <f t="shared" ca="1" si="840"/>
        <v>1.2998062630203508</v>
      </c>
      <c r="AR141" s="309">
        <f t="shared" ca="1" si="840"/>
        <v>1.2998062630203511</v>
      </c>
      <c r="AS141" s="309">
        <f t="shared" ca="1" si="840"/>
        <v>1.2956081075600698</v>
      </c>
      <c r="AT141" s="309">
        <f t="shared" ca="1" si="840"/>
        <v>1.2998062630203508</v>
      </c>
      <c r="AU141" s="309">
        <f t="shared" ca="1" si="840"/>
        <v>1.2998062630203508</v>
      </c>
      <c r="AV141" s="309">
        <f t="shared" ca="1" si="840"/>
        <v>1.2998062630203511</v>
      </c>
      <c r="AW141" s="309">
        <f t="shared" ca="1" si="840"/>
        <v>1.2998062630203511</v>
      </c>
      <c r="AX141" s="309">
        <f t="shared" ca="1" si="840"/>
        <v>1.2998062630203508</v>
      </c>
      <c r="AY141" s="309">
        <f t="shared" ca="1" si="840"/>
        <v>1.2998062630203508</v>
      </c>
      <c r="AZ141" s="309">
        <f t="shared" ca="1" si="840"/>
        <v>1.2998062630203508</v>
      </c>
      <c r="BA141" s="309">
        <f t="shared" ca="1" si="840"/>
        <v>1.2998062630203508</v>
      </c>
      <c r="BB141" s="309">
        <f t="shared" ca="1" si="840"/>
        <v>1.2998062630203508</v>
      </c>
      <c r="BC141" s="309">
        <f t="shared" ca="1" si="840"/>
        <v>1.2998062630203508</v>
      </c>
      <c r="BD141" s="309">
        <f t="shared" ca="1" si="840"/>
        <v>1.2998062630203508</v>
      </c>
      <c r="BE141" s="309">
        <f t="shared" ca="1" si="840"/>
        <v>1.2998062630203508</v>
      </c>
      <c r="BF141" s="309">
        <f t="shared" ca="1" si="840"/>
        <v>1.2998062630203508</v>
      </c>
      <c r="BG141" s="309">
        <f t="shared" ca="1" si="840"/>
        <v>1.2998062630203508</v>
      </c>
      <c r="BH141" s="309">
        <f t="shared" ca="1" si="840"/>
        <v>1.2998062630203508</v>
      </c>
      <c r="BI141" s="309">
        <f t="shared" ca="1" si="840"/>
        <v>1.2998062630203508</v>
      </c>
      <c r="BJ141" s="309">
        <f t="shared" ca="1" si="840"/>
        <v>1.2998062630203508</v>
      </c>
      <c r="BK141" s="309">
        <f t="shared" ca="1" si="840"/>
        <v>1.2998062630203508</v>
      </c>
      <c r="BL141" s="309">
        <f t="shared" ca="1" si="840"/>
        <v>1.2998062630203511</v>
      </c>
      <c r="BM141" s="309">
        <f t="shared" ca="1" si="840"/>
        <v>1.2998062630203506</v>
      </c>
      <c r="BN141" s="309">
        <f t="shared" ca="1" si="840"/>
        <v>1.2998062630203508</v>
      </c>
      <c r="BO141" s="309">
        <f t="shared" ca="1" si="840"/>
        <v>1.2998062630203508</v>
      </c>
      <c r="BP141" s="309">
        <f t="shared" ca="1" si="840"/>
        <v>1.2998062630203508</v>
      </c>
      <c r="BQ141" s="309">
        <f t="shared" ca="1" si="840"/>
        <v>1.2998062630203508</v>
      </c>
      <c r="BR141" s="309">
        <f t="shared" ca="1" si="840"/>
        <v>1.2998062630203511</v>
      </c>
      <c r="BS141" s="309">
        <f t="shared" ref="BS141:CX141" ca="1" si="841">IF(AND(BS56&gt;Debt_Refinance_Date,BS56&lt;=CfD_Expiry_Date),IFERROR(BS89/BS196,"N/A"),"N/A")</f>
        <v>1.2998062630203506</v>
      </c>
      <c r="BT141" s="309">
        <f t="shared" ca="1" si="841"/>
        <v>1.2998062630203506</v>
      </c>
      <c r="BU141" s="309">
        <f t="shared" ca="1" si="841"/>
        <v>1.2998062630203508</v>
      </c>
      <c r="BV141" s="309">
        <f t="shared" ca="1" si="841"/>
        <v>1.2998062630203508</v>
      </c>
      <c r="BW141" s="309">
        <f t="shared" ca="1" si="841"/>
        <v>1.2998062630203508</v>
      </c>
      <c r="BX141" s="309">
        <f t="shared" ca="1" si="841"/>
        <v>1.2998062630203506</v>
      </c>
      <c r="BY141" s="309">
        <f t="shared" ca="1" si="841"/>
        <v>1.2998062630203508</v>
      </c>
      <c r="BZ141" s="309">
        <f t="shared" ca="1" si="841"/>
        <v>1.2998062630203506</v>
      </c>
      <c r="CA141" s="309">
        <f t="shared" ca="1" si="841"/>
        <v>1.2998062630203506</v>
      </c>
      <c r="CB141" s="309">
        <f t="shared" ca="1" si="841"/>
        <v>1.2998062630203506</v>
      </c>
      <c r="CC141" s="309">
        <f t="shared" ca="1" si="841"/>
        <v>1.2998062630203508</v>
      </c>
      <c r="CD141" s="309">
        <f t="shared" ca="1" si="841"/>
        <v>1.2998062630203511</v>
      </c>
      <c r="CE141" s="309">
        <f t="shared" ca="1" si="841"/>
        <v>1.2998062630203508</v>
      </c>
      <c r="CF141" s="309">
        <f t="shared" ca="1" si="841"/>
        <v>1.2998062630203508</v>
      </c>
      <c r="CG141" s="309">
        <f t="shared" ca="1" si="841"/>
        <v>1.2998062630203508</v>
      </c>
      <c r="CH141" s="309">
        <f t="shared" ca="1" si="841"/>
        <v>1.2998062630203511</v>
      </c>
      <c r="CI141" s="309">
        <f t="shared" ca="1" si="841"/>
        <v>1.2998062630203508</v>
      </c>
      <c r="CJ141" s="309">
        <f t="shared" ca="1" si="841"/>
        <v>1.2998062630203508</v>
      </c>
      <c r="CK141" s="309">
        <f t="shared" ca="1" si="841"/>
        <v>1.2998062630203508</v>
      </c>
      <c r="CL141" s="309">
        <f t="shared" ca="1" si="841"/>
        <v>1.2998062630203506</v>
      </c>
      <c r="CM141" s="309">
        <f t="shared" ca="1" si="841"/>
        <v>1.2998062630203508</v>
      </c>
      <c r="CN141" s="309">
        <f t="shared" ca="1" si="841"/>
        <v>1.2998062630203508</v>
      </c>
      <c r="CO141" s="309">
        <f t="shared" ca="1" si="841"/>
        <v>1.2998062630203508</v>
      </c>
      <c r="CP141" s="309">
        <f t="shared" ca="1" si="841"/>
        <v>1.2998062630203508</v>
      </c>
      <c r="CQ141" s="309">
        <f t="shared" ca="1" si="841"/>
        <v>1.2998062630203508</v>
      </c>
      <c r="CR141" s="309">
        <f t="shared" ca="1" si="841"/>
        <v>1.2998062630203511</v>
      </c>
      <c r="CS141" s="309">
        <f t="shared" ca="1" si="841"/>
        <v>1.2998062630203508</v>
      </c>
      <c r="CT141" s="309">
        <f t="shared" ca="1" si="841"/>
        <v>1.2998062630203508</v>
      </c>
      <c r="CU141" s="310">
        <f t="shared" ca="1" si="841"/>
        <v>1.2998062630203506</v>
      </c>
      <c r="CV141" s="309" t="str">
        <f t="shared" si="841"/>
        <v>N/A</v>
      </c>
      <c r="CW141" s="309" t="str">
        <f t="shared" si="841"/>
        <v>N/A</v>
      </c>
      <c r="CX141" s="309" t="str">
        <f t="shared" si="841"/>
        <v>N/A</v>
      </c>
      <c r="CY141" s="309" t="str">
        <f t="shared" ref="CY141:ED141" si="842">IF(AND(CY56&gt;Debt_Refinance_Date,CY56&lt;=CfD_Expiry_Date),IFERROR(CY89/CY196,"N/A"),"N/A")</f>
        <v>N/A</v>
      </c>
      <c r="CZ141" s="309" t="str">
        <f t="shared" si="842"/>
        <v>N/A</v>
      </c>
      <c r="DA141" s="309" t="str">
        <f t="shared" si="842"/>
        <v>N/A</v>
      </c>
      <c r="DB141" s="309" t="str">
        <f t="shared" si="842"/>
        <v>N/A</v>
      </c>
      <c r="DC141" s="309" t="str">
        <f t="shared" si="842"/>
        <v>N/A</v>
      </c>
      <c r="DD141" s="309" t="str">
        <f t="shared" si="842"/>
        <v>N/A</v>
      </c>
      <c r="DE141" s="309" t="str">
        <f t="shared" si="842"/>
        <v>N/A</v>
      </c>
      <c r="DF141" s="309" t="str">
        <f t="shared" si="842"/>
        <v>N/A</v>
      </c>
      <c r="DG141" s="309" t="str">
        <f t="shared" si="842"/>
        <v>N/A</v>
      </c>
      <c r="DH141" s="309" t="str">
        <f t="shared" si="842"/>
        <v>N/A</v>
      </c>
      <c r="DI141" s="309" t="str">
        <f t="shared" si="842"/>
        <v>N/A</v>
      </c>
      <c r="DJ141" s="309" t="str">
        <f t="shared" si="842"/>
        <v>N/A</v>
      </c>
      <c r="DK141" s="309" t="str">
        <f t="shared" si="842"/>
        <v>N/A</v>
      </c>
      <c r="DL141" s="309" t="str">
        <f t="shared" si="842"/>
        <v>N/A</v>
      </c>
      <c r="DM141" s="309" t="str">
        <f t="shared" si="842"/>
        <v>N/A</v>
      </c>
      <c r="DN141" s="309" t="str">
        <f t="shared" si="842"/>
        <v>N/A</v>
      </c>
      <c r="DO141" s="309" t="str">
        <f t="shared" si="842"/>
        <v>N/A</v>
      </c>
      <c r="DP141" s="309" t="str">
        <f t="shared" si="842"/>
        <v>N/A</v>
      </c>
      <c r="DQ141" s="309" t="str">
        <f t="shared" si="842"/>
        <v>N/A</v>
      </c>
      <c r="DR141" s="309" t="str">
        <f t="shared" si="842"/>
        <v>N/A</v>
      </c>
      <c r="DS141" s="309" t="str">
        <f t="shared" si="842"/>
        <v>N/A</v>
      </c>
      <c r="DT141" s="309" t="str">
        <f t="shared" si="842"/>
        <v>N/A</v>
      </c>
      <c r="DU141" s="309" t="str">
        <f t="shared" si="842"/>
        <v>N/A</v>
      </c>
      <c r="DV141" s="309" t="str">
        <f t="shared" si="842"/>
        <v>N/A</v>
      </c>
      <c r="DW141" s="309" t="str">
        <f t="shared" si="842"/>
        <v>N/A</v>
      </c>
      <c r="DX141" s="309" t="str">
        <f t="shared" si="842"/>
        <v>N/A</v>
      </c>
      <c r="DY141" s="309" t="str">
        <f t="shared" si="842"/>
        <v>N/A</v>
      </c>
      <c r="DZ141" s="309" t="str">
        <f t="shared" si="842"/>
        <v>N/A</v>
      </c>
      <c r="EA141" s="309" t="str">
        <f t="shared" si="842"/>
        <v>N/A</v>
      </c>
      <c r="EB141" s="309" t="str">
        <f t="shared" si="842"/>
        <v>N/A</v>
      </c>
      <c r="EC141" s="309" t="str">
        <f t="shared" si="842"/>
        <v>N/A</v>
      </c>
      <c r="ED141" s="309" t="str">
        <f t="shared" si="842"/>
        <v>N/A</v>
      </c>
      <c r="EE141" s="309" t="str">
        <f t="shared" ref="EE141:FA141" si="843">IF(AND(EE56&gt;Debt_Refinance_Date,EE56&lt;=CfD_Expiry_Date),IFERROR(EE89/EE196,"N/A"),"N/A")</f>
        <v>N/A</v>
      </c>
      <c r="EF141" s="309" t="str">
        <f t="shared" si="843"/>
        <v>N/A</v>
      </c>
      <c r="EG141" s="309" t="str">
        <f t="shared" si="843"/>
        <v>N/A</v>
      </c>
      <c r="EH141" s="309" t="str">
        <f t="shared" si="843"/>
        <v>N/A</v>
      </c>
      <c r="EI141" s="309" t="str">
        <f t="shared" si="843"/>
        <v>N/A</v>
      </c>
      <c r="EJ141" s="309" t="str">
        <f t="shared" si="843"/>
        <v>N/A</v>
      </c>
      <c r="EK141" s="309" t="str">
        <f t="shared" si="843"/>
        <v>N/A</v>
      </c>
      <c r="EL141" s="309" t="str">
        <f t="shared" si="843"/>
        <v>N/A</v>
      </c>
      <c r="EM141" s="309" t="str">
        <f t="shared" si="843"/>
        <v>N/A</v>
      </c>
      <c r="EN141" s="309" t="str">
        <f t="shared" si="843"/>
        <v>N/A</v>
      </c>
      <c r="EO141" s="309" t="str">
        <f t="shared" si="843"/>
        <v>N/A</v>
      </c>
      <c r="EP141" s="309" t="str">
        <f t="shared" si="843"/>
        <v>N/A</v>
      </c>
      <c r="EQ141" s="309" t="str">
        <f t="shared" si="843"/>
        <v>N/A</v>
      </c>
      <c r="ER141" s="309" t="str">
        <f t="shared" si="843"/>
        <v>N/A</v>
      </c>
      <c r="ES141" s="309" t="str">
        <f t="shared" si="843"/>
        <v>N/A</v>
      </c>
      <c r="ET141" s="309" t="str">
        <f t="shared" si="843"/>
        <v>N/A</v>
      </c>
      <c r="EU141" s="309" t="str">
        <f t="shared" si="843"/>
        <v>N/A</v>
      </c>
      <c r="EV141" s="309" t="str">
        <f t="shared" si="843"/>
        <v>N/A</v>
      </c>
      <c r="EW141" s="309" t="str">
        <f t="shared" si="843"/>
        <v>N/A</v>
      </c>
      <c r="EX141" s="309" t="str">
        <f t="shared" si="843"/>
        <v>N/A</v>
      </c>
      <c r="EY141" s="309" t="str">
        <f t="shared" si="843"/>
        <v>N/A</v>
      </c>
      <c r="EZ141" s="309" t="str">
        <f t="shared" si="843"/>
        <v>N/A</v>
      </c>
      <c r="FA141" s="309" t="str">
        <f t="shared" si="843"/>
        <v>N/A</v>
      </c>
    </row>
    <row r="142" spans="3:157" x14ac:dyDescent="0.2">
      <c r="C142" s="9" t="s">
        <v>376</v>
      </c>
      <c r="D142" s="21" t="s">
        <v>126</v>
      </c>
      <c r="E142" s="213"/>
      <c r="G142" s="119">
        <f>IF(AND(G56&gt;Debt_Refinance_Date,G56&lt;=CfD_Expiry_Date,G141&lt;Inputs_Assumptions!$E$189-0.001),MAX((G196*Inputs_Assumptions!$E$189)-G89,0)+MAX(-G103,0),0)</f>
        <v>0</v>
      </c>
      <c r="H142" s="119">
        <f>IF(AND(H56&gt;Debt_Refinance_Date,H56&lt;=CfD_Expiry_Date,H141&lt;Inputs_Assumptions!$E$189-0.001),MAX((H196*Inputs_Assumptions!$E$189)-H89,0)+MAX(-H103,0),0)</f>
        <v>0</v>
      </c>
      <c r="I142" s="119">
        <f>IF(AND(I56&gt;Debt_Refinance_Date,I56&lt;=CfD_Expiry_Date,I141&lt;Inputs_Assumptions!$E$189-0.001),MAX((I196*Inputs_Assumptions!$E$189)-I89,0)+MAX(-I103,0),0)</f>
        <v>0</v>
      </c>
      <c r="J142" s="119">
        <f>IF(AND(J56&gt;Debt_Refinance_Date,J56&lt;=CfD_Expiry_Date,J141&lt;Inputs_Assumptions!$E$189-0.001),MAX((J196*Inputs_Assumptions!$E$189)-J89,0)+MAX(-J103,0),0)</f>
        <v>0</v>
      </c>
      <c r="K142" s="119">
        <f>IF(AND(K56&gt;Debt_Refinance_Date,K56&lt;=CfD_Expiry_Date,K141&lt;Inputs_Assumptions!$E$189-0.001),MAX((K196*Inputs_Assumptions!$E$189)-K89,0)+MAX(-K103,0),0)</f>
        <v>0</v>
      </c>
      <c r="L142" s="119">
        <f>IF(AND(L56&gt;Debt_Refinance_Date,L56&lt;=CfD_Expiry_Date,L141&lt;Inputs_Assumptions!$E$189-0.001),MAX((L196*Inputs_Assumptions!$E$189)-L89,0)+MAX(-L103,0),0)</f>
        <v>0</v>
      </c>
      <c r="M142" s="119">
        <f>IF(AND(M56&gt;Debt_Refinance_Date,M56&lt;=CfD_Expiry_Date,M141&lt;Inputs_Assumptions!$E$189-0.001),MAX((M196*Inputs_Assumptions!$E$189)-M89,0)+MAX(-M103,0),0)</f>
        <v>0</v>
      </c>
      <c r="N142" s="119">
        <f>IF(AND(N56&gt;Debt_Refinance_Date,N56&lt;=CfD_Expiry_Date,N141&lt;Inputs_Assumptions!$E$189-0.001),MAX((N196*Inputs_Assumptions!$E$189)-N89,0)+MAX(-N103,0),0)</f>
        <v>0</v>
      </c>
      <c r="O142" s="119">
        <f>IF(AND(O56&gt;Debt_Refinance_Date,O56&lt;=CfD_Expiry_Date,O141&lt;Inputs_Assumptions!$E$189-0.001),MAX((O196*Inputs_Assumptions!$E$189)-O89,0)+MAX(-O103,0),0)</f>
        <v>0</v>
      </c>
      <c r="P142" s="119">
        <f>IF(AND(P56&gt;Debt_Refinance_Date,P56&lt;=CfD_Expiry_Date,P141&lt;Inputs_Assumptions!$E$189-0.001),MAX((P196*Inputs_Assumptions!$E$189)-P89,0)+MAX(-P103,0),0)</f>
        <v>0</v>
      </c>
      <c r="Q142" s="119">
        <f>IF(AND(Q56&gt;Debt_Refinance_Date,Q56&lt;=CfD_Expiry_Date,Q141&lt;Inputs_Assumptions!$E$189-0.001),MAX((Q196*Inputs_Assumptions!$E$189)-Q89,0)+MAX(-Q103,0),0)</f>
        <v>0</v>
      </c>
      <c r="R142" s="119">
        <f>IF(AND(R56&gt;Debt_Refinance_Date,R56&lt;=CfD_Expiry_Date,R141&lt;Inputs_Assumptions!$E$189-0.001),MAX((R196*Inputs_Assumptions!$E$189)-R89,0)+MAX(-R103,0),0)</f>
        <v>0</v>
      </c>
      <c r="S142" s="119">
        <f>IF(AND(S56&gt;Debt_Refinance_Date,S56&lt;=CfD_Expiry_Date,S141&lt;Inputs_Assumptions!$E$189-0.001),MAX((S196*Inputs_Assumptions!$E$189)-S89,0)+MAX(-S103,0),0)</f>
        <v>0</v>
      </c>
      <c r="T142" s="119">
        <f>IF(AND(T56&gt;Debt_Refinance_Date,T56&lt;=CfD_Expiry_Date,T141&lt;Inputs_Assumptions!$E$189-0.001),MAX((T196*Inputs_Assumptions!$E$189)-T89,0)+MAX(-T103,0),0)</f>
        <v>0</v>
      </c>
      <c r="U142" s="119">
        <f>IF(AND(U56&gt;Debt_Refinance_Date,U56&lt;=CfD_Expiry_Date,U141&lt;Inputs_Assumptions!$E$189-0.001),MAX((U196*Inputs_Assumptions!$E$189)-U89,0)+MAX(-U103,0),0)</f>
        <v>0</v>
      </c>
      <c r="V142" s="119">
        <f>IF(AND(V56&gt;Debt_Refinance_Date,V56&lt;=CfD_Expiry_Date,V141&lt;Inputs_Assumptions!$E$189-0.001),MAX((V196*Inputs_Assumptions!$E$189)-V89,0)+MAX(-V103,0),0)</f>
        <v>0</v>
      </c>
      <c r="W142" s="119">
        <f>IF(AND(W56&gt;Debt_Refinance_Date,W56&lt;=CfD_Expiry_Date,W141&lt;Inputs_Assumptions!$E$189-0.001),MAX((W196*Inputs_Assumptions!$E$189)-W89,0)+MAX(-W103,0),0)</f>
        <v>0</v>
      </c>
      <c r="X142" s="119">
        <f ca="1">IF(AND(X56&gt;Debt_Refinance_Date,X56&lt;=CfD_Expiry_Date,X141&lt;Inputs_Assumptions!$E$189-0.001),MAX((X196*Inputs_Assumptions!$E$189)-X89,0)+MAX(-X103,0),0)</f>
        <v>0</v>
      </c>
      <c r="Y142" s="119">
        <f ca="1">IF(AND(Y56&gt;Debt_Refinance_Date,Y56&lt;=CfD_Expiry_Date,Y141&lt;Inputs_Assumptions!$E$189-0.001),MAX((Y196*Inputs_Assumptions!$E$189)-Y89,0)+MAX(-Y103,0),0)</f>
        <v>0.11854117212105564</v>
      </c>
      <c r="Z142" s="119">
        <f ca="1">IF(AND(Z56&gt;Debt_Refinance_Date,Z56&lt;=CfD_Expiry_Date,Z141&lt;Inputs_Assumptions!$E$189-0.001),MAX((Z196*Inputs_Assumptions!$E$189)-Z89,0)+MAX(-Z103,0),0)</f>
        <v>0</v>
      </c>
      <c r="AA142" s="119">
        <f ca="1">IF(AND(AA56&gt;Debt_Refinance_Date,AA56&lt;=CfD_Expiry_Date,AA141&lt;Inputs_Assumptions!$E$189-0.001),MAX((AA196*Inputs_Assumptions!$E$189)-AA89,0)+MAX(-AA103,0),0)</f>
        <v>0</v>
      </c>
      <c r="AB142" s="119">
        <f ca="1">IF(AND(AB56&gt;Debt_Refinance_Date,AB56&lt;=CfD_Expiry_Date,AB141&lt;Inputs_Assumptions!$E$189-0.001),MAX((AB196*Inputs_Assumptions!$E$189)-AB89,0)+MAX(-AB103,0),0)</f>
        <v>0</v>
      </c>
      <c r="AC142" s="119">
        <f ca="1">IF(AND(AC56&gt;Debt_Refinance_Date,AC56&lt;=CfD_Expiry_Date,AC141&lt;Inputs_Assumptions!$E$189-0.001),MAX((AC196*Inputs_Assumptions!$E$189)-AC89,0)+MAX(-AC103,0),0)</f>
        <v>0</v>
      </c>
      <c r="AD142" s="119">
        <f ca="1">IF(AND(AD56&gt;Debt_Refinance_Date,AD56&lt;=CfD_Expiry_Date,AD141&lt;Inputs_Assumptions!$E$189-0.001),MAX((AD196*Inputs_Assumptions!$E$189)-AD89,0)+MAX(-AD103,0),0)</f>
        <v>0</v>
      </c>
      <c r="AE142" s="119">
        <f ca="1">IF(AND(AE56&gt;Debt_Refinance_Date,AE56&lt;=CfD_Expiry_Date,AE141&lt;Inputs_Assumptions!$E$189-0.001),MAX((AE196*Inputs_Assumptions!$E$189)-AE89,0)+MAX(-AE103,0),0)</f>
        <v>0</v>
      </c>
      <c r="AF142" s="119">
        <f ca="1">IF(AND(AF56&gt;Debt_Refinance_Date,AF56&lt;=CfD_Expiry_Date,AF141&lt;Inputs_Assumptions!$E$189-0.001),MAX((AF196*Inputs_Assumptions!$E$189)-AF89,0)+MAX(-AF103,0),0)</f>
        <v>0</v>
      </c>
      <c r="AG142" s="119">
        <f ca="1">IF(AND(AG56&gt;Debt_Refinance_Date,AG56&lt;=CfD_Expiry_Date,AG141&lt;Inputs_Assumptions!$E$189-0.001),MAX((AG196*Inputs_Assumptions!$E$189)-AG89,0)+MAX(-AG103,0),0)</f>
        <v>0</v>
      </c>
      <c r="AH142" s="119">
        <f ca="1">IF(AND(AH56&gt;Debt_Refinance_Date,AH56&lt;=CfD_Expiry_Date,AH141&lt;Inputs_Assumptions!$E$189-0.001),MAX((AH196*Inputs_Assumptions!$E$189)-AH89,0)+MAX(-AH103,0),0)</f>
        <v>0</v>
      </c>
      <c r="AI142" s="119">
        <f ca="1">IF(AND(AI56&gt;Debt_Refinance_Date,AI56&lt;=CfD_Expiry_Date,AI141&lt;Inputs_Assumptions!$E$189-0.001),MAX((AI196*Inputs_Assumptions!$E$189)-AI89,0)+MAX(-AI103,0),0)</f>
        <v>0</v>
      </c>
      <c r="AJ142" s="119">
        <f ca="1">IF(AND(AJ56&gt;Debt_Refinance_Date,AJ56&lt;=CfD_Expiry_Date,AJ141&lt;Inputs_Assumptions!$E$189-0.001),MAX((AJ196*Inputs_Assumptions!$E$189)-AJ89,0)+MAX(-AJ103,0),0)</f>
        <v>0</v>
      </c>
      <c r="AK142" s="119">
        <f ca="1">IF(AND(AK56&gt;Debt_Refinance_Date,AK56&lt;=CfD_Expiry_Date,AK141&lt;Inputs_Assumptions!$E$189-0.001),MAX((AK196*Inputs_Assumptions!$E$189)-AK89,0)+MAX(-AK103,0),0)</f>
        <v>0</v>
      </c>
      <c r="AL142" s="119">
        <f ca="1">IF(AND(AL56&gt;Debt_Refinance_Date,AL56&lt;=CfD_Expiry_Date,AL141&lt;Inputs_Assumptions!$E$189-0.001),MAX((AL196*Inputs_Assumptions!$E$189)-AL89,0)+MAX(-AL103,0),0)</f>
        <v>0</v>
      </c>
      <c r="AM142" s="119">
        <f ca="1">IF(AND(AM56&gt;Debt_Refinance_Date,AM56&lt;=CfD_Expiry_Date,AM141&lt;Inputs_Assumptions!$E$189-0.001),MAX((AM196*Inputs_Assumptions!$E$189)-AM89,0)+MAX(-AM103,0),0)</f>
        <v>0</v>
      </c>
      <c r="AN142" s="119">
        <f ca="1">IF(AND(AN56&gt;Debt_Refinance_Date,AN56&lt;=CfD_Expiry_Date,AN141&lt;Inputs_Assumptions!$E$189-0.001),MAX((AN196*Inputs_Assumptions!$E$189)-AN89,0)+MAX(-AN103,0),0)</f>
        <v>0</v>
      </c>
      <c r="AO142" s="119">
        <f ca="1">IF(AND(AO56&gt;Debt_Refinance_Date,AO56&lt;=CfD_Expiry_Date,AO141&lt;Inputs_Assumptions!$E$189-0.001),MAX((AO196*Inputs_Assumptions!$E$189)-AO89,0)+MAX(-AO103,0),0)</f>
        <v>0</v>
      </c>
      <c r="AP142" s="119">
        <f ca="1">IF(AND(AP56&gt;Debt_Refinance_Date,AP56&lt;=CfD_Expiry_Date,AP141&lt;Inputs_Assumptions!$E$189-0.001),MAX((AP196*Inputs_Assumptions!$E$189)-AP89,0)+MAX(-AP103,0),0)</f>
        <v>0</v>
      </c>
      <c r="AQ142" s="119">
        <f ca="1">IF(AND(AQ56&gt;Debt_Refinance_Date,AQ56&lt;=CfD_Expiry_Date,AQ141&lt;Inputs_Assumptions!$E$189-0.001),MAX((AQ196*Inputs_Assumptions!$E$189)-AQ89,0)+MAX(-AQ103,0),0)</f>
        <v>0</v>
      </c>
      <c r="AR142" s="119">
        <f ca="1">IF(AND(AR56&gt;Debt_Refinance_Date,AR56&lt;=CfD_Expiry_Date,AR141&lt;Inputs_Assumptions!$E$189-0.001),MAX((AR196*Inputs_Assumptions!$E$189)-AR89,0)+MAX(-AR103,0),0)</f>
        <v>0</v>
      </c>
      <c r="AS142" s="119">
        <f ca="1">IF(AND(AS56&gt;Debt_Refinance_Date,AS56&lt;=CfD_Expiry_Date,AS141&lt;Inputs_Assumptions!$E$189-0.001),MAX((AS196*Inputs_Assumptions!$E$189)-AS89,0)+MAX(-AS103,0),0)</f>
        <v>0</v>
      </c>
      <c r="AT142" s="119">
        <f ca="1">IF(AND(AT56&gt;Debt_Refinance_Date,AT56&lt;=CfD_Expiry_Date,AT141&lt;Inputs_Assumptions!$E$189-0.001),MAX((AT196*Inputs_Assumptions!$E$189)-AT89,0)+MAX(-AT103,0),0)</f>
        <v>0</v>
      </c>
      <c r="AU142" s="119">
        <f ca="1">IF(AND(AU56&gt;Debt_Refinance_Date,AU56&lt;=CfD_Expiry_Date,AU141&lt;Inputs_Assumptions!$E$189-0.001),MAX((AU196*Inputs_Assumptions!$E$189)-AU89,0)+MAX(-AU103,0),0)</f>
        <v>0</v>
      </c>
      <c r="AV142" s="119">
        <f ca="1">IF(AND(AV56&gt;Debt_Refinance_Date,AV56&lt;=CfD_Expiry_Date,AV141&lt;Inputs_Assumptions!$E$189-0.001),MAX((AV196*Inputs_Assumptions!$E$189)-AV89,0)+MAX(-AV103,0),0)</f>
        <v>0</v>
      </c>
      <c r="AW142" s="119">
        <f ca="1">IF(AND(AW56&gt;Debt_Refinance_Date,AW56&lt;=CfD_Expiry_Date,AW141&lt;Inputs_Assumptions!$E$189-0.001),MAX((AW196*Inputs_Assumptions!$E$189)-AW89,0)+MAX(-AW103,0),0)</f>
        <v>0</v>
      </c>
      <c r="AX142" s="119">
        <f ca="1">IF(AND(AX56&gt;Debt_Refinance_Date,AX56&lt;=CfD_Expiry_Date,AX141&lt;Inputs_Assumptions!$E$189-0.001),MAX((AX196*Inputs_Assumptions!$E$189)-AX89,0)+MAX(-AX103,0),0)</f>
        <v>0</v>
      </c>
      <c r="AY142" s="119">
        <f ca="1">IF(AND(AY56&gt;Debt_Refinance_Date,AY56&lt;=CfD_Expiry_Date,AY141&lt;Inputs_Assumptions!$E$189-0.001),MAX((AY196*Inputs_Assumptions!$E$189)-AY89,0)+MAX(-AY103,0),0)</f>
        <v>0</v>
      </c>
      <c r="AZ142" s="119">
        <f ca="1">IF(AND(AZ56&gt;Debt_Refinance_Date,AZ56&lt;=CfD_Expiry_Date,AZ141&lt;Inputs_Assumptions!$E$189-0.001),MAX((AZ196*Inputs_Assumptions!$E$189)-AZ89,0)+MAX(-AZ103,0),0)</f>
        <v>0</v>
      </c>
      <c r="BA142" s="119">
        <f ca="1">IF(AND(BA56&gt;Debt_Refinance_Date,BA56&lt;=CfD_Expiry_Date,BA141&lt;Inputs_Assumptions!$E$189-0.001),MAX((BA196*Inputs_Assumptions!$E$189)-BA89,0)+MAX(-BA103,0),0)</f>
        <v>0</v>
      </c>
      <c r="BB142" s="119">
        <f ca="1">IF(AND(BB56&gt;Debt_Refinance_Date,BB56&lt;=CfD_Expiry_Date,BB141&lt;Inputs_Assumptions!$E$189-0.001),MAX((BB196*Inputs_Assumptions!$E$189)-BB89,0)+MAX(-BB103,0),0)</f>
        <v>0</v>
      </c>
      <c r="BC142" s="119">
        <f ca="1">IF(AND(BC56&gt;Debt_Refinance_Date,BC56&lt;=CfD_Expiry_Date,BC141&lt;Inputs_Assumptions!$E$189-0.001),MAX((BC196*Inputs_Assumptions!$E$189)-BC89,0)+MAX(-BC103,0),0)</f>
        <v>0</v>
      </c>
      <c r="BD142" s="119">
        <f ca="1">IF(AND(BD56&gt;Debt_Refinance_Date,BD56&lt;=CfD_Expiry_Date,BD141&lt;Inputs_Assumptions!$E$189-0.001),MAX((BD196*Inputs_Assumptions!$E$189)-BD89,0)+MAX(-BD103,0),0)</f>
        <v>0</v>
      </c>
      <c r="BE142" s="119">
        <f ca="1">IF(AND(BE56&gt;Debt_Refinance_Date,BE56&lt;=CfD_Expiry_Date,BE141&lt;Inputs_Assumptions!$E$189-0.001),MAX((BE196*Inputs_Assumptions!$E$189)-BE89,0)+MAX(-BE103,0),0)</f>
        <v>0</v>
      </c>
      <c r="BF142" s="119">
        <f ca="1">IF(AND(BF56&gt;Debt_Refinance_Date,BF56&lt;=CfD_Expiry_Date,BF141&lt;Inputs_Assumptions!$E$189-0.001),MAX((BF196*Inputs_Assumptions!$E$189)-BF89,0)+MAX(-BF103,0),0)</f>
        <v>0</v>
      </c>
      <c r="BG142" s="119">
        <f ca="1">IF(AND(BG56&gt;Debt_Refinance_Date,BG56&lt;=CfD_Expiry_Date,BG141&lt;Inputs_Assumptions!$E$189-0.001),MAX((BG196*Inputs_Assumptions!$E$189)-BG89,0)+MAX(-BG103,0),0)</f>
        <v>0</v>
      </c>
      <c r="BH142" s="119">
        <f ca="1">IF(AND(BH56&gt;Debt_Refinance_Date,BH56&lt;=CfD_Expiry_Date,BH141&lt;Inputs_Assumptions!$E$189-0.001),MAX((BH196*Inputs_Assumptions!$E$189)-BH89,0)+MAX(-BH103,0),0)</f>
        <v>0</v>
      </c>
      <c r="BI142" s="119">
        <f ca="1">IF(AND(BI56&gt;Debt_Refinance_Date,BI56&lt;=CfD_Expiry_Date,BI141&lt;Inputs_Assumptions!$E$189-0.001),MAX((BI196*Inputs_Assumptions!$E$189)-BI89,0)+MAX(-BI103,0),0)</f>
        <v>0</v>
      </c>
      <c r="BJ142" s="119">
        <f ca="1">IF(AND(BJ56&gt;Debt_Refinance_Date,BJ56&lt;=CfD_Expiry_Date,BJ141&lt;Inputs_Assumptions!$E$189-0.001),MAX((BJ196*Inputs_Assumptions!$E$189)-BJ89,0)+MAX(-BJ103,0),0)</f>
        <v>0</v>
      </c>
      <c r="BK142" s="119">
        <f ca="1">IF(AND(BK56&gt;Debt_Refinance_Date,BK56&lt;=CfD_Expiry_Date,BK141&lt;Inputs_Assumptions!$E$189-0.001),MAX((BK196*Inputs_Assumptions!$E$189)-BK89,0)+MAX(-BK103,0),0)</f>
        <v>0</v>
      </c>
      <c r="BL142" s="119">
        <f ca="1">IF(AND(BL56&gt;Debt_Refinance_Date,BL56&lt;=CfD_Expiry_Date,BL141&lt;Inputs_Assumptions!$E$189-0.001),MAX((BL196*Inputs_Assumptions!$E$189)-BL89,0)+MAX(-BL103,0),0)</f>
        <v>0</v>
      </c>
      <c r="BM142" s="119">
        <f ca="1">IF(AND(BM56&gt;Debt_Refinance_Date,BM56&lt;=CfD_Expiry_Date,BM141&lt;Inputs_Assumptions!$E$189-0.001),MAX((BM196*Inputs_Assumptions!$E$189)-BM89,0)+MAX(-BM103,0),0)</f>
        <v>0</v>
      </c>
      <c r="BN142" s="119">
        <f ca="1">IF(AND(BN56&gt;Debt_Refinance_Date,BN56&lt;=CfD_Expiry_Date,BN141&lt;Inputs_Assumptions!$E$189-0.001),MAX((BN196*Inputs_Assumptions!$E$189)-BN89,0)+MAX(-BN103,0),0)</f>
        <v>0</v>
      </c>
      <c r="BO142" s="119">
        <f ca="1">IF(AND(BO56&gt;Debt_Refinance_Date,BO56&lt;=CfD_Expiry_Date,BO141&lt;Inputs_Assumptions!$E$189-0.001),MAX((BO196*Inputs_Assumptions!$E$189)-BO89,0)+MAX(-BO103,0),0)</f>
        <v>0</v>
      </c>
      <c r="BP142" s="119">
        <f ca="1">IF(AND(BP56&gt;Debt_Refinance_Date,BP56&lt;=CfD_Expiry_Date,BP141&lt;Inputs_Assumptions!$E$189-0.001),MAX((BP196*Inputs_Assumptions!$E$189)-BP89,0)+MAX(-BP103,0),0)</f>
        <v>0</v>
      </c>
      <c r="BQ142" s="119">
        <f ca="1">IF(AND(BQ56&gt;Debt_Refinance_Date,BQ56&lt;=CfD_Expiry_Date,BQ141&lt;Inputs_Assumptions!$E$189-0.001),MAX((BQ196*Inputs_Assumptions!$E$189)-BQ89,0)+MAX(-BQ103,0),0)</f>
        <v>0</v>
      </c>
      <c r="BR142" s="119">
        <f ca="1">IF(AND(BR56&gt;Debt_Refinance_Date,BR56&lt;=CfD_Expiry_Date,BR141&lt;Inputs_Assumptions!$E$189-0.001),MAX((BR196*Inputs_Assumptions!$E$189)-BR89,0)+MAX(-BR103,0),0)</f>
        <v>0</v>
      </c>
      <c r="BS142" s="119">
        <f ca="1">IF(AND(BS56&gt;Debt_Refinance_Date,BS56&lt;=CfD_Expiry_Date,BS141&lt;Inputs_Assumptions!$E$189-0.001),MAX((BS196*Inputs_Assumptions!$E$189)-BS89,0)+MAX(-BS103,0),0)</f>
        <v>0</v>
      </c>
      <c r="BT142" s="119">
        <f ca="1">IF(AND(BT56&gt;Debt_Refinance_Date,BT56&lt;=CfD_Expiry_Date,BT141&lt;Inputs_Assumptions!$E$189-0.001),MAX((BT196*Inputs_Assumptions!$E$189)-BT89,0)+MAX(-BT103,0),0)</f>
        <v>0</v>
      </c>
      <c r="BU142" s="119">
        <f ca="1">IF(AND(BU56&gt;Debt_Refinance_Date,BU56&lt;=CfD_Expiry_Date,BU141&lt;Inputs_Assumptions!$E$189-0.001),MAX((BU196*Inputs_Assumptions!$E$189)-BU89,0)+MAX(-BU103,0),0)</f>
        <v>0</v>
      </c>
      <c r="BV142" s="119">
        <f ca="1">IF(AND(BV56&gt;Debt_Refinance_Date,BV56&lt;=CfD_Expiry_Date,BV141&lt;Inputs_Assumptions!$E$189-0.001),MAX((BV196*Inputs_Assumptions!$E$189)-BV89,0)+MAX(-BV103,0),0)</f>
        <v>0</v>
      </c>
      <c r="BW142" s="119">
        <f ca="1">IF(AND(BW56&gt;Debt_Refinance_Date,BW56&lt;=CfD_Expiry_Date,BW141&lt;Inputs_Assumptions!$E$189-0.001),MAX((BW196*Inputs_Assumptions!$E$189)-BW89,0)+MAX(-BW103,0),0)</f>
        <v>0</v>
      </c>
      <c r="BX142" s="119">
        <f ca="1">IF(AND(BX56&gt;Debt_Refinance_Date,BX56&lt;=CfD_Expiry_Date,BX141&lt;Inputs_Assumptions!$E$189-0.001),MAX((BX196*Inputs_Assumptions!$E$189)-BX89,0)+MAX(-BX103,0),0)</f>
        <v>0</v>
      </c>
      <c r="BY142" s="119">
        <f ca="1">IF(AND(BY56&gt;Debt_Refinance_Date,BY56&lt;=CfD_Expiry_Date,BY141&lt;Inputs_Assumptions!$E$189-0.001),MAX((BY196*Inputs_Assumptions!$E$189)-BY89,0)+MAX(-BY103,0),0)</f>
        <v>0</v>
      </c>
      <c r="BZ142" s="119">
        <f ca="1">IF(AND(BZ56&gt;Debt_Refinance_Date,BZ56&lt;=CfD_Expiry_Date,BZ141&lt;Inputs_Assumptions!$E$189-0.001),MAX((BZ196*Inputs_Assumptions!$E$189)-BZ89,0)+MAX(-BZ103,0),0)</f>
        <v>0</v>
      </c>
      <c r="CA142" s="119">
        <f ca="1">IF(AND(CA56&gt;Debt_Refinance_Date,CA56&lt;=CfD_Expiry_Date,CA141&lt;Inputs_Assumptions!$E$189-0.001),MAX((CA196*Inputs_Assumptions!$E$189)-CA89,0)+MAX(-CA103,0),0)</f>
        <v>0</v>
      </c>
      <c r="CB142" s="119">
        <f ca="1">IF(AND(CB56&gt;Debt_Refinance_Date,CB56&lt;=CfD_Expiry_Date,CB141&lt;Inputs_Assumptions!$E$189-0.001),MAX((CB196*Inputs_Assumptions!$E$189)-CB89,0)+MAX(-CB103,0),0)</f>
        <v>0</v>
      </c>
      <c r="CC142" s="119">
        <f ca="1">IF(AND(CC56&gt;Debt_Refinance_Date,CC56&lt;=CfD_Expiry_Date,CC141&lt;Inputs_Assumptions!$E$189-0.001),MAX((CC196*Inputs_Assumptions!$E$189)-CC89,0)+MAX(-CC103,0),0)</f>
        <v>0</v>
      </c>
      <c r="CD142" s="119">
        <f ca="1">IF(AND(CD56&gt;Debt_Refinance_Date,CD56&lt;=CfD_Expiry_Date,CD141&lt;Inputs_Assumptions!$E$189-0.001),MAX((CD196*Inputs_Assumptions!$E$189)-CD89,0)+MAX(-CD103,0),0)</f>
        <v>0</v>
      </c>
      <c r="CE142" s="119">
        <f ca="1">IF(AND(CE56&gt;Debt_Refinance_Date,CE56&lt;=CfD_Expiry_Date,CE141&lt;Inputs_Assumptions!$E$189-0.001),MAX((CE196*Inputs_Assumptions!$E$189)-CE89,0)+MAX(-CE103,0),0)</f>
        <v>0</v>
      </c>
      <c r="CF142" s="119">
        <f ca="1">IF(AND(CF56&gt;Debt_Refinance_Date,CF56&lt;=CfD_Expiry_Date,CF141&lt;Inputs_Assumptions!$E$189-0.001),MAX((CF196*Inputs_Assumptions!$E$189)-CF89,0)+MAX(-CF103,0),0)</f>
        <v>0</v>
      </c>
      <c r="CG142" s="119">
        <f ca="1">IF(AND(CG56&gt;Debt_Refinance_Date,CG56&lt;=CfD_Expiry_Date,CG141&lt;Inputs_Assumptions!$E$189-0.001),MAX((CG196*Inputs_Assumptions!$E$189)-CG89,0)+MAX(-CG103,0),0)</f>
        <v>0</v>
      </c>
      <c r="CH142" s="119">
        <f ca="1">IF(AND(CH56&gt;Debt_Refinance_Date,CH56&lt;=CfD_Expiry_Date,CH141&lt;Inputs_Assumptions!$E$189-0.001),MAX((CH196*Inputs_Assumptions!$E$189)-CH89,0)+MAX(-CH103,0),0)</f>
        <v>0</v>
      </c>
      <c r="CI142" s="119">
        <f ca="1">IF(AND(CI56&gt;Debt_Refinance_Date,CI56&lt;=CfD_Expiry_Date,CI141&lt;Inputs_Assumptions!$E$189-0.001),MAX((CI196*Inputs_Assumptions!$E$189)-CI89,0)+MAX(-CI103,0),0)</f>
        <v>0</v>
      </c>
      <c r="CJ142" s="119">
        <f ca="1">IF(AND(CJ56&gt;Debt_Refinance_Date,CJ56&lt;=CfD_Expiry_Date,CJ141&lt;Inputs_Assumptions!$E$189-0.001),MAX((CJ196*Inputs_Assumptions!$E$189)-CJ89,0)+MAX(-CJ103,0),0)</f>
        <v>0</v>
      </c>
      <c r="CK142" s="119">
        <f ca="1">IF(AND(CK56&gt;Debt_Refinance_Date,CK56&lt;=CfD_Expiry_Date,CK141&lt;Inputs_Assumptions!$E$189-0.001),MAX((CK196*Inputs_Assumptions!$E$189)-CK89,0)+MAX(-CK103,0),0)</f>
        <v>0</v>
      </c>
      <c r="CL142" s="119">
        <f ca="1">IF(AND(CL56&gt;Debt_Refinance_Date,CL56&lt;=CfD_Expiry_Date,CL141&lt;Inputs_Assumptions!$E$189-0.001),MAX((CL196*Inputs_Assumptions!$E$189)-CL89,0)+MAX(-CL103,0),0)</f>
        <v>0</v>
      </c>
      <c r="CM142" s="119">
        <f ca="1">IF(AND(CM56&gt;Debt_Refinance_Date,CM56&lt;=CfD_Expiry_Date,CM141&lt;Inputs_Assumptions!$E$189-0.001),MAX((CM196*Inputs_Assumptions!$E$189)-CM89,0)+MAX(-CM103,0),0)</f>
        <v>0</v>
      </c>
      <c r="CN142" s="119">
        <f ca="1">IF(AND(CN56&gt;Debt_Refinance_Date,CN56&lt;=CfD_Expiry_Date,CN141&lt;Inputs_Assumptions!$E$189-0.001),MAX((CN196*Inputs_Assumptions!$E$189)-CN89,0)+MAX(-CN103,0),0)</f>
        <v>0</v>
      </c>
      <c r="CO142" s="119">
        <f ca="1">IF(AND(CO56&gt;Debt_Refinance_Date,CO56&lt;=CfD_Expiry_Date,CO141&lt;Inputs_Assumptions!$E$189-0.001),MAX((CO196*Inputs_Assumptions!$E$189)-CO89,0)+MAX(-CO103,0),0)</f>
        <v>0</v>
      </c>
      <c r="CP142" s="119">
        <f ca="1">IF(AND(CP56&gt;Debt_Refinance_Date,CP56&lt;=CfD_Expiry_Date,CP141&lt;Inputs_Assumptions!$E$189-0.001),MAX((CP196*Inputs_Assumptions!$E$189)-CP89,0)+MAX(-CP103,0),0)</f>
        <v>0</v>
      </c>
      <c r="CQ142" s="119">
        <f ca="1">IF(AND(CQ56&gt;Debt_Refinance_Date,CQ56&lt;=CfD_Expiry_Date,CQ141&lt;Inputs_Assumptions!$E$189-0.001),MAX((CQ196*Inputs_Assumptions!$E$189)-CQ89,0)+MAX(-CQ103,0),0)</f>
        <v>0</v>
      </c>
      <c r="CR142" s="119">
        <f ca="1">IF(AND(CR56&gt;Debt_Refinance_Date,CR56&lt;=CfD_Expiry_Date,CR141&lt;Inputs_Assumptions!$E$189-0.001),MAX((CR196*Inputs_Assumptions!$E$189)-CR89,0)+MAX(-CR103,0),0)</f>
        <v>0</v>
      </c>
      <c r="CS142" s="119">
        <f ca="1">IF(AND(CS56&gt;Debt_Refinance_Date,CS56&lt;=CfD_Expiry_Date,CS141&lt;Inputs_Assumptions!$E$189-0.001),MAX((CS196*Inputs_Assumptions!$E$189)-CS89,0)+MAX(-CS103,0),0)</f>
        <v>0</v>
      </c>
      <c r="CT142" s="119">
        <f ca="1">IF(AND(CT56&gt;Debt_Refinance_Date,CT56&lt;=CfD_Expiry_Date,CT141&lt;Inputs_Assumptions!$E$189-0.001),MAX((CT196*Inputs_Assumptions!$E$189)-CT89,0)+MAX(-CT103,0),0)</f>
        <v>0</v>
      </c>
      <c r="CU142" s="266">
        <f ca="1">IF(AND(CU56&gt;Debt_Refinance_Date,CU56&lt;=CfD_Expiry_Date,CU141&lt;Inputs_Assumptions!$E$189-0.001),MAX((CU196*Inputs_Assumptions!$E$189)-CU89,0)+MAX(-CU103,0),0)</f>
        <v>0</v>
      </c>
      <c r="CV142" s="119">
        <f>IF(AND(CV56&gt;Debt_Refinance_Date,CV56&lt;=CfD_Expiry_Date,CV141&lt;Inputs_Assumptions!$E$189-0.001),MAX((CV196*Inputs_Assumptions!$E$189)-CV89,0)+MAX(-CV103,0),0)</f>
        <v>0</v>
      </c>
      <c r="CW142" s="119">
        <f>IF(AND(CW56&gt;Debt_Refinance_Date,CW56&lt;=CfD_Expiry_Date,CW141&lt;Inputs_Assumptions!$E$189-0.001),MAX((CW196*Inputs_Assumptions!$E$189)-CW89,0)+MAX(-CW103,0),0)</f>
        <v>0</v>
      </c>
      <c r="CX142" s="119">
        <f>IF(AND(CX56&gt;Debt_Refinance_Date,CX56&lt;=CfD_Expiry_Date,CX141&lt;Inputs_Assumptions!$E$189-0.001),MAX((CX196*Inputs_Assumptions!$E$189)-CX89,0)+MAX(-CX103,0),0)</f>
        <v>0</v>
      </c>
      <c r="CY142" s="119">
        <f>IF(AND(CY56&gt;Debt_Refinance_Date,CY56&lt;=CfD_Expiry_Date,CY141&lt;Inputs_Assumptions!$E$189-0.001),MAX((CY196*Inputs_Assumptions!$E$189)-CY89,0)+MAX(-CY103,0),0)</f>
        <v>0</v>
      </c>
      <c r="CZ142" s="119">
        <f>IF(AND(CZ56&gt;Debt_Refinance_Date,CZ56&lt;=CfD_Expiry_Date,CZ141&lt;Inputs_Assumptions!$E$189-0.001),MAX((CZ196*Inputs_Assumptions!$E$189)-CZ89,0)+MAX(-CZ103,0),0)</f>
        <v>0</v>
      </c>
      <c r="DA142" s="119">
        <f>IF(AND(DA56&gt;Debt_Refinance_Date,DA56&lt;=CfD_Expiry_Date,DA141&lt;Inputs_Assumptions!$E$189-0.001),MAX((DA196*Inputs_Assumptions!$E$189)-DA89,0)+MAX(-DA103,0),0)</f>
        <v>0</v>
      </c>
      <c r="DB142" s="119">
        <f>IF(AND(DB56&gt;Debt_Refinance_Date,DB56&lt;=CfD_Expiry_Date,DB141&lt;Inputs_Assumptions!$E$189-0.001),MAX((DB196*Inputs_Assumptions!$E$189)-DB89,0)+MAX(-DB103,0),0)</f>
        <v>0</v>
      </c>
      <c r="DC142" s="119">
        <f>IF(AND(DC56&gt;Debt_Refinance_Date,DC56&lt;=CfD_Expiry_Date,DC141&lt;Inputs_Assumptions!$E$189-0.001),MAX((DC196*Inputs_Assumptions!$E$189)-DC89,0)+MAX(-DC103,0),0)</f>
        <v>0</v>
      </c>
      <c r="DD142" s="119">
        <f>IF(AND(DD56&gt;Debt_Refinance_Date,DD56&lt;=CfD_Expiry_Date,DD141&lt;Inputs_Assumptions!$E$189-0.001),MAX((DD196*Inputs_Assumptions!$E$189)-DD89,0)+MAX(-DD103,0),0)</f>
        <v>0</v>
      </c>
      <c r="DE142" s="119">
        <f>IF(AND(DE56&gt;Debt_Refinance_Date,DE56&lt;=CfD_Expiry_Date,DE141&lt;Inputs_Assumptions!$E$189-0.001),MAX((DE196*Inputs_Assumptions!$E$189)-DE89,0)+MAX(-DE103,0),0)</f>
        <v>0</v>
      </c>
      <c r="DF142" s="119">
        <f>IF(AND(DF56&gt;Debt_Refinance_Date,DF56&lt;=CfD_Expiry_Date,DF141&lt;Inputs_Assumptions!$E$189-0.001),MAX((DF196*Inputs_Assumptions!$E$189)-DF89,0)+MAX(-DF103,0),0)</f>
        <v>0</v>
      </c>
      <c r="DG142" s="119">
        <f>IF(AND(DG56&gt;Debt_Refinance_Date,DG56&lt;=CfD_Expiry_Date,DG141&lt;Inputs_Assumptions!$E$189-0.001),MAX((DG196*Inputs_Assumptions!$E$189)-DG89,0)+MAX(-DG103,0),0)</f>
        <v>0</v>
      </c>
      <c r="DH142" s="119">
        <f>IF(AND(DH56&gt;Debt_Refinance_Date,DH56&lt;=CfD_Expiry_Date,DH141&lt;Inputs_Assumptions!$E$189-0.001),MAX((DH196*Inputs_Assumptions!$E$189)-DH89,0)+MAX(-DH103,0),0)</f>
        <v>0</v>
      </c>
      <c r="DI142" s="119">
        <f>IF(AND(DI56&gt;Debt_Refinance_Date,DI56&lt;=CfD_Expiry_Date,DI141&lt;Inputs_Assumptions!$E$189-0.001),MAX((DI196*Inputs_Assumptions!$E$189)-DI89,0)+MAX(-DI103,0),0)</f>
        <v>0</v>
      </c>
      <c r="DJ142" s="119">
        <f>IF(AND(DJ56&gt;Debt_Refinance_Date,DJ56&lt;=CfD_Expiry_Date,DJ141&lt;Inputs_Assumptions!$E$189-0.001),MAX((DJ196*Inputs_Assumptions!$E$189)-DJ89,0)+MAX(-DJ103,0),0)</f>
        <v>0</v>
      </c>
      <c r="DK142" s="119">
        <f>IF(AND(DK56&gt;Debt_Refinance_Date,DK56&lt;=CfD_Expiry_Date,DK141&lt;Inputs_Assumptions!$E$189-0.001),MAX((DK196*Inputs_Assumptions!$E$189)-DK89,0)+MAX(-DK103,0),0)</f>
        <v>0</v>
      </c>
      <c r="DL142" s="119">
        <f>IF(AND(DL56&gt;Debt_Refinance_Date,DL56&lt;=CfD_Expiry_Date,DL141&lt;Inputs_Assumptions!$E$189-0.001),MAX((DL196*Inputs_Assumptions!$E$189)-DL89,0)+MAX(-DL103,0),0)</f>
        <v>0</v>
      </c>
      <c r="DM142" s="119">
        <f>IF(AND(DM56&gt;Debt_Refinance_Date,DM56&lt;=CfD_Expiry_Date,DM141&lt;Inputs_Assumptions!$E$189-0.001),MAX((DM196*Inputs_Assumptions!$E$189)-DM89,0)+MAX(-DM103,0),0)</f>
        <v>0</v>
      </c>
      <c r="DN142" s="119">
        <f>IF(AND(DN56&gt;Debt_Refinance_Date,DN56&lt;=CfD_Expiry_Date,DN141&lt;Inputs_Assumptions!$E$189-0.001),MAX((DN196*Inputs_Assumptions!$E$189)-DN89,0)+MAX(-DN103,0),0)</f>
        <v>0</v>
      </c>
      <c r="DO142" s="119">
        <f>IF(AND(DO56&gt;Debt_Refinance_Date,DO56&lt;=CfD_Expiry_Date,DO141&lt;Inputs_Assumptions!$E$189-0.001),MAX((DO196*Inputs_Assumptions!$E$189)-DO89,0)+MAX(-DO103,0),0)</f>
        <v>0</v>
      </c>
      <c r="DP142" s="119">
        <f>IF(AND(DP56&gt;Debt_Refinance_Date,DP56&lt;=CfD_Expiry_Date,DP141&lt;Inputs_Assumptions!$E$189-0.001),MAX((DP196*Inputs_Assumptions!$E$189)-DP89,0)+MAX(-DP103,0),0)</f>
        <v>0</v>
      </c>
      <c r="DQ142" s="119">
        <f>IF(AND(DQ56&gt;Debt_Refinance_Date,DQ56&lt;=CfD_Expiry_Date,DQ141&lt;Inputs_Assumptions!$E$189-0.001),MAX((DQ196*Inputs_Assumptions!$E$189)-DQ89,0)+MAX(-DQ103,0),0)</f>
        <v>0</v>
      </c>
      <c r="DR142" s="119">
        <f>IF(AND(DR56&gt;Debt_Refinance_Date,DR56&lt;=CfD_Expiry_Date,DR141&lt;Inputs_Assumptions!$E$189-0.001),MAX((DR196*Inputs_Assumptions!$E$189)-DR89,0)+MAX(-DR103,0),0)</f>
        <v>0</v>
      </c>
      <c r="DS142" s="119">
        <f>IF(AND(DS56&gt;Debt_Refinance_Date,DS56&lt;=CfD_Expiry_Date,DS141&lt;Inputs_Assumptions!$E$189-0.001),MAX((DS196*Inputs_Assumptions!$E$189)-DS89,0)+MAX(-DS103,0),0)</f>
        <v>0</v>
      </c>
      <c r="DT142" s="119">
        <f>IF(AND(DT56&gt;Debt_Refinance_Date,DT56&lt;=CfD_Expiry_Date,DT141&lt;Inputs_Assumptions!$E$189-0.001),MAX((DT196*Inputs_Assumptions!$E$189)-DT89,0)+MAX(-DT103,0),0)</f>
        <v>0</v>
      </c>
      <c r="DU142" s="119">
        <f>IF(AND(DU56&gt;Debt_Refinance_Date,DU56&lt;=CfD_Expiry_Date,DU141&lt;Inputs_Assumptions!$E$189-0.001),MAX((DU196*Inputs_Assumptions!$E$189)-DU89,0)+MAX(-DU103,0),0)</f>
        <v>0</v>
      </c>
      <c r="DV142" s="119">
        <f>IF(AND(DV56&gt;Debt_Refinance_Date,DV56&lt;=CfD_Expiry_Date,DV141&lt;Inputs_Assumptions!$E$189-0.001),MAX((DV196*Inputs_Assumptions!$E$189)-DV89,0)+MAX(-DV103,0),0)</f>
        <v>0</v>
      </c>
      <c r="DW142" s="119">
        <f>IF(AND(DW56&gt;Debt_Refinance_Date,DW56&lt;=CfD_Expiry_Date,DW141&lt;Inputs_Assumptions!$E$189-0.001),MAX((DW196*Inputs_Assumptions!$E$189)-DW89,0)+MAX(-DW103,0),0)</f>
        <v>0</v>
      </c>
      <c r="DX142" s="119">
        <f>IF(AND(DX56&gt;Debt_Refinance_Date,DX56&lt;=CfD_Expiry_Date,DX141&lt;Inputs_Assumptions!$E$189-0.001),MAX((DX196*Inputs_Assumptions!$E$189)-DX89,0)+MAX(-DX103,0),0)</f>
        <v>0</v>
      </c>
      <c r="DY142" s="119">
        <f>IF(AND(DY56&gt;Debt_Refinance_Date,DY56&lt;=CfD_Expiry_Date,DY141&lt;Inputs_Assumptions!$E$189-0.001),MAX((DY196*Inputs_Assumptions!$E$189)-DY89,0)+MAX(-DY103,0),0)</f>
        <v>0</v>
      </c>
      <c r="DZ142" s="119">
        <f>IF(AND(DZ56&gt;Debt_Refinance_Date,DZ56&lt;=CfD_Expiry_Date,DZ141&lt;Inputs_Assumptions!$E$189-0.001),MAX((DZ196*Inputs_Assumptions!$E$189)-DZ89,0)+MAX(-DZ103,0),0)</f>
        <v>0</v>
      </c>
      <c r="EA142" s="119">
        <f>IF(AND(EA56&gt;Debt_Refinance_Date,EA56&lt;=CfD_Expiry_Date,EA141&lt;Inputs_Assumptions!$E$189-0.001),MAX((EA196*Inputs_Assumptions!$E$189)-EA89,0)+MAX(-EA103,0),0)</f>
        <v>0</v>
      </c>
      <c r="EB142" s="119">
        <f>IF(AND(EB56&gt;Debt_Refinance_Date,EB56&lt;=CfD_Expiry_Date,EB141&lt;Inputs_Assumptions!$E$189-0.001),MAX((EB196*Inputs_Assumptions!$E$189)-EB89,0)+MAX(-EB103,0),0)</f>
        <v>0</v>
      </c>
      <c r="EC142" s="119">
        <f>IF(AND(EC56&gt;Debt_Refinance_Date,EC56&lt;=CfD_Expiry_Date,EC141&lt;Inputs_Assumptions!$E$189-0.001),MAX((EC196*Inputs_Assumptions!$E$189)-EC89,0)+MAX(-EC103,0),0)</f>
        <v>0</v>
      </c>
      <c r="ED142" s="119">
        <f>IF(AND(ED56&gt;Debt_Refinance_Date,ED56&lt;=CfD_Expiry_Date,ED141&lt;Inputs_Assumptions!$E$189-0.001),MAX((ED196*Inputs_Assumptions!$E$189)-ED89,0)+MAX(-ED103,0),0)</f>
        <v>0</v>
      </c>
      <c r="EE142" s="119">
        <f>IF(AND(EE56&gt;Debt_Refinance_Date,EE56&lt;=CfD_Expiry_Date,EE141&lt;Inputs_Assumptions!$E$189-0.001),MAX((EE196*Inputs_Assumptions!$E$189)-EE89,0)+MAX(-EE103,0),0)</f>
        <v>0</v>
      </c>
      <c r="EF142" s="119">
        <f>IF(AND(EF56&gt;Debt_Refinance_Date,EF56&lt;=CfD_Expiry_Date,EF141&lt;Inputs_Assumptions!$E$189-0.001),MAX((EF196*Inputs_Assumptions!$E$189)-EF89,0)+MAX(-EF103,0),0)</f>
        <v>0</v>
      </c>
      <c r="EG142" s="119">
        <f>IF(AND(EG56&gt;Debt_Refinance_Date,EG56&lt;=CfD_Expiry_Date,EG141&lt;Inputs_Assumptions!$E$189-0.001),MAX((EG196*Inputs_Assumptions!$E$189)-EG89,0)+MAX(-EG103,0),0)</f>
        <v>0</v>
      </c>
      <c r="EH142" s="119">
        <f>IF(AND(EH56&gt;Debt_Refinance_Date,EH56&lt;=CfD_Expiry_Date,EH141&lt;Inputs_Assumptions!$E$189-0.001),MAX((EH196*Inputs_Assumptions!$E$189)-EH89,0)+MAX(-EH103,0),0)</f>
        <v>0</v>
      </c>
      <c r="EI142" s="119">
        <f>IF(AND(EI56&gt;Debt_Refinance_Date,EI56&lt;=CfD_Expiry_Date,EI141&lt;Inputs_Assumptions!$E$189-0.001),MAX((EI196*Inputs_Assumptions!$E$189)-EI89,0)+MAX(-EI103,0),0)</f>
        <v>0</v>
      </c>
      <c r="EJ142" s="119">
        <f>IF(AND(EJ56&gt;Debt_Refinance_Date,EJ56&lt;=CfD_Expiry_Date,EJ141&lt;Inputs_Assumptions!$E$189-0.001),MAX((EJ196*Inputs_Assumptions!$E$189)-EJ89,0)+MAX(-EJ103,0),0)</f>
        <v>0</v>
      </c>
      <c r="EK142" s="119">
        <f>IF(AND(EK56&gt;Debt_Refinance_Date,EK56&lt;=CfD_Expiry_Date,EK141&lt;Inputs_Assumptions!$E$189-0.001),MAX((EK196*Inputs_Assumptions!$E$189)-EK89,0)+MAX(-EK103,0),0)</f>
        <v>0</v>
      </c>
      <c r="EL142" s="119">
        <f>IF(AND(EL56&gt;Debt_Refinance_Date,EL56&lt;=CfD_Expiry_Date,EL141&lt;Inputs_Assumptions!$E$189-0.001),MAX((EL196*Inputs_Assumptions!$E$189)-EL89,0)+MAX(-EL103,0),0)</f>
        <v>0</v>
      </c>
      <c r="EM142" s="119">
        <f>IF(AND(EM56&gt;Debt_Refinance_Date,EM56&lt;=CfD_Expiry_Date,EM141&lt;Inputs_Assumptions!$E$189-0.001),MAX((EM196*Inputs_Assumptions!$E$189)-EM89,0)+MAX(-EM103,0),0)</f>
        <v>0</v>
      </c>
      <c r="EN142" s="119">
        <f>IF(AND(EN56&gt;Debt_Refinance_Date,EN56&lt;=CfD_Expiry_Date,EN141&lt;Inputs_Assumptions!$E$189-0.001),MAX((EN196*Inputs_Assumptions!$E$189)-EN89,0)+MAX(-EN103,0),0)</f>
        <v>0</v>
      </c>
      <c r="EO142" s="119">
        <f>IF(AND(EO56&gt;Debt_Refinance_Date,EO56&lt;=CfD_Expiry_Date,EO141&lt;Inputs_Assumptions!$E$189-0.001),MAX((EO196*Inputs_Assumptions!$E$189)-EO89,0)+MAX(-EO103,0),0)</f>
        <v>0</v>
      </c>
      <c r="EP142" s="119">
        <f>IF(AND(EP56&gt;Debt_Refinance_Date,EP56&lt;=CfD_Expiry_Date,EP141&lt;Inputs_Assumptions!$E$189-0.001),MAX((EP196*Inputs_Assumptions!$E$189)-EP89,0)+MAX(-EP103,0),0)</f>
        <v>0</v>
      </c>
      <c r="EQ142" s="119">
        <f>IF(AND(EQ56&gt;Debt_Refinance_Date,EQ56&lt;=CfD_Expiry_Date,EQ141&lt;Inputs_Assumptions!$E$189-0.001),MAX((EQ196*Inputs_Assumptions!$E$189)-EQ89,0)+MAX(-EQ103,0),0)</f>
        <v>0</v>
      </c>
      <c r="ER142" s="119">
        <f>IF(AND(ER56&gt;Debt_Refinance_Date,ER56&lt;=CfD_Expiry_Date,ER141&lt;Inputs_Assumptions!$E$189-0.001),MAX((ER196*Inputs_Assumptions!$E$189)-ER89,0)+MAX(-ER103,0),0)</f>
        <v>0</v>
      </c>
      <c r="ES142" s="119">
        <f>IF(AND(ES56&gt;Debt_Refinance_Date,ES56&lt;=CfD_Expiry_Date,ES141&lt;Inputs_Assumptions!$E$189-0.001),MAX((ES196*Inputs_Assumptions!$E$189)-ES89,0)+MAX(-ES103,0),0)</f>
        <v>0</v>
      </c>
      <c r="ET142" s="119">
        <f>IF(AND(ET56&gt;Debt_Refinance_Date,ET56&lt;=CfD_Expiry_Date,ET141&lt;Inputs_Assumptions!$E$189-0.001),MAX((ET196*Inputs_Assumptions!$E$189)-ET89,0)+MAX(-ET103,0),0)</f>
        <v>0</v>
      </c>
      <c r="EU142" s="119">
        <f>IF(AND(EU56&gt;Debt_Refinance_Date,EU56&lt;=CfD_Expiry_Date,EU141&lt;Inputs_Assumptions!$E$189-0.001),MAX((EU196*Inputs_Assumptions!$E$189)-EU89,0)+MAX(-EU103,0),0)</f>
        <v>0</v>
      </c>
      <c r="EV142" s="119">
        <f>IF(AND(EV56&gt;Debt_Refinance_Date,EV56&lt;=CfD_Expiry_Date,EV141&lt;Inputs_Assumptions!$E$189-0.001),MAX((EV196*Inputs_Assumptions!$E$189)-EV89,0)+MAX(-EV103,0),0)</f>
        <v>0</v>
      </c>
      <c r="EW142" s="119">
        <f>IF(AND(EW56&gt;Debt_Refinance_Date,EW56&lt;=CfD_Expiry_Date,EW141&lt;Inputs_Assumptions!$E$189-0.001),MAX((EW196*Inputs_Assumptions!$E$189)-EW89,0)+MAX(-EW103,0),0)</f>
        <v>0</v>
      </c>
      <c r="EX142" s="119">
        <f>IF(AND(EX56&gt;Debt_Refinance_Date,EX56&lt;=CfD_Expiry_Date,EX141&lt;Inputs_Assumptions!$E$189-0.001),MAX((EX196*Inputs_Assumptions!$E$189)-EX89,0)+MAX(-EX103,0),0)</f>
        <v>0</v>
      </c>
      <c r="EY142" s="119">
        <f>IF(AND(EY56&gt;Debt_Refinance_Date,EY56&lt;=CfD_Expiry_Date,EY141&lt;Inputs_Assumptions!$E$189-0.001),MAX((EY196*Inputs_Assumptions!$E$189)-EY89,0)+MAX(-EY103,0),0)</f>
        <v>0</v>
      </c>
      <c r="EZ142" s="119">
        <f>IF(AND(EZ56&gt;Debt_Refinance_Date,EZ56&lt;=CfD_Expiry_Date,EZ141&lt;Inputs_Assumptions!$E$189-0.001),MAX((EZ196*Inputs_Assumptions!$E$189)-EZ89,0)+MAX(-EZ103,0),0)</f>
        <v>0</v>
      </c>
      <c r="FA142" s="119">
        <f>IF(AND(FA56&gt;Debt_Refinance_Date,FA56&lt;=CfD_Expiry_Date,FA141&lt;Inputs_Assumptions!$E$189-0.001),MAX((FA196*Inputs_Assumptions!$E$189)-FA89,0)+MAX(-FA103,0),0)</f>
        <v>0</v>
      </c>
    </row>
    <row r="143" spans="3:157" outlineLevel="1" x14ac:dyDescent="0.2">
      <c r="C143" s="9" t="s">
        <v>379</v>
      </c>
      <c r="D143" s="21" t="s">
        <v>126</v>
      </c>
      <c r="E143" s="5"/>
      <c r="F143" s="5"/>
      <c r="G143" s="119">
        <f>IF(AND(G56&gt;Debt_Refinance_Date,G56&lt;=CfD_Expiry_Date,G142=0,G141&lt;Inputs_Assumptions!$E$188-0.001),MAX(G103,0),0)</f>
        <v>0</v>
      </c>
      <c r="H143" s="119">
        <f>IF(AND(H56&gt;Debt_Refinance_Date,H56&lt;=CfD_Expiry_Date,H142=0,H141&lt;Inputs_Assumptions!$E$188-0.001),MAX(H103,0),0)</f>
        <v>0</v>
      </c>
      <c r="I143" s="119">
        <f>IF(AND(I56&gt;Debt_Refinance_Date,I56&lt;=CfD_Expiry_Date,I142=0,I141&lt;Inputs_Assumptions!$E$188-0.001),MAX(I103,0),0)</f>
        <v>0</v>
      </c>
      <c r="J143" s="119">
        <f>IF(AND(J56&gt;Debt_Refinance_Date,J56&lt;=CfD_Expiry_Date,J142=0,J141&lt;Inputs_Assumptions!$E$188-0.001),MAX(J103,0),0)</f>
        <v>0</v>
      </c>
      <c r="K143" s="119">
        <f>IF(AND(K56&gt;Debt_Refinance_Date,K56&lt;=CfD_Expiry_Date,K142=0,K141&lt;Inputs_Assumptions!$E$188-0.001),MAX(K103,0),0)</f>
        <v>0</v>
      </c>
      <c r="L143" s="119">
        <f>IF(AND(L56&gt;Debt_Refinance_Date,L56&lt;=CfD_Expiry_Date,L142=0,L141&lt;Inputs_Assumptions!$E$188-0.001),MAX(L103,0),0)</f>
        <v>0</v>
      </c>
      <c r="M143" s="119">
        <f>IF(AND(M56&gt;Debt_Refinance_Date,M56&lt;=CfD_Expiry_Date,M142=0,M141&lt;Inputs_Assumptions!$E$188-0.001),MAX(M103,0),0)</f>
        <v>0</v>
      </c>
      <c r="N143" s="119">
        <f>IF(AND(N56&gt;Debt_Refinance_Date,N56&lt;=CfD_Expiry_Date,N142=0,N141&lt;Inputs_Assumptions!$E$188-0.001),MAX(N103,0),0)</f>
        <v>0</v>
      </c>
      <c r="O143" s="119">
        <f>IF(AND(O56&gt;Debt_Refinance_Date,O56&lt;=CfD_Expiry_Date,O142=0,O141&lt;Inputs_Assumptions!$E$188-0.001),MAX(O103,0),0)</f>
        <v>0</v>
      </c>
      <c r="P143" s="119">
        <f>IF(AND(P56&gt;Debt_Refinance_Date,P56&lt;=CfD_Expiry_Date,P142=0,P141&lt;Inputs_Assumptions!$E$188-0.001),MAX(P103,0),0)</f>
        <v>0</v>
      </c>
      <c r="Q143" s="119">
        <f>IF(AND(Q56&gt;Debt_Refinance_Date,Q56&lt;=CfD_Expiry_Date,Q142=0,Q141&lt;Inputs_Assumptions!$E$188-0.001),MAX(Q103,0),0)</f>
        <v>0</v>
      </c>
      <c r="R143" s="119">
        <f>IF(AND(R56&gt;Debt_Refinance_Date,R56&lt;=CfD_Expiry_Date,R142=0,R141&lt;Inputs_Assumptions!$E$188-0.001),MAX(R103,0),0)</f>
        <v>0</v>
      </c>
      <c r="S143" s="119">
        <f>IF(AND(S56&gt;Debt_Refinance_Date,S56&lt;=CfD_Expiry_Date,S142=0,S141&lt;Inputs_Assumptions!$E$188-0.001),MAX(S103,0),0)</f>
        <v>0</v>
      </c>
      <c r="T143" s="119">
        <f>IF(AND(T56&gt;Debt_Refinance_Date,T56&lt;=CfD_Expiry_Date,T142=0,T141&lt;Inputs_Assumptions!$E$188-0.001),MAX(T103,0),0)</f>
        <v>0</v>
      </c>
      <c r="U143" s="119">
        <f>IF(AND(U56&gt;Debt_Refinance_Date,U56&lt;=CfD_Expiry_Date,U142=0,U141&lt;Inputs_Assumptions!$E$188-0.001),MAX(U103,0),0)</f>
        <v>0</v>
      </c>
      <c r="V143" s="119">
        <f>IF(AND(V56&gt;Debt_Refinance_Date,V56&lt;=CfD_Expiry_Date,V142=0,V141&lt;Inputs_Assumptions!$E$188-0.001),MAX(V103,0),0)</f>
        <v>0</v>
      </c>
      <c r="W143" s="119">
        <f>IF(AND(W56&gt;Debt_Refinance_Date,W56&lt;=CfD_Expiry_Date,W142=0,W141&lt;Inputs_Assumptions!$E$188-0.001),MAX(W103,0),0)</f>
        <v>0</v>
      </c>
      <c r="X143" s="119">
        <f ca="1">IF(AND(X56&gt;Debt_Refinance_Date,X56&lt;=CfD_Expiry_Date,X142=0,X141&lt;Inputs_Assumptions!$E$188-0.001),MAX(X103,0),0)</f>
        <v>0</v>
      </c>
      <c r="Y143" s="119">
        <f ca="1">IF(AND(Y56&gt;Debt_Refinance_Date,Y56&lt;=CfD_Expiry_Date,Y142=0,Y141&lt;Inputs_Assumptions!$E$188-0.001),MAX(Y103,0),0)</f>
        <v>0</v>
      </c>
      <c r="Z143" s="119">
        <f ca="1">IF(AND(Z56&gt;Debt_Refinance_Date,Z56&lt;=CfD_Expiry_Date,Z142=0,Z141&lt;Inputs_Assumptions!$E$188-0.001),MAX(Z103,0),0)</f>
        <v>0</v>
      </c>
      <c r="AA143" s="119">
        <f ca="1">IF(AND(AA56&gt;Debt_Refinance_Date,AA56&lt;=CfD_Expiry_Date,AA142=0,AA141&lt;Inputs_Assumptions!$E$188-0.001),MAX(AA103,0),0)</f>
        <v>0</v>
      </c>
      <c r="AB143" s="119">
        <f ca="1">IF(AND(AB56&gt;Debt_Refinance_Date,AB56&lt;=CfD_Expiry_Date,AB142=0,AB141&lt;Inputs_Assumptions!$E$188-0.001),MAX(AB103,0),0)</f>
        <v>0</v>
      </c>
      <c r="AC143" s="119">
        <f ca="1">IF(AND(AC56&gt;Debt_Refinance_Date,AC56&lt;=CfD_Expiry_Date,AC142=0,AC141&lt;Inputs_Assumptions!$E$188-0.001),MAX(AC103,0),0)</f>
        <v>0</v>
      </c>
      <c r="AD143" s="119">
        <f ca="1">IF(AND(AD56&gt;Debt_Refinance_Date,AD56&lt;=CfD_Expiry_Date,AD142=0,AD141&lt;Inputs_Assumptions!$E$188-0.001),MAX(AD103,0),0)</f>
        <v>0</v>
      </c>
      <c r="AE143" s="119">
        <f ca="1">IF(AND(AE56&gt;Debt_Refinance_Date,AE56&lt;=CfD_Expiry_Date,AE142=0,AE141&lt;Inputs_Assumptions!$E$188-0.001),MAX(AE103,0),0)</f>
        <v>0</v>
      </c>
      <c r="AF143" s="119">
        <f ca="1">IF(AND(AF56&gt;Debt_Refinance_Date,AF56&lt;=CfD_Expiry_Date,AF142=0,AF141&lt;Inputs_Assumptions!$E$188-0.001),MAX(AF103,0),0)</f>
        <v>0</v>
      </c>
      <c r="AG143" s="119">
        <f ca="1">IF(AND(AG56&gt;Debt_Refinance_Date,AG56&lt;=CfD_Expiry_Date,AG142=0,AG141&lt;Inputs_Assumptions!$E$188-0.001),MAX(AG103,0),0)</f>
        <v>0</v>
      </c>
      <c r="AH143" s="119">
        <f ca="1">IF(AND(AH56&gt;Debt_Refinance_Date,AH56&lt;=CfD_Expiry_Date,AH142=0,AH141&lt;Inputs_Assumptions!$E$188-0.001),MAX(AH103,0),0)</f>
        <v>0</v>
      </c>
      <c r="AI143" s="119">
        <f ca="1">IF(AND(AI56&gt;Debt_Refinance_Date,AI56&lt;=CfD_Expiry_Date,AI142=0,AI141&lt;Inputs_Assumptions!$E$188-0.001),MAX(AI103,0),0)</f>
        <v>0</v>
      </c>
      <c r="AJ143" s="119">
        <f ca="1">IF(AND(AJ56&gt;Debt_Refinance_Date,AJ56&lt;=CfD_Expiry_Date,AJ142=0,AJ141&lt;Inputs_Assumptions!$E$188-0.001),MAX(AJ103,0),0)</f>
        <v>0</v>
      </c>
      <c r="AK143" s="119">
        <f ca="1">IF(AND(AK56&gt;Debt_Refinance_Date,AK56&lt;=CfD_Expiry_Date,AK142=0,AK141&lt;Inputs_Assumptions!$E$188-0.001),MAX(AK103,0),0)</f>
        <v>0</v>
      </c>
      <c r="AL143" s="119">
        <f ca="1">IF(AND(AL56&gt;Debt_Refinance_Date,AL56&lt;=CfD_Expiry_Date,AL142=0,AL141&lt;Inputs_Assumptions!$E$188-0.001),MAX(AL103,0),0)</f>
        <v>0</v>
      </c>
      <c r="AM143" s="119">
        <f ca="1">IF(AND(AM56&gt;Debt_Refinance_Date,AM56&lt;=CfD_Expiry_Date,AM142=0,AM141&lt;Inputs_Assumptions!$E$188-0.001),MAX(AM103,0),0)</f>
        <v>0</v>
      </c>
      <c r="AN143" s="119">
        <f ca="1">IF(AND(AN56&gt;Debt_Refinance_Date,AN56&lt;=CfD_Expiry_Date,AN142=0,AN141&lt;Inputs_Assumptions!$E$188-0.001),MAX(AN103,0),0)</f>
        <v>0</v>
      </c>
      <c r="AO143" s="119">
        <f ca="1">IF(AND(AO56&gt;Debt_Refinance_Date,AO56&lt;=CfD_Expiry_Date,AO142=0,AO141&lt;Inputs_Assumptions!$E$188-0.001),MAX(AO103,0),0)</f>
        <v>0</v>
      </c>
      <c r="AP143" s="119">
        <f ca="1">IF(AND(AP56&gt;Debt_Refinance_Date,AP56&lt;=CfD_Expiry_Date,AP142=0,AP141&lt;Inputs_Assumptions!$E$188-0.001),MAX(AP103,0),0)</f>
        <v>0</v>
      </c>
      <c r="AQ143" s="119">
        <f ca="1">IF(AND(AQ56&gt;Debt_Refinance_Date,AQ56&lt;=CfD_Expiry_Date,AQ142=0,AQ141&lt;Inputs_Assumptions!$E$188-0.001),MAX(AQ103,0),0)</f>
        <v>0</v>
      </c>
      <c r="AR143" s="119">
        <f ca="1">IF(AND(AR56&gt;Debt_Refinance_Date,AR56&lt;=CfD_Expiry_Date,AR142=0,AR141&lt;Inputs_Assumptions!$E$188-0.001),MAX(AR103,0),0)</f>
        <v>0</v>
      </c>
      <c r="AS143" s="119">
        <f ca="1">IF(AND(AS56&gt;Debt_Refinance_Date,AS56&lt;=CfD_Expiry_Date,AS142=0,AS141&lt;Inputs_Assumptions!$E$188-0.001),MAX(AS103,0),0)</f>
        <v>0</v>
      </c>
      <c r="AT143" s="119">
        <f ca="1">IF(AND(AT56&gt;Debt_Refinance_Date,AT56&lt;=CfD_Expiry_Date,AT142=0,AT141&lt;Inputs_Assumptions!$E$188-0.001),MAX(AT103,0),0)</f>
        <v>0</v>
      </c>
      <c r="AU143" s="119">
        <f ca="1">IF(AND(AU56&gt;Debt_Refinance_Date,AU56&lt;=CfD_Expiry_Date,AU142=0,AU141&lt;Inputs_Assumptions!$E$188-0.001),MAX(AU103,0),0)</f>
        <v>0</v>
      </c>
      <c r="AV143" s="119">
        <f ca="1">IF(AND(AV56&gt;Debt_Refinance_Date,AV56&lt;=CfD_Expiry_Date,AV142=0,AV141&lt;Inputs_Assumptions!$E$188-0.001),MAX(AV103,0),0)</f>
        <v>0</v>
      </c>
      <c r="AW143" s="119">
        <f ca="1">IF(AND(AW56&gt;Debt_Refinance_Date,AW56&lt;=CfD_Expiry_Date,AW142=0,AW141&lt;Inputs_Assumptions!$E$188-0.001),MAX(AW103,0),0)</f>
        <v>0</v>
      </c>
      <c r="AX143" s="119">
        <f ca="1">IF(AND(AX56&gt;Debt_Refinance_Date,AX56&lt;=CfD_Expiry_Date,AX142=0,AX141&lt;Inputs_Assumptions!$E$188-0.001),MAX(AX103,0),0)</f>
        <v>0</v>
      </c>
      <c r="AY143" s="119">
        <f ca="1">IF(AND(AY56&gt;Debt_Refinance_Date,AY56&lt;=CfD_Expiry_Date,AY142=0,AY141&lt;Inputs_Assumptions!$E$188-0.001),MAX(AY103,0),0)</f>
        <v>0</v>
      </c>
      <c r="AZ143" s="119">
        <f ca="1">IF(AND(AZ56&gt;Debt_Refinance_Date,AZ56&lt;=CfD_Expiry_Date,AZ142=0,AZ141&lt;Inputs_Assumptions!$E$188-0.001),MAX(AZ103,0),0)</f>
        <v>0</v>
      </c>
      <c r="BA143" s="119">
        <f ca="1">IF(AND(BA56&gt;Debt_Refinance_Date,BA56&lt;=CfD_Expiry_Date,BA142=0,BA141&lt;Inputs_Assumptions!$E$188-0.001),MAX(BA103,0),0)</f>
        <v>0</v>
      </c>
      <c r="BB143" s="119">
        <f ca="1">IF(AND(BB56&gt;Debt_Refinance_Date,BB56&lt;=CfD_Expiry_Date,BB142=0,BB141&lt;Inputs_Assumptions!$E$188-0.001),MAX(BB103,0),0)</f>
        <v>0</v>
      </c>
      <c r="BC143" s="119">
        <f ca="1">IF(AND(BC56&gt;Debt_Refinance_Date,BC56&lt;=CfD_Expiry_Date,BC142=0,BC141&lt;Inputs_Assumptions!$E$188-0.001),MAX(BC103,0),0)</f>
        <v>0</v>
      </c>
      <c r="BD143" s="119">
        <f ca="1">IF(AND(BD56&gt;Debt_Refinance_Date,BD56&lt;=CfD_Expiry_Date,BD142=0,BD141&lt;Inputs_Assumptions!$E$188-0.001),MAX(BD103,0),0)</f>
        <v>0</v>
      </c>
      <c r="BE143" s="119">
        <f ca="1">IF(AND(BE56&gt;Debt_Refinance_Date,BE56&lt;=CfD_Expiry_Date,BE142=0,BE141&lt;Inputs_Assumptions!$E$188-0.001),MAX(BE103,0),0)</f>
        <v>0</v>
      </c>
      <c r="BF143" s="119">
        <f ca="1">IF(AND(BF56&gt;Debt_Refinance_Date,BF56&lt;=CfD_Expiry_Date,BF142=0,BF141&lt;Inputs_Assumptions!$E$188-0.001),MAX(BF103,0),0)</f>
        <v>0</v>
      </c>
      <c r="BG143" s="119">
        <f ca="1">IF(AND(BG56&gt;Debt_Refinance_Date,BG56&lt;=CfD_Expiry_Date,BG142=0,BG141&lt;Inputs_Assumptions!$E$188-0.001),MAX(BG103,0),0)</f>
        <v>0</v>
      </c>
      <c r="BH143" s="119">
        <f ca="1">IF(AND(BH56&gt;Debt_Refinance_Date,BH56&lt;=CfD_Expiry_Date,BH142=0,BH141&lt;Inputs_Assumptions!$E$188-0.001),MAX(BH103,0),0)</f>
        <v>0</v>
      </c>
      <c r="BI143" s="119">
        <f ca="1">IF(AND(BI56&gt;Debt_Refinance_Date,BI56&lt;=CfD_Expiry_Date,BI142=0,BI141&lt;Inputs_Assumptions!$E$188-0.001),MAX(BI103,0),0)</f>
        <v>0</v>
      </c>
      <c r="BJ143" s="119">
        <f ca="1">IF(AND(BJ56&gt;Debt_Refinance_Date,BJ56&lt;=CfD_Expiry_Date,BJ142=0,BJ141&lt;Inputs_Assumptions!$E$188-0.001),MAX(BJ103,0),0)</f>
        <v>0</v>
      </c>
      <c r="BK143" s="119">
        <f ca="1">IF(AND(BK56&gt;Debt_Refinance_Date,BK56&lt;=CfD_Expiry_Date,BK142=0,BK141&lt;Inputs_Assumptions!$E$188-0.001),MAX(BK103,0),0)</f>
        <v>0</v>
      </c>
      <c r="BL143" s="119">
        <f ca="1">IF(AND(BL56&gt;Debt_Refinance_Date,BL56&lt;=CfD_Expiry_Date,BL142=0,BL141&lt;Inputs_Assumptions!$E$188-0.001),MAX(BL103,0),0)</f>
        <v>0</v>
      </c>
      <c r="BM143" s="119">
        <f ca="1">IF(AND(BM56&gt;Debt_Refinance_Date,BM56&lt;=CfD_Expiry_Date,BM142=0,BM141&lt;Inputs_Assumptions!$E$188-0.001),MAX(BM103,0),0)</f>
        <v>0</v>
      </c>
      <c r="BN143" s="119">
        <f ca="1">IF(AND(BN56&gt;Debt_Refinance_Date,BN56&lt;=CfD_Expiry_Date,BN142=0,BN141&lt;Inputs_Assumptions!$E$188-0.001),MAX(BN103,0),0)</f>
        <v>0</v>
      </c>
      <c r="BO143" s="119">
        <f ca="1">IF(AND(BO56&gt;Debt_Refinance_Date,BO56&lt;=CfD_Expiry_Date,BO142=0,BO141&lt;Inputs_Assumptions!$E$188-0.001),MAX(BO103,0),0)</f>
        <v>0</v>
      </c>
      <c r="BP143" s="119">
        <f ca="1">IF(AND(BP56&gt;Debt_Refinance_Date,BP56&lt;=CfD_Expiry_Date,BP142=0,BP141&lt;Inputs_Assumptions!$E$188-0.001),MAX(BP103,0),0)</f>
        <v>0</v>
      </c>
      <c r="BQ143" s="119">
        <f ca="1">IF(AND(BQ56&gt;Debt_Refinance_Date,BQ56&lt;=CfD_Expiry_Date,BQ142=0,BQ141&lt;Inputs_Assumptions!$E$188-0.001),MAX(BQ103,0),0)</f>
        <v>0</v>
      </c>
      <c r="BR143" s="119">
        <f ca="1">IF(AND(BR56&gt;Debt_Refinance_Date,BR56&lt;=CfD_Expiry_Date,BR142=0,BR141&lt;Inputs_Assumptions!$E$188-0.001),MAX(BR103,0),0)</f>
        <v>0</v>
      </c>
      <c r="BS143" s="119">
        <f ca="1">IF(AND(BS56&gt;Debt_Refinance_Date,BS56&lt;=CfD_Expiry_Date,BS142=0,BS141&lt;Inputs_Assumptions!$E$188-0.001),MAX(BS103,0),0)</f>
        <v>0</v>
      </c>
      <c r="BT143" s="119">
        <f ca="1">IF(AND(BT56&gt;Debt_Refinance_Date,BT56&lt;=CfD_Expiry_Date,BT142=0,BT141&lt;Inputs_Assumptions!$E$188-0.001),MAX(BT103,0),0)</f>
        <v>0</v>
      </c>
      <c r="BU143" s="119">
        <f ca="1">IF(AND(BU56&gt;Debt_Refinance_Date,BU56&lt;=CfD_Expiry_Date,BU142=0,BU141&lt;Inputs_Assumptions!$E$188-0.001),MAX(BU103,0),0)</f>
        <v>0</v>
      </c>
      <c r="BV143" s="119">
        <f ca="1">IF(AND(BV56&gt;Debt_Refinance_Date,BV56&lt;=CfD_Expiry_Date,BV142=0,BV141&lt;Inputs_Assumptions!$E$188-0.001),MAX(BV103,0),0)</f>
        <v>0</v>
      </c>
      <c r="BW143" s="119">
        <f ca="1">IF(AND(BW56&gt;Debt_Refinance_Date,BW56&lt;=CfD_Expiry_Date,BW142=0,BW141&lt;Inputs_Assumptions!$E$188-0.001),MAX(BW103,0),0)</f>
        <v>0</v>
      </c>
      <c r="BX143" s="119">
        <f ca="1">IF(AND(BX56&gt;Debt_Refinance_Date,BX56&lt;=CfD_Expiry_Date,BX142=0,BX141&lt;Inputs_Assumptions!$E$188-0.001),MAX(BX103,0),0)</f>
        <v>0</v>
      </c>
      <c r="BY143" s="119">
        <f ca="1">IF(AND(BY56&gt;Debt_Refinance_Date,BY56&lt;=CfD_Expiry_Date,BY142=0,BY141&lt;Inputs_Assumptions!$E$188-0.001),MAX(BY103,0),0)</f>
        <v>0</v>
      </c>
      <c r="BZ143" s="119">
        <f ca="1">IF(AND(BZ56&gt;Debt_Refinance_Date,BZ56&lt;=CfD_Expiry_Date,BZ142=0,BZ141&lt;Inputs_Assumptions!$E$188-0.001),MAX(BZ103,0),0)</f>
        <v>0</v>
      </c>
      <c r="CA143" s="119">
        <f ca="1">IF(AND(CA56&gt;Debt_Refinance_Date,CA56&lt;=CfD_Expiry_Date,CA142=0,CA141&lt;Inputs_Assumptions!$E$188-0.001),MAX(CA103,0),0)</f>
        <v>0</v>
      </c>
      <c r="CB143" s="119">
        <f ca="1">IF(AND(CB56&gt;Debt_Refinance_Date,CB56&lt;=CfD_Expiry_Date,CB142=0,CB141&lt;Inputs_Assumptions!$E$188-0.001),MAX(CB103,0),0)</f>
        <v>0</v>
      </c>
      <c r="CC143" s="119">
        <f ca="1">IF(AND(CC56&gt;Debt_Refinance_Date,CC56&lt;=CfD_Expiry_Date,CC142=0,CC141&lt;Inputs_Assumptions!$E$188-0.001),MAX(CC103,0),0)</f>
        <v>0</v>
      </c>
      <c r="CD143" s="119">
        <f ca="1">IF(AND(CD56&gt;Debt_Refinance_Date,CD56&lt;=CfD_Expiry_Date,CD142=0,CD141&lt;Inputs_Assumptions!$E$188-0.001),MAX(CD103,0),0)</f>
        <v>0</v>
      </c>
      <c r="CE143" s="119">
        <f ca="1">IF(AND(CE56&gt;Debt_Refinance_Date,CE56&lt;=CfD_Expiry_Date,CE142=0,CE141&lt;Inputs_Assumptions!$E$188-0.001),MAX(CE103,0),0)</f>
        <v>0</v>
      </c>
      <c r="CF143" s="119">
        <f ca="1">IF(AND(CF56&gt;Debt_Refinance_Date,CF56&lt;=CfD_Expiry_Date,CF142=0,CF141&lt;Inputs_Assumptions!$E$188-0.001),MAX(CF103,0),0)</f>
        <v>0</v>
      </c>
      <c r="CG143" s="119">
        <f ca="1">IF(AND(CG56&gt;Debt_Refinance_Date,CG56&lt;=CfD_Expiry_Date,CG142=0,CG141&lt;Inputs_Assumptions!$E$188-0.001),MAX(CG103,0),0)</f>
        <v>0</v>
      </c>
      <c r="CH143" s="119">
        <f ca="1">IF(AND(CH56&gt;Debt_Refinance_Date,CH56&lt;=CfD_Expiry_Date,CH142=0,CH141&lt;Inputs_Assumptions!$E$188-0.001),MAX(CH103,0),0)</f>
        <v>0</v>
      </c>
      <c r="CI143" s="119">
        <f ca="1">IF(AND(CI56&gt;Debt_Refinance_Date,CI56&lt;=CfD_Expiry_Date,CI142=0,CI141&lt;Inputs_Assumptions!$E$188-0.001),MAX(CI103,0),0)</f>
        <v>0</v>
      </c>
      <c r="CJ143" s="119">
        <f ca="1">IF(AND(CJ56&gt;Debt_Refinance_Date,CJ56&lt;=CfD_Expiry_Date,CJ142=0,CJ141&lt;Inputs_Assumptions!$E$188-0.001),MAX(CJ103,0),0)</f>
        <v>0</v>
      </c>
      <c r="CK143" s="119">
        <f ca="1">IF(AND(CK56&gt;Debt_Refinance_Date,CK56&lt;=CfD_Expiry_Date,CK142=0,CK141&lt;Inputs_Assumptions!$E$188-0.001),MAX(CK103,0),0)</f>
        <v>0</v>
      </c>
      <c r="CL143" s="119">
        <f ca="1">IF(AND(CL56&gt;Debt_Refinance_Date,CL56&lt;=CfD_Expiry_Date,CL142=0,CL141&lt;Inputs_Assumptions!$E$188-0.001),MAX(CL103,0),0)</f>
        <v>0</v>
      </c>
      <c r="CM143" s="119">
        <f ca="1">IF(AND(CM56&gt;Debt_Refinance_Date,CM56&lt;=CfD_Expiry_Date,CM142=0,CM141&lt;Inputs_Assumptions!$E$188-0.001),MAX(CM103,0),0)</f>
        <v>0</v>
      </c>
      <c r="CN143" s="119">
        <f ca="1">IF(AND(CN56&gt;Debt_Refinance_Date,CN56&lt;=CfD_Expiry_Date,CN142=0,CN141&lt;Inputs_Assumptions!$E$188-0.001),MAX(CN103,0),0)</f>
        <v>0</v>
      </c>
      <c r="CO143" s="119">
        <f ca="1">IF(AND(CO56&gt;Debt_Refinance_Date,CO56&lt;=CfD_Expiry_Date,CO142=0,CO141&lt;Inputs_Assumptions!$E$188-0.001),MAX(CO103,0),0)</f>
        <v>0</v>
      </c>
      <c r="CP143" s="119">
        <f ca="1">IF(AND(CP56&gt;Debt_Refinance_Date,CP56&lt;=CfD_Expiry_Date,CP142=0,CP141&lt;Inputs_Assumptions!$E$188-0.001),MAX(CP103,0),0)</f>
        <v>0</v>
      </c>
      <c r="CQ143" s="119">
        <f ca="1">IF(AND(CQ56&gt;Debt_Refinance_Date,CQ56&lt;=CfD_Expiry_Date,CQ142=0,CQ141&lt;Inputs_Assumptions!$E$188-0.001),MAX(CQ103,0),0)</f>
        <v>0</v>
      </c>
      <c r="CR143" s="119">
        <f ca="1">IF(AND(CR56&gt;Debt_Refinance_Date,CR56&lt;=CfD_Expiry_Date,CR142=0,CR141&lt;Inputs_Assumptions!$E$188-0.001),MAX(CR103,0),0)</f>
        <v>0</v>
      </c>
      <c r="CS143" s="119">
        <f ca="1">IF(AND(CS56&gt;Debt_Refinance_Date,CS56&lt;=CfD_Expiry_Date,CS142=0,CS141&lt;Inputs_Assumptions!$E$188-0.001),MAX(CS103,0),0)</f>
        <v>0</v>
      </c>
      <c r="CT143" s="119">
        <f ca="1">IF(AND(CT56&gt;Debt_Refinance_Date,CT56&lt;=CfD_Expiry_Date,CT142=0,CT141&lt;Inputs_Assumptions!$E$188-0.001),MAX(CT103,0),0)</f>
        <v>0</v>
      </c>
      <c r="CU143" s="266">
        <f ca="1">IF(AND(CU56&gt;Debt_Refinance_Date,CU56&lt;=CfD_Expiry_Date,CU142=0,CU141&lt;Inputs_Assumptions!$E$188-0.001),MAX(CU103,0),0)</f>
        <v>0</v>
      </c>
      <c r="CV143" s="119">
        <f>IF(AND(CV56&gt;Debt_Refinance_Date,CV56&lt;=CfD_Expiry_Date,CV142=0,CV141&lt;Inputs_Assumptions!$E$188-0.001),MAX(CV103,0),0)</f>
        <v>0</v>
      </c>
      <c r="CW143" s="119">
        <f>IF(AND(CW56&gt;Debt_Refinance_Date,CW56&lt;=CfD_Expiry_Date,CW142=0,CW141&lt;Inputs_Assumptions!$E$188-0.001),MAX(CW103,0),0)</f>
        <v>0</v>
      </c>
      <c r="CX143" s="119">
        <f>IF(AND(CX56&gt;Debt_Refinance_Date,CX56&lt;=CfD_Expiry_Date,CX142=0,CX141&lt;Inputs_Assumptions!$E$188-0.001),MAX(CX103,0),0)</f>
        <v>0</v>
      </c>
      <c r="CY143" s="119">
        <f>IF(AND(CY56&gt;Debt_Refinance_Date,CY56&lt;=CfD_Expiry_Date,CY142=0,CY141&lt;Inputs_Assumptions!$E$188-0.001),MAX(CY103,0),0)</f>
        <v>0</v>
      </c>
      <c r="CZ143" s="119">
        <f>IF(AND(CZ56&gt;Debt_Refinance_Date,CZ56&lt;=CfD_Expiry_Date,CZ142=0,CZ141&lt;Inputs_Assumptions!$E$188-0.001),MAX(CZ103,0),0)</f>
        <v>0</v>
      </c>
      <c r="DA143" s="119">
        <f>IF(AND(DA56&gt;Debt_Refinance_Date,DA56&lt;=CfD_Expiry_Date,DA142=0,DA141&lt;Inputs_Assumptions!$E$188-0.001),MAX(DA103,0),0)</f>
        <v>0</v>
      </c>
      <c r="DB143" s="119">
        <f>IF(AND(DB56&gt;Debt_Refinance_Date,DB56&lt;=CfD_Expiry_Date,DB142=0,DB141&lt;Inputs_Assumptions!$E$188-0.001),MAX(DB103,0),0)</f>
        <v>0</v>
      </c>
      <c r="DC143" s="119">
        <f>IF(AND(DC56&gt;Debt_Refinance_Date,DC56&lt;=CfD_Expiry_Date,DC142=0,DC141&lt;Inputs_Assumptions!$E$188-0.001),MAX(DC103,0),0)</f>
        <v>0</v>
      </c>
      <c r="DD143" s="119">
        <f>IF(AND(DD56&gt;Debt_Refinance_Date,DD56&lt;=CfD_Expiry_Date,DD142=0,DD141&lt;Inputs_Assumptions!$E$188-0.001),MAX(DD103,0),0)</f>
        <v>0</v>
      </c>
      <c r="DE143" s="119">
        <f>IF(AND(DE56&gt;Debt_Refinance_Date,DE56&lt;=CfD_Expiry_Date,DE142=0,DE141&lt;Inputs_Assumptions!$E$188-0.001),MAX(DE103,0),0)</f>
        <v>0</v>
      </c>
      <c r="DF143" s="119">
        <f>IF(AND(DF56&gt;Debt_Refinance_Date,DF56&lt;=CfD_Expiry_Date,DF142=0,DF141&lt;Inputs_Assumptions!$E$188-0.001),MAX(DF103,0),0)</f>
        <v>0</v>
      </c>
      <c r="DG143" s="119">
        <f>IF(AND(DG56&gt;Debt_Refinance_Date,DG56&lt;=CfD_Expiry_Date,DG142=0,DG141&lt;Inputs_Assumptions!$E$188-0.001),MAX(DG103,0),0)</f>
        <v>0</v>
      </c>
      <c r="DH143" s="119">
        <f>IF(AND(DH56&gt;Debt_Refinance_Date,DH56&lt;=CfD_Expiry_Date,DH142=0,DH141&lt;Inputs_Assumptions!$E$188-0.001),MAX(DH103,0),0)</f>
        <v>0</v>
      </c>
      <c r="DI143" s="119">
        <f>IF(AND(DI56&gt;Debt_Refinance_Date,DI56&lt;=CfD_Expiry_Date,DI142=0,DI141&lt;Inputs_Assumptions!$E$188-0.001),MAX(DI103,0),0)</f>
        <v>0</v>
      </c>
      <c r="DJ143" s="119">
        <f>IF(AND(DJ56&gt;Debt_Refinance_Date,DJ56&lt;=CfD_Expiry_Date,DJ142=0,DJ141&lt;Inputs_Assumptions!$E$188-0.001),MAX(DJ103,0),0)</f>
        <v>0</v>
      </c>
      <c r="DK143" s="119">
        <f>IF(AND(DK56&gt;Debt_Refinance_Date,DK56&lt;=CfD_Expiry_Date,DK142=0,DK141&lt;Inputs_Assumptions!$E$188-0.001),MAX(DK103,0),0)</f>
        <v>0</v>
      </c>
      <c r="DL143" s="119">
        <f>IF(AND(DL56&gt;Debt_Refinance_Date,DL56&lt;=CfD_Expiry_Date,DL142=0,DL141&lt;Inputs_Assumptions!$E$188-0.001),MAX(DL103,0),0)</f>
        <v>0</v>
      </c>
      <c r="DM143" s="119">
        <f>IF(AND(DM56&gt;Debt_Refinance_Date,DM56&lt;=CfD_Expiry_Date,DM142=0,DM141&lt;Inputs_Assumptions!$E$188-0.001),MAX(DM103,0),0)</f>
        <v>0</v>
      </c>
      <c r="DN143" s="119">
        <f>IF(AND(DN56&gt;Debt_Refinance_Date,DN56&lt;=CfD_Expiry_Date,DN142=0,DN141&lt;Inputs_Assumptions!$E$188-0.001),MAX(DN103,0),0)</f>
        <v>0</v>
      </c>
      <c r="DO143" s="119">
        <f>IF(AND(DO56&gt;Debt_Refinance_Date,DO56&lt;=CfD_Expiry_Date,DO142=0,DO141&lt;Inputs_Assumptions!$E$188-0.001),MAX(DO103,0),0)</f>
        <v>0</v>
      </c>
      <c r="DP143" s="119">
        <f>IF(AND(DP56&gt;Debt_Refinance_Date,DP56&lt;=CfD_Expiry_Date,DP142=0,DP141&lt;Inputs_Assumptions!$E$188-0.001),MAX(DP103,0),0)</f>
        <v>0</v>
      </c>
      <c r="DQ143" s="119">
        <f>IF(AND(DQ56&gt;Debt_Refinance_Date,DQ56&lt;=CfD_Expiry_Date,DQ142=0,DQ141&lt;Inputs_Assumptions!$E$188-0.001),MAX(DQ103,0),0)</f>
        <v>0</v>
      </c>
      <c r="DR143" s="119">
        <f>IF(AND(DR56&gt;Debt_Refinance_Date,DR56&lt;=CfD_Expiry_Date,DR142=0,DR141&lt;Inputs_Assumptions!$E$188-0.001),MAX(DR103,0),0)</f>
        <v>0</v>
      </c>
      <c r="DS143" s="119">
        <f>IF(AND(DS56&gt;Debt_Refinance_Date,DS56&lt;=CfD_Expiry_Date,DS142=0,DS141&lt;Inputs_Assumptions!$E$188-0.001),MAX(DS103,0),0)</f>
        <v>0</v>
      </c>
      <c r="DT143" s="119">
        <f>IF(AND(DT56&gt;Debt_Refinance_Date,DT56&lt;=CfD_Expiry_Date,DT142=0,DT141&lt;Inputs_Assumptions!$E$188-0.001),MAX(DT103,0),0)</f>
        <v>0</v>
      </c>
      <c r="DU143" s="119">
        <f>IF(AND(DU56&gt;Debt_Refinance_Date,DU56&lt;=CfD_Expiry_Date,DU142=0,DU141&lt;Inputs_Assumptions!$E$188-0.001),MAX(DU103,0),0)</f>
        <v>0</v>
      </c>
      <c r="DV143" s="119">
        <f>IF(AND(DV56&gt;Debt_Refinance_Date,DV56&lt;=CfD_Expiry_Date,DV142=0,DV141&lt;Inputs_Assumptions!$E$188-0.001),MAX(DV103,0),0)</f>
        <v>0</v>
      </c>
      <c r="DW143" s="119">
        <f>IF(AND(DW56&gt;Debt_Refinance_Date,DW56&lt;=CfD_Expiry_Date,DW142=0,DW141&lt;Inputs_Assumptions!$E$188-0.001),MAX(DW103,0),0)</f>
        <v>0</v>
      </c>
      <c r="DX143" s="119">
        <f>IF(AND(DX56&gt;Debt_Refinance_Date,DX56&lt;=CfD_Expiry_Date,DX142=0,DX141&lt;Inputs_Assumptions!$E$188-0.001),MAX(DX103,0),0)</f>
        <v>0</v>
      </c>
      <c r="DY143" s="119">
        <f>IF(AND(DY56&gt;Debt_Refinance_Date,DY56&lt;=CfD_Expiry_Date,DY142=0,DY141&lt;Inputs_Assumptions!$E$188-0.001),MAX(DY103,0),0)</f>
        <v>0</v>
      </c>
      <c r="DZ143" s="119">
        <f>IF(AND(DZ56&gt;Debt_Refinance_Date,DZ56&lt;=CfD_Expiry_Date,DZ142=0,DZ141&lt;Inputs_Assumptions!$E$188-0.001),MAX(DZ103,0),0)</f>
        <v>0</v>
      </c>
      <c r="EA143" s="119">
        <f>IF(AND(EA56&gt;Debt_Refinance_Date,EA56&lt;=CfD_Expiry_Date,EA142=0,EA141&lt;Inputs_Assumptions!$E$188-0.001),MAX(EA103,0),0)</f>
        <v>0</v>
      </c>
      <c r="EB143" s="119">
        <f>IF(AND(EB56&gt;Debt_Refinance_Date,EB56&lt;=CfD_Expiry_Date,EB142=0,EB141&lt;Inputs_Assumptions!$E$188-0.001),MAX(EB103,0),0)</f>
        <v>0</v>
      </c>
      <c r="EC143" s="119">
        <f>IF(AND(EC56&gt;Debt_Refinance_Date,EC56&lt;=CfD_Expiry_Date,EC142=0,EC141&lt;Inputs_Assumptions!$E$188-0.001),MAX(EC103,0),0)</f>
        <v>0</v>
      </c>
      <c r="ED143" s="119">
        <f>IF(AND(ED56&gt;Debt_Refinance_Date,ED56&lt;=CfD_Expiry_Date,ED142=0,ED141&lt;Inputs_Assumptions!$E$188-0.001),MAX(ED103,0),0)</f>
        <v>0</v>
      </c>
      <c r="EE143" s="119">
        <f>IF(AND(EE56&gt;Debt_Refinance_Date,EE56&lt;=CfD_Expiry_Date,EE142=0,EE141&lt;Inputs_Assumptions!$E$188-0.001),MAX(EE103,0),0)</f>
        <v>0</v>
      </c>
      <c r="EF143" s="119">
        <f>IF(AND(EF56&gt;Debt_Refinance_Date,EF56&lt;=CfD_Expiry_Date,EF142=0,EF141&lt;Inputs_Assumptions!$E$188-0.001),MAX(EF103,0),0)</f>
        <v>0</v>
      </c>
      <c r="EG143" s="119">
        <f>IF(AND(EG56&gt;Debt_Refinance_Date,EG56&lt;=CfD_Expiry_Date,EG142=0,EG141&lt;Inputs_Assumptions!$E$188-0.001),MAX(EG103,0),0)</f>
        <v>0</v>
      </c>
      <c r="EH143" s="119">
        <f>IF(AND(EH56&gt;Debt_Refinance_Date,EH56&lt;=CfD_Expiry_Date,EH142=0,EH141&lt;Inputs_Assumptions!$E$188-0.001),MAX(EH103,0),0)</f>
        <v>0</v>
      </c>
      <c r="EI143" s="119">
        <f>IF(AND(EI56&gt;Debt_Refinance_Date,EI56&lt;=CfD_Expiry_Date,EI142=0,EI141&lt;Inputs_Assumptions!$E$188-0.001),MAX(EI103,0),0)</f>
        <v>0</v>
      </c>
      <c r="EJ143" s="119">
        <f>IF(AND(EJ56&gt;Debt_Refinance_Date,EJ56&lt;=CfD_Expiry_Date,EJ142=0,EJ141&lt;Inputs_Assumptions!$E$188-0.001),MAX(EJ103,0),0)</f>
        <v>0</v>
      </c>
      <c r="EK143" s="119">
        <f>IF(AND(EK56&gt;Debt_Refinance_Date,EK56&lt;=CfD_Expiry_Date,EK142=0,EK141&lt;Inputs_Assumptions!$E$188-0.001),MAX(EK103,0),0)</f>
        <v>0</v>
      </c>
      <c r="EL143" s="119">
        <f>IF(AND(EL56&gt;Debt_Refinance_Date,EL56&lt;=CfD_Expiry_Date,EL142=0,EL141&lt;Inputs_Assumptions!$E$188-0.001),MAX(EL103,0),0)</f>
        <v>0</v>
      </c>
      <c r="EM143" s="119">
        <f>IF(AND(EM56&gt;Debt_Refinance_Date,EM56&lt;=CfD_Expiry_Date,EM142=0,EM141&lt;Inputs_Assumptions!$E$188-0.001),MAX(EM103,0),0)</f>
        <v>0</v>
      </c>
      <c r="EN143" s="119">
        <f>IF(AND(EN56&gt;Debt_Refinance_Date,EN56&lt;=CfD_Expiry_Date,EN142=0,EN141&lt;Inputs_Assumptions!$E$188-0.001),MAX(EN103,0),0)</f>
        <v>0</v>
      </c>
      <c r="EO143" s="119">
        <f>IF(AND(EO56&gt;Debt_Refinance_Date,EO56&lt;=CfD_Expiry_Date,EO142=0,EO141&lt;Inputs_Assumptions!$E$188-0.001),MAX(EO103,0),0)</f>
        <v>0</v>
      </c>
      <c r="EP143" s="119">
        <f>IF(AND(EP56&gt;Debt_Refinance_Date,EP56&lt;=CfD_Expiry_Date,EP142=0,EP141&lt;Inputs_Assumptions!$E$188-0.001),MAX(EP103,0),0)</f>
        <v>0</v>
      </c>
      <c r="EQ143" s="119">
        <f>IF(AND(EQ56&gt;Debt_Refinance_Date,EQ56&lt;=CfD_Expiry_Date,EQ142=0,EQ141&lt;Inputs_Assumptions!$E$188-0.001),MAX(EQ103,0),0)</f>
        <v>0</v>
      </c>
      <c r="ER143" s="119">
        <f>IF(AND(ER56&gt;Debt_Refinance_Date,ER56&lt;=CfD_Expiry_Date,ER142=0,ER141&lt;Inputs_Assumptions!$E$188-0.001),MAX(ER103,0),0)</f>
        <v>0</v>
      </c>
      <c r="ES143" s="119">
        <f>IF(AND(ES56&gt;Debt_Refinance_Date,ES56&lt;=CfD_Expiry_Date,ES142=0,ES141&lt;Inputs_Assumptions!$E$188-0.001),MAX(ES103,0),0)</f>
        <v>0</v>
      </c>
      <c r="ET143" s="119">
        <f>IF(AND(ET56&gt;Debt_Refinance_Date,ET56&lt;=CfD_Expiry_Date,ET142=0,ET141&lt;Inputs_Assumptions!$E$188-0.001),MAX(ET103,0),0)</f>
        <v>0</v>
      </c>
      <c r="EU143" s="119">
        <f>IF(AND(EU56&gt;Debt_Refinance_Date,EU56&lt;=CfD_Expiry_Date,EU142=0,EU141&lt;Inputs_Assumptions!$E$188-0.001),MAX(EU103,0),0)</f>
        <v>0</v>
      </c>
      <c r="EV143" s="119">
        <f>IF(AND(EV56&gt;Debt_Refinance_Date,EV56&lt;=CfD_Expiry_Date,EV142=0,EV141&lt;Inputs_Assumptions!$E$188-0.001),MAX(EV103,0),0)</f>
        <v>0</v>
      </c>
      <c r="EW143" s="119">
        <f>IF(AND(EW56&gt;Debt_Refinance_Date,EW56&lt;=CfD_Expiry_Date,EW142=0,EW141&lt;Inputs_Assumptions!$E$188-0.001),MAX(EW103,0),0)</f>
        <v>0</v>
      </c>
      <c r="EX143" s="119">
        <f>IF(AND(EX56&gt;Debt_Refinance_Date,EX56&lt;=CfD_Expiry_Date,EX142=0,EX141&lt;Inputs_Assumptions!$E$188-0.001),MAX(EX103,0),0)</f>
        <v>0</v>
      </c>
      <c r="EY143" s="119">
        <f>IF(AND(EY56&gt;Debt_Refinance_Date,EY56&lt;=CfD_Expiry_Date,EY142=0,EY141&lt;Inputs_Assumptions!$E$188-0.001),MAX(EY103,0),0)</f>
        <v>0</v>
      </c>
      <c r="EZ143" s="119">
        <f>IF(AND(EZ56&gt;Debt_Refinance_Date,EZ56&lt;=CfD_Expiry_Date,EZ142=0,EZ141&lt;Inputs_Assumptions!$E$188-0.001),MAX(EZ103,0),0)</f>
        <v>0</v>
      </c>
      <c r="FA143" s="119">
        <f>IF(AND(FA56&gt;Debt_Refinance_Date,FA56&lt;=CfD_Expiry_Date,FA142=0,FA141&lt;Inputs_Assumptions!$E$188-0.001),MAX(FA103,0),0)</f>
        <v>0</v>
      </c>
    </row>
    <row r="144" spans="3:157" outlineLevel="1" x14ac:dyDescent="0.2">
      <c r="C144" s="9" t="s">
        <v>380</v>
      </c>
      <c r="D144" s="21" t="s">
        <v>126</v>
      </c>
      <c r="E144" s="5"/>
      <c r="F144" s="5"/>
      <c r="G144" s="119">
        <f t="shared" ref="G144:AL144" si="844">IF(AND(G56&gt;Debt_Refinance_Date,G56&lt;=CfD_Expiry_Date,G142=0,G143=0,G141&lt;Min_LLCR-0.001),MAX(G103,0),0)</f>
        <v>0</v>
      </c>
      <c r="H144" s="119">
        <f t="shared" si="844"/>
        <v>0</v>
      </c>
      <c r="I144" s="119">
        <f t="shared" si="844"/>
        <v>0</v>
      </c>
      <c r="J144" s="119">
        <f t="shared" si="844"/>
        <v>0</v>
      </c>
      <c r="K144" s="119">
        <f t="shared" si="844"/>
        <v>0</v>
      </c>
      <c r="L144" s="119">
        <f t="shared" si="844"/>
        <v>0</v>
      </c>
      <c r="M144" s="119">
        <f t="shared" si="844"/>
        <v>0</v>
      </c>
      <c r="N144" s="119">
        <f t="shared" si="844"/>
        <v>0</v>
      </c>
      <c r="O144" s="119">
        <f t="shared" si="844"/>
        <v>0</v>
      </c>
      <c r="P144" s="119">
        <f t="shared" si="844"/>
        <v>0</v>
      </c>
      <c r="Q144" s="119">
        <f t="shared" si="844"/>
        <v>0</v>
      </c>
      <c r="R144" s="119">
        <f t="shared" si="844"/>
        <v>0</v>
      </c>
      <c r="S144" s="119">
        <f t="shared" si="844"/>
        <v>0</v>
      </c>
      <c r="T144" s="119">
        <f t="shared" si="844"/>
        <v>0</v>
      </c>
      <c r="U144" s="119">
        <f t="shared" si="844"/>
        <v>0</v>
      </c>
      <c r="V144" s="119">
        <f t="shared" si="844"/>
        <v>0</v>
      </c>
      <c r="W144" s="119">
        <f t="shared" si="844"/>
        <v>0</v>
      </c>
      <c r="X144" s="119">
        <f t="shared" ca="1" si="844"/>
        <v>0</v>
      </c>
      <c r="Y144" s="119">
        <f t="shared" ca="1" si="844"/>
        <v>0</v>
      </c>
      <c r="Z144" s="119">
        <f t="shared" ca="1" si="844"/>
        <v>0</v>
      </c>
      <c r="AA144" s="119">
        <f t="shared" ca="1" si="844"/>
        <v>0</v>
      </c>
      <c r="AB144" s="119">
        <f t="shared" ca="1" si="844"/>
        <v>0</v>
      </c>
      <c r="AC144" s="119">
        <f t="shared" ca="1" si="844"/>
        <v>0</v>
      </c>
      <c r="AD144" s="119">
        <f t="shared" ca="1" si="844"/>
        <v>0</v>
      </c>
      <c r="AE144" s="119">
        <f t="shared" ca="1" si="844"/>
        <v>0</v>
      </c>
      <c r="AF144" s="119">
        <f t="shared" ca="1" si="844"/>
        <v>0</v>
      </c>
      <c r="AG144" s="119">
        <f t="shared" ca="1" si="844"/>
        <v>0</v>
      </c>
      <c r="AH144" s="119">
        <f t="shared" ca="1" si="844"/>
        <v>0</v>
      </c>
      <c r="AI144" s="119">
        <f t="shared" ca="1" si="844"/>
        <v>0</v>
      </c>
      <c r="AJ144" s="119">
        <f t="shared" ca="1" si="844"/>
        <v>0</v>
      </c>
      <c r="AK144" s="119">
        <f t="shared" ca="1" si="844"/>
        <v>0</v>
      </c>
      <c r="AL144" s="119">
        <f t="shared" ca="1" si="844"/>
        <v>0</v>
      </c>
      <c r="AM144" s="119">
        <f t="shared" ref="AM144:BR144" ca="1" si="845">IF(AND(AM56&gt;Debt_Refinance_Date,AM56&lt;=CfD_Expiry_Date,AM142=0,AM143=0,AM141&lt;Min_LLCR-0.001),MAX(AM103,0),0)</f>
        <v>0</v>
      </c>
      <c r="AN144" s="119">
        <f t="shared" ca="1" si="845"/>
        <v>0</v>
      </c>
      <c r="AO144" s="119">
        <f t="shared" ca="1" si="845"/>
        <v>0</v>
      </c>
      <c r="AP144" s="119">
        <f t="shared" ca="1" si="845"/>
        <v>0</v>
      </c>
      <c r="AQ144" s="119">
        <f t="shared" ca="1" si="845"/>
        <v>0</v>
      </c>
      <c r="AR144" s="119">
        <f t="shared" ca="1" si="845"/>
        <v>0</v>
      </c>
      <c r="AS144" s="119">
        <f t="shared" ca="1" si="845"/>
        <v>0</v>
      </c>
      <c r="AT144" s="119">
        <f t="shared" ca="1" si="845"/>
        <v>0</v>
      </c>
      <c r="AU144" s="119">
        <f t="shared" ca="1" si="845"/>
        <v>0</v>
      </c>
      <c r="AV144" s="119">
        <f t="shared" ca="1" si="845"/>
        <v>0</v>
      </c>
      <c r="AW144" s="119">
        <f t="shared" ca="1" si="845"/>
        <v>0</v>
      </c>
      <c r="AX144" s="119">
        <f t="shared" ca="1" si="845"/>
        <v>0</v>
      </c>
      <c r="AY144" s="119">
        <f t="shared" ca="1" si="845"/>
        <v>0</v>
      </c>
      <c r="AZ144" s="119">
        <f t="shared" ca="1" si="845"/>
        <v>0</v>
      </c>
      <c r="BA144" s="119">
        <f t="shared" ca="1" si="845"/>
        <v>0</v>
      </c>
      <c r="BB144" s="119">
        <f t="shared" ca="1" si="845"/>
        <v>0</v>
      </c>
      <c r="BC144" s="119">
        <f t="shared" ca="1" si="845"/>
        <v>0</v>
      </c>
      <c r="BD144" s="119">
        <f t="shared" ca="1" si="845"/>
        <v>0</v>
      </c>
      <c r="BE144" s="119">
        <f t="shared" ca="1" si="845"/>
        <v>0</v>
      </c>
      <c r="BF144" s="119">
        <f t="shared" ca="1" si="845"/>
        <v>0</v>
      </c>
      <c r="BG144" s="119">
        <f t="shared" ca="1" si="845"/>
        <v>0</v>
      </c>
      <c r="BH144" s="119">
        <f t="shared" ca="1" si="845"/>
        <v>0</v>
      </c>
      <c r="BI144" s="119">
        <f t="shared" ca="1" si="845"/>
        <v>0</v>
      </c>
      <c r="BJ144" s="119">
        <f t="shared" ca="1" si="845"/>
        <v>0</v>
      </c>
      <c r="BK144" s="119">
        <f t="shared" ca="1" si="845"/>
        <v>0</v>
      </c>
      <c r="BL144" s="119">
        <f t="shared" ca="1" si="845"/>
        <v>0</v>
      </c>
      <c r="BM144" s="119">
        <f t="shared" ca="1" si="845"/>
        <v>0</v>
      </c>
      <c r="BN144" s="119">
        <f t="shared" ca="1" si="845"/>
        <v>0</v>
      </c>
      <c r="BO144" s="119">
        <f t="shared" ca="1" si="845"/>
        <v>0</v>
      </c>
      <c r="BP144" s="119">
        <f t="shared" ca="1" si="845"/>
        <v>0</v>
      </c>
      <c r="BQ144" s="119">
        <f t="shared" ca="1" si="845"/>
        <v>0</v>
      </c>
      <c r="BR144" s="119">
        <f t="shared" ca="1" si="845"/>
        <v>0</v>
      </c>
      <c r="BS144" s="119">
        <f t="shared" ref="BS144:CX144" ca="1" si="846">IF(AND(BS56&gt;Debt_Refinance_Date,BS56&lt;=CfD_Expiry_Date,BS142=0,BS143=0,BS141&lt;Min_LLCR-0.001),MAX(BS103,0),0)</f>
        <v>0</v>
      </c>
      <c r="BT144" s="119">
        <f t="shared" ca="1" si="846"/>
        <v>0</v>
      </c>
      <c r="BU144" s="119">
        <f t="shared" ca="1" si="846"/>
        <v>0</v>
      </c>
      <c r="BV144" s="119">
        <f t="shared" ca="1" si="846"/>
        <v>0</v>
      </c>
      <c r="BW144" s="119">
        <f t="shared" ca="1" si="846"/>
        <v>0</v>
      </c>
      <c r="BX144" s="119">
        <f t="shared" ca="1" si="846"/>
        <v>0</v>
      </c>
      <c r="BY144" s="119">
        <f t="shared" ca="1" si="846"/>
        <v>0</v>
      </c>
      <c r="BZ144" s="119">
        <f t="shared" ca="1" si="846"/>
        <v>0</v>
      </c>
      <c r="CA144" s="119">
        <f t="shared" ca="1" si="846"/>
        <v>0</v>
      </c>
      <c r="CB144" s="119">
        <f t="shared" ca="1" si="846"/>
        <v>0</v>
      </c>
      <c r="CC144" s="119">
        <f t="shared" ca="1" si="846"/>
        <v>0</v>
      </c>
      <c r="CD144" s="119">
        <f t="shared" ca="1" si="846"/>
        <v>0</v>
      </c>
      <c r="CE144" s="119">
        <f t="shared" ca="1" si="846"/>
        <v>0</v>
      </c>
      <c r="CF144" s="119">
        <f t="shared" ca="1" si="846"/>
        <v>0</v>
      </c>
      <c r="CG144" s="119">
        <f t="shared" ca="1" si="846"/>
        <v>0</v>
      </c>
      <c r="CH144" s="119">
        <f t="shared" ca="1" si="846"/>
        <v>0</v>
      </c>
      <c r="CI144" s="119">
        <f t="shared" ca="1" si="846"/>
        <v>0</v>
      </c>
      <c r="CJ144" s="119">
        <f t="shared" ca="1" si="846"/>
        <v>0</v>
      </c>
      <c r="CK144" s="119">
        <f t="shared" ca="1" si="846"/>
        <v>0</v>
      </c>
      <c r="CL144" s="119">
        <f t="shared" ca="1" si="846"/>
        <v>0</v>
      </c>
      <c r="CM144" s="119">
        <f t="shared" ca="1" si="846"/>
        <v>0</v>
      </c>
      <c r="CN144" s="119">
        <f t="shared" ca="1" si="846"/>
        <v>0</v>
      </c>
      <c r="CO144" s="119">
        <f t="shared" ca="1" si="846"/>
        <v>0</v>
      </c>
      <c r="CP144" s="119">
        <f t="shared" ca="1" si="846"/>
        <v>0</v>
      </c>
      <c r="CQ144" s="119">
        <f t="shared" ca="1" si="846"/>
        <v>0</v>
      </c>
      <c r="CR144" s="119">
        <f t="shared" ca="1" si="846"/>
        <v>0</v>
      </c>
      <c r="CS144" s="119">
        <f t="shared" ca="1" si="846"/>
        <v>0</v>
      </c>
      <c r="CT144" s="119">
        <f t="shared" ca="1" si="846"/>
        <v>0</v>
      </c>
      <c r="CU144" s="266">
        <f t="shared" ca="1" si="846"/>
        <v>0</v>
      </c>
      <c r="CV144" s="119">
        <f t="shared" si="846"/>
        <v>0</v>
      </c>
      <c r="CW144" s="119">
        <f t="shared" si="846"/>
        <v>0</v>
      </c>
      <c r="CX144" s="119">
        <f t="shared" si="846"/>
        <v>0</v>
      </c>
      <c r="CY144" s="119">
        <f t="shared" ref="CY144:ED144" si="847">IF(AND(CY56&gt;Debt_Refinance_Date,CY56&lt;=CfD_Expiry_Date,CY142=0,CY143=0,CY141&lt;Min_LLCR-0.001),MAX(CY103,0),0)</f>
        <v>0</v>
      </c>
      <c r="CZ144" s="119">
        <f t="shared" si="847"/>
        <v>0</v>
      </c>
      <c r="DA144" s="119">
        <f t="shared" si="847"/>
        <v>0</v>
      </c>
      <c r="DB144" s="119">
        <f t="shared" si="847"/>
        <v>0</v>
      </c>
      <c r="DC144" s="119">
        <f t="shared" si="847"/>
        <v>0</v>
      </c>
      <c r="DD144" s="119">
        <f t="shared" si="847"/>
        <v>0</v>
      </c>
      <c r="DE144" s="119">
        <f t="shared" si="847"/>
        <v>0</v>
      </c>
      <c r="DF144" s="119">
        <f t="shared" si="847"/>
        <v>0</v>
      </c>
      <c r="DG144" s="119">
        <f t="shared" si="847"/>
        <v>0</v>
      </c>
      <c r="DH144" s="119">
        <f t="shared" si="847"/>
        <v>0</v>
      </c>
      <c r="DI144" s="119">
        <f t="shared" si="847"/>
        <v>0</v>
      </c>
      <c r="DJ144" s="119">
        <f t="shared" si="847"/>
        <v>0</v>
      </c>
      <c r="DK144" s="119">
        <f t="shared" si="847"/>
        <v>0</v>
      </c>
      <c r="DL144" s="119">
        <f t="shared" si="847"/>
        <v>0</v>
      </c>
      <c r="DM144" s="119">
        <f t="shared" si="847"/>
        <v>0</v>
      </c>
      <c r="DN144" s="119">
        <f t="shared" si="847"/>
        <v>0</v>
      </c>
      <c r="DO144" s="119">
        <f t="shared" si="847"/>
        <v>0</v>
      </c>
      <c r="DP144" s="119">
        <f t="shared" si="847"/>
        <v>0</v>
      </c>
      <c r="DQ144" s="119">
        <f t="shared" si="847"/>
        <v>0</v>
      </c>
      <c r="DR144" s="119">
        <f t="shared" si="847"/>
        <v>0</v>
      </c>
      <c r="DS144" s="119">
        <f t="shared" si="847"/>
        <v>0</v>
      </c>
      <c r="DT144" s="119">
        <f t="shared" si="847"/>
        <v>0</v>
      </c>
      <c r="DU144" s="119">
        <f t="shared" si="847"/>
        <v>0</v>
      </c>
      <c r="DV144" s="119">
        <f t="shared" si="847"/>
        <v>0</v>
      </c>
      <c r="DW144" s="119">
        <f t="shared" si="847"/>
        <v>0</v>
      </c>
      <c r="DX144" s="119">
        <f t="shared" si="847"/>
        <v>0</v>
      </c>
      <c r="DY144" s="119">
        <f t="shared" si="847"/>
        <v>0</v>
      </c>
      <c r="DZ144" s="119">
        <f t="shared" si="847"/>
        <v>0</v>
      </c>
      <c r="EA144" s="119">
        <f t="shared" si="847"/>
        <v>0</v>
      </c>
      <c r="EB144" s="119">
        <f t="shared" si="847"/>
        <v>0</v>
      </c>
      <c r="EC144" s="119">
        <f t="shared" si="847"/>
        <v>0</v>
      </c>
      <c r="ED144" s="119">
        <f t="shared" si="847"/>
        <v>0</v>
      </c>
      <c r="EE144" s="119">
        <f t="shared" ref="EE144:FA144" si="848">IF(AND(EE56&gt;Debt_Refinance_Date,EE56&lt;=CfD_Expiry_Date,EE142=0,EE143=0,EE141&lt;Min_LLCR-0.001),MAX(EE103,0),0)</f>
        <v>0</v>
      </c>
      <c r="EF144" s="119">
        <f t="shared" si="848"/>
        <v>0</v>
      </c>
      <c r="EG144" s="119">
        <f t="shared" si="848"/>
        <v>0</v>
      </c>
      <c r="EH144" s="119">
        <f t="shared" si="848"/>
        <v>0</v>
      </c>
      <c r="EI144" s="119">
        <f t="shared" si="848"/>
        <v>0</v>
      </c>
      <c r="EJ144" s="119">
        <f t="shared" si="848"/>
        <v>0</v>
      </c>
      <c r="EK144" s="119">
        <f t="shared" si="848"/>
        <v>0</v>
      </c>
      <c r="EL144" s="119">
        <f t="shared" si="848"/>
        <v>0</v>
      </c>
      <c r="EM144" s="119">
        <f t="shared" si="848"/>
        <v>0</v>
      </c>
      <c r="EN144" s="119">
        <f t="shared" si="848"/>
        <v>0</v>
      </c>
      <c r="EO144" s="119">
        <f t="shared" si="848"/>
        <v>0</v>
      </c>
      <c r="EP144" s="119">
        <f t="shared" si="848"/>
        <v>0</v>
      </c>
      <c r="EQ144" s="119">
        <f t="shared" si="848"/>
        <v>0</v>
      </c>
      <c r="ER144" s="119">
        <f t="shared" si="848"/>
        <v>0</v>
      </c>
      <c r="ES144" s="119">
        <f t="shared" si="848"/>
        <v>0</v>
      </c>
      <c r="ET144" s="119">
        <f t="shared" si="848"/>
        <v>0</v>
      </c>
      <c r="EU144" s="119">
        <f t="shared" si="848"/>
        <v>0</v>
      </c>
      <c r="EV144" s="119">
        <f t="shared" si="848"/>
        <v>0</v>
      </c>
      <c r="EW144" s="119">
        <f t="shared" si="848"/>
        <v>0</v>
      </c>
      <c r="EX144" s="119">
        <f t="shared" si="848"/>
        <v>0</v>
      </c>
      <c r="EY144" s="119">
        <f t="shared" si="848"/>
        <v>0</v>
      </c>
      <c r="EZ144" s="119">
        <f t="shared" si="848"/>
        <v>0</v>
      </c>
      <c r="FA144" s="119">
        <f t="shared" si="848"/>
        <v>0</v>
      </c>
    </row>
    <row r="145" spans="2:157" outlineLevel="1" x14ac:dyDescent="0.2">
      <c r="C145" s="9" t="s">
        <v>381</v>
      </c>
      <c r="D145" s="21" t="s">
        <v>126</v>
      </c>
      <c r="E145" s="5"/>
      <c r="F145" s="5"/>
      <c r="G145" s="290">
        <f ca="1">G103-G142-G143-G144</f>
        <v>0</v>
      </c>
      <c r="H145" s="290">
        <f t="shared" ref="H145:BS145" ca="1" si="849">H103-H142-H143-H144</f>
        <v>0</v>
      </c>
      <c r="I145" s="290">
        <f t="shared" ca="1" si="849"/>
        <v>0</v>
      </c>
      <c r="J145" s="290">
        <f t="shared" ca="1" si="849"/>
        <v>0</v>
      </c>
      <c r="K145" s="290">
        <f t="shared" ca="1" si="849"/>
        <v>0</v>
      </c>
      <c r="L145" s="290">
        <f t="shared" ca="1" si="849"/>
        <v>0</v>
      </c>
      <c r="M145" s="290">
        <f t="shared" ca="1" si="849"/>
        <v>0</v>
      </c>
      <c r="N145" s="290">
        <f t="shared" ca="1" si="849"/>
        <v>0</v>
      </c>
      <c r="O145" s="290">
        <f t="shared" ca="1" si="849"/>
        <v>0</v>
      </c>
      <c r="P145" s="290">
        <f t="shared" ca="1" si="849"/>
        <v>0</v>
      </c>
      <c r="Q145" s="290">
        <f t="shared" ca="1" si="849"/>
        <v>0</v>
      </c>
      <c r="R145" s="290">
        <f t="shared" ca="1" si="849"/>
        <v>0</v>
      </c>
      <c r="S145" s="290">
        <f t="shared" ca="1" si="849"/>
        <v>0</v>
      </c>
      <c r="T145" s="290">
        <f t="shared" ca="1" si="849"/>
        <v>0</v>
      </c>
      <c r="U145" s="290">
        <f t="shared" ca="1" si="849"/>
        <v>0</v>
      </c>
      <c r="V145" s="290">
        <f t="shared" ca="1" si="849"/>
        <v>0</v>
      </c>
      <c r="W145" s="290">
        <f t="shared" ca="1" si="849"/>
        <v>0</v>
      </c>
      <c r="X145" s="290">
        <f t="shared" ca="1" si="849"/>
        <v>0</v>
      </c>
      <c r="Y145" s="290">
        <f t="shared" ca="1" si="849"/>
        <v>-0.11854117212105564</v>
      </c>
      <c r="Z145" s="290">
        <f t="shared" ca="1" si="849"/>
        <v>3.0988417675622202</v>
      </c>
      <c r="AA145" s="290">
        <f t="shared" ca="1" si="849"/>
        <v>38.442665305658856</v>
      </c>
      <c r="AB145" s="290">
        <f t="shared" ca="1" si="849"/>
        <v>0</v>
      </c>
      <c r="AC145" s="290">
        <f t="shared" ca="1" si="849"/>
        <v>0</v>
      </c>
      <c r="AD145" s="290">
        <f t="shared" ca="1" si="849"/>
        <v>3.0935822394039008</v>
      </c>
      <c r="AE145" s="290">
        <f t="shared" ca="1" si="849"/>
        <v>40.570666988975766</v>
      </c>
      <c r="AF145" s="290">
        <f t="shared" ca="1" si="849"/>
        <v>0</v>
      </c>
      <c r="AG145" s="290">
        <f t="shared" ca="1" si="849"/>
        <v>0</v>
      </c>
      <c r="AH145" s="290">
        <f t="shared" ca="1" si="849"/>
        <v>4.2436235630533616</v>
      </c>
      <c r="AI145" s="290">
        <f t="shared" ca="1" si="849"/>
        <v>42.025643713299218</v>
      </c>
      <c r="AJ145" s="290">
        <f t="shared" ca="1" si="849"/>
        <v>0</v>
      </c>
      <c r="AK145" s="290">
        <f t="shared" ca="1" si="849"/>
        <v>0</v>
      </c>
      <c r="AL145" s="290">
        <f t="shared" ca="1" si="849"/>
        <v>2.8404441787306673</v>
      </c>
      <c r="AM145" s="290">
        <f t="shared" ca="1" si="849"/>
        <v>37.669418606416244</v>
      </c>
      <c r="AN145" s="290">
        <f t="shared" ca="1" si="849"/>
        <v>0</v>
      </c>
      <c r="AO145" s="290">
        <f t="shared" ca="1" si="849"/>
        <v>0</v>
      </c>
      <c r="AP145" s="290">
        <f t="shared" ca="1" si="849"/>
        <v>0</v>
      </c>
      <c r="AQ145" s="290">
        <f t="shared" ca="1" si="849"/>
        <v>23.939654503376229</v>
      </c>
      <c r="AR145" s="290">
        <f t="shared" ca="1" si="849"/>
        <v>0</v>
      </c>
      <c r="AS145" s="290">
        <f t="shared" ca="1" si="849"/>
        <v>0</v>
      </c>
      <c r="AT145" s="290">
        <f t="shared" ca="1" si="849"/>
        <v>0</v>
      </c>
      <c r="AU145" s="290">
        <f t="shared" ca="1" si="849"/>
        <v>24.062916552341356</v>
      </c>
      <c r="AV145" s="290">
        <f t="shared" ca="1" si="849"/>
        <v>0</v>
      </c>
      <c r="AW145" s="290">
        <f t="shared" ca="1" si="849"/>
        <v>0</v>
      </c>
      <c r="AX145" s="290">
        <f t="shared" ca="1" si="849"/>
        <v>0</v>
      </c>
      <c r="AY145" s="290">
        <f t="shared" ca="1" si="849"/>
        <v>25.212982530699303</v>
      </c>
      <c r="AZ145" s="290">
        <f t="shared" ca="1" si="849"/>
        <v>0</v>
      </c>
      <c r="BA145" s="290">
        <f t="shared" ca="1" si="849"/>
        <v>0</v>
      </c>
      <c r="BB145" s="290">
        <f t="shared" ca="1" si="849"/>
        <v>0</v>
      </c>
      <c r="BC145" s="290">
        <f t="shared" ca="1" si="849"/>
        <v>27.901152436365685</v>
      </c>
      <c r="BD145" s="290">
        <f t="shared" ca="1" si="849"/>
        <v>0</v>
      </c>
      <c r="BE145" s="290">
        <f t="shared" ca="1" si="849"/>
        <v>0</v>
      </c>
      <c r="BF145" s="290">
        <f t="shared" ca="1" si="849"/>
        <v>0</v>
      </c>
      <c r="BG145" s="290">
        <f t="shared" ca="1" si="849"/>
        <v>26.307203729084147</v>
      </c>
      <c r="BH145" s="290">
        <f t="shared" ca="1" si="849"/>
        <v>0</v>
      </c>
      <c r="BI145" s="290">
        <f t="shared" ca="1" si="849"/>
        <v>0</v>
      </c>
      <c r="BJ145" s="290">
        <f t="shared" ca="1" si="849"/>
        <v>0</v>
      </c>
      <c r="BK145" s="290">
        <f t="shared" ca="1" si="849"/>
        <v>27.499671164207999</v>
      </c>
      <c r="BL145" s="290">
        <f t="shared" ca="1" si="849"/>
        <v>0</v>
      </c>
      <c r="BM145" s="290">
        <f t="shared" ca="1" si="849"/>
        <v>0</v>
      </c>
      <c r="BN145" s="290">
        <f t="shared" ca="1" si="849"/>
        <v>0</v>
      </c>
      <c r="BO145" s="290">
        <f t="shared" ca="1" si="849"/>
        <v>28.71629801386613</v>
      </c>
      <c r="BP145" s="290">
        <f t="shared" ca="1" si="849"/>
        <v>0</v>
      </c>
      <c r="BQ145" s="290">
        <f t="shared" ca="1" si="849"/>
        <v>0</v>
      </c>
      <c r="BR145" s="290">
        <f t="shared" ca="1" si="849"/>
        <v>0</v>
      </c>
      <c r="BS145" s="290">
        <f t="shared" ca="1" si="849"/>
        <v>29.957548286638442</v>
      </c>
      <c r="BT145" s="290">
        <f t="shared" ref="BT145:EE145" ca="1" si="850">BT103-BT142-BT143-BT144</f>
        <v>0</v>
      </c>
      <c r="BU145" s="290">
        <f t="shared" ca="1" si="850"/>
        <v>0</v>
      </c>
      <c r="BV145" s="290">
        <f t="shared" ca="1" si="850"/>
        <v>0</v>
      </c>
      <c r="BW145" s="290">
        <f t="shared" ca="1" si="850"/>
        <v>31.223894086522996</v>
      </c>
      <c r="BX145" s="290">
        <f t="shared" ca="1" si="850"/>
        <v>0</v>
      </c>
      <c r="BY145" s="290">
        <f t="shared" ca="1" si="850"/>
        <v>0</v>
      </c>
      <c r="BZ145" s="290">
        <f t="shared" ca="1" si="850"/>
        <v>0</v>
      </c>
      <c r="CA145" s="290">
        <f t="shared" ca="1" si="850"/>
        <v>32.515815726555573</v>
      </c>
      <c r="CB145" s="290">
        <f t="shared" ca="1" si="850"/>
        <v>0</v>
      </c>
      <c r="CC145" s="290">
        <f t="shared" ca="1" si="850"/>
        <v>0</v>
      </c>
      <c r="CD145" s="290">
        <f t="shared" ca="1" si="850"/>
        <v>0</v>
      </c>
      <c r="CE145" s="290">
        <f t="shared" ca="1" si="850"/>
        <v>36.168124319482985</v>
      </c>
      <c r="CF145" s="290">
        <f t="shared" ca="1" si="850"/>
        <v>0</v>
      </c>
      <c r="CG145" s="290">
        <f t="shared" ca="1" si="850"/>
        <v>0</v>
      </c>
      <c r="CH145" s="290">
        <f t="shared" ca="1" si="850"/>
        <v>0</v>
      </c>
      <c r="CI145" s="290">
        <f t="shared" ca="1" si="850"/>
        <v>33.210769189255551</v>
      </c>
      <c r="CJ145" s="290">
        <f t="shared" ca="1" si="850"/>
        <v>0</v>
      </c>
      <c r="CK145" s="290">
        <f t="shared" ca="1" si="850"/>
        <v>0</v>
      </c>
      <c r="CL145" s="290">
        <f t="shared" ca="1" si="850"/>
        <v>0</v>
      </c>
      <c r="CM145" s="290">
        <f t="shared" ca="1" si="850"/>
        <v>34.537228065808733</v>
      </c>
      <c r="CN145" s="290">
        <f t="shared" ca="1" si="850"/>
        <v>0</v>
      </c>
      <c r="CO145" s="290">
        <f t="shared" ca="1" si="850"/>
        <v>0</v>
      </c>
      <c r="CP145" s="290">
        <f t="shared" ca="1" si="850"/>
        <v>0</v>
      </c>
      <c r="CQ145" s="290">
        <f t="shared" ca="1" si="850"/>
        <v>35.89023208677694</v>
      </c>
      <c r="CR145" s="290">
        <f t="shared" ca="1" si="850"/>
        <v>0</v>
      </c>
      <c r="CS145" s="290">
        <f t="shared" ca="1" si="850"/>
        <v>0</v>
      </c>
      <c r="CT145" s="290">
        <f t="shared" ca="1" si="850"/>
        <v>25.025219527058603</v>
      </c>
      <c r="CU145" s="313">
        <f t="shared" ca="1" si="850"/>
        <v>85.275435421115205</v>
      </c>
      <c r="CV145" s="290">
        <f t="shared" ca="1" si="850"/>
        <v>13.8735083508268</v>
      </c>
      <c r="CW145" s="290">
        <f t="shared" ca="1" si="850"/>
        <v>-4.0012472901862992</v>
      </c>
      <c r="CX145" s="290">
        <f t="shared" ca="1" si="850"/>
        <v>3.9946559388178162</v>
      </c>
      <c r="CY145" s="290">
        <f t="shared" ca="1" si="850"/>
        <v>13.915724285054912</v>
      </c>
      <c r="CZ145" s="290">
        <f t="shared" ca="1" si="850"/>
        <v>0</v>
      </c>
      <c r="DA145" s="290">
        <f t="shared" ca="1" si="850"/>
        <v>-4.9812678395834631</v>
      </c>
      <c r="DB145" s="290">
        <f t="shared" ca="1" si="850"/>
        <v>0</v>
      </c>
      <c r="DC145" s="290">
        <f t="shared" ca="1" si="850"/>
        <v>12.456857632594327</v>
      </c>
      <c r="DD145" s="290">
        <f t="shared" ca="1" si="850"/>
        <v>0</v>
      </c>
      <c r="DE145" s="290">
        <f t="shared" ca="1" si="850"/>
        <v>-5.2959507836985269</v>
      </c>
      <c r="DF145" s="290">
        <f t="shared" ca="1" si="850"/>
        <v>0</v>
      </c>
      <c r="DG145" s="290">
        <f t="shared" ca="1" si="850"/>
        <v>12.855258689448899</v>
      </c>
      <c r="DH145" s="290">
        <f t="shared" ca="1" si="850"/>
        <v>0</v>
      </c>
      <c r="DI145" s="290">
        <f t="shared" ca="1" si="850"/>
        <v>-5.6234363425838332</v>
      </c>
      <c r="DJ145" s="290">
        <f t="shared" ca="1" si="850"/>
        <v>0</v>
      </c>
      <c r="DK145" s="290">
        <f t="shared" ca="1" si="850"/>
        <v>13.246315781084753</v>
      </c>
      <c r="DL145" s="290">
        <f t="shared" ca="1" si="850"/>
        <v>0</v>
      </c>
      <c r="DM145" s="290">
        <f t="shared" ca="1" si="850"/>
        <v>-5.964174142024059</v>
      </c>
      <c r="DN145" s="290">
        <f t="shared" ca="1" si="850"/>
        <v>0</v>
      </c>
      <c r="DO145" s="290">
        <f t="shared" ca="1" si="850"/>
        <v>13.629398750416977</v>
      </c>
      <c r="DP145" s="290">
        <f t="shared" ca="1" si="850"/>
        <v>0</v>
      </c>
      <c r="DQ145" s="290">
        <f t="shared" ca="1" si="850"/>
        <v>-6.3186284861178219</v>
      </c>
      <c r="DR145" s="290">
        <f t="shared" ca="1" si="850"/>
        <v>0</v>
      </c>
      <c r="DS145" s="290">
        <f t="shared" ca="1" si="850"/>
        <v>14.003850029134711</v>
      </c>
      <c r="DT145" s="290">
        <f t="shared" ca="1" si="850"/>
        <v>-0.19140658310651659</v>
      </c>
      <c r="DU145" s="290">
        <f t="shared" ca="1" si="850"/>
        <v>-6.687278816361359</v>
      </c>
      <c r="DV145" s="290">
        <f t="shared" ca="1" si="850"/>
        <v>0</v>
      </c>
      <c r="DW145" s="290">
        <f t="shared" ca="1" si="850"/>
        <v>14.562333693577868</v>
      </c>
      <c r="DX145" s="290">
        <f t="shared" ca="1" si="850"/>
        <v>-0.42409393108694537</v>
      </c>
      <c r="DY145" s="290">
        <f t="shared" ca="1" si="850"/>
        <v>-7.070620184700612</v>
      </c>
      <c r="DZ145" s="290">
        <f t="shared" ca="1" si="850"/>
        <v>0</v>
      </c>
      <c r="EA145" s="290">
        <f t="shared" ca="1" si="850"/>
        <v>15.152484205430788</v>
      </c>
      <c r="EB145" s="290">
        <f t="shared" ca="1" si="850"/>
        <v>-0.66848200836048299</v>
      </c>
      <c r="EC145" s="290">
        <f t="shared" ca="1" si="850"/>
        <v>-7.4691637409691687</v>
      </c>
      <c r="ED145" s="290">
        <f t="shared" ca="1" si="850"/>
        <v>0</v>
      </c>
      <c r="EE145" s="290">
        <f t="shared" ca="1" si="850"/>
        <v>15.743675292335425</v>
      </c>
      <c r="EF145" s="290">
        <f t="shared" ref="EF145:FA145" ca="1" si="851">EF103-EF142-EF143-EF144</f>
        <v>-0.92501697645963077</v>
      </c>
      <c r="EG145" s="290">
        <f t="shared" ca="1" si="851"/>
        <v>-7.8834372351410078</v>
      </c>
      <c r="EH145" s="290">
        <f t="shared" ca="1" si="851"/>
        <v>3.713167986400645E-2</v>
      </c>
      <c r="EI145" s="290">
        <f t="shared" ca="1" si="851"/>
        <v>-426.49576623936605</v>
      </c>
      <c r="EJ145" s="290">
        <f t="shared" ca="1" si="851"/>
        <v>11.14062720293661</v>
      </c>
      <c r="EK145" s="290">
        <f t="shared" ca="1" si="851"/>
        <v>0</v>
      </c>
      <c r="EL145" s="290">
        <f t="shared" ca="1" si="851"/>
        <v>0</v>
      </c>
      <c r="EM145" s="290">
        <f t="shared" ca="1" si="851"/>
        <v>0</v>
      </c>
      <c r="EN145" s="290">
        <f t="shared" ca="1" si="851"/>
        <v>0</v>
      </c>
      <c r="EO145" s="290">
        <f t="shared" ca="1" si="851"/>
        <v>0</v>
      </c>
      <c r="EP145" s="290">
        <f t="shared" ca="1" si="851"/>
        <v>0</v>
      </c>
      <c r="EQ145" s="290">
        <f t="shared" ca="1" si="851"/>
        <v>0</v>
      </c>
      <c r="ER145" s="290">
        <f t="shared" ca="1" si="851"/>
        <v>0</v>
      </c>
      <c r="ES145" s="290">
        <f t="shared" ca="1" si="851"/>
        <v>0</v>
      </c>
      <c r="ET145" s="290">
        <f t="shared" ca="1" si="851"/>
        <v>0</v>
      </c>
      <c r="EU145" s="290">
        <f t="shared" ca="1" si="851"/>
        <v>0</v>
      </c>
      <c r="EV145" s="290">
        <f t="shared" ca="1" si="851"/>
        <v>0</v>
      </c>
      <c r="EW145" s="290">
        <f t="shared" ca="1" si="851"/>
        <v>0</v>
      </c>
      <c r="EX145" s="290">
        <f t="shared" ca="1" si="851"/>
        <v>0</v>
      </c>
      <c r="EY145" s="290">
        <f t="shared" ca="1" si="851"/>
        <v>0</v>
      </c>
      <c r="EZ145" s="290">
        <f t="shared" ca="1" si="851"/>
        <v>0</v>
      </c>
      <c r="FA145" s="290">
        <f t="shared" ca="1" si="851"/>
        <v>0</v>
      </c>
    </row>
    <row r="146" spans="2:157" outlineLevel="1" x14ac:dyDescent="0.2">
      <c r="C146" s="9"/>
      <c r="D146" s="21"/>
      <c r="E146" s="5"/>
      <c r="F146" s="5"/>
      <c r="G146" s="290"/>
      <c r="H146" s="290"/>
      <c r="I146" s="290"/>
      <c r="J146" s="290"/>
      <c r="K146" s="290"/>
      <c r="L146" s="290"/>
      <c r="M146" s="290"/>
      <c r="N146" s="290"/>
      <c r="O146" s="290"/>
      <c r="P146" s="290"/>
      <c r="Q146" s="290"/>
      <c r="R146" s="290"/>
      <c r="S146" s="290"/>
      <c r="T146" s="290"/>
      <c r="U146" s="290"/>
      <c r="V146" s="290"/>
      <c r="W146" s="290"/>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c r="CF146" s="119"/>
      <c r="CG146" s="119"/>
      <c r="CH146" s="119"/>
      <c r="CI146" s="119"/>
      <c r="CJ146" s="119"/>
      <c r="CK146" s="119"/>
      <c r="CL146" s="119"/>
      <c r="CM146" s="119"/>
      <c r="CN146" s="119"/>
      <c r="CO146" s="119"/>
      <c r="CP146" s="119"/>
      <c r="CQ146" s="119"/>
      <c r="CR146" s="119"/>
      <c r="CS146" s="119"/>
      <c r="CT146" s="119"/>
      <c r="CU146" s="266"/>
      <c r="CV146" s="119"/>
      <c r="CW146" s="119"/>
      <c r="CX146" s="119"/>
      <c r="CY146" s="119"/>
      <c r="CZ146" s="119"/>
      <c r="DA146" s="119"/>
      <c r="DB146" s="119"/>
      <c r="DC146" s="119"/>
      <c r="DD146" s="119"/>
      <c r="DE146" s="119"/>
      <c r="DF146" s="119"/>
      <c r="DG146" s="119"/>
      <c r="DH146" s="119"/>
      <c r="DI146" s="119"/>
      <c r="DJ146" s="119"/>
      <c r="DK146" s="119"/>
      <c r="DL146" s="119"/>
      <c r="DM146" s="119"/>
      <c r="DN146" s="119"/>
      <c r="DO146" s="119"/>
      <c r="DP146" s="119"/>
      <c r="DQ146" s="119"/>
      <c r="DR146" s="119"/>
      <c r="DS146" s="119"/>
      <c r="DT146" s="119"/>
      <c r="DU146" s="119"/>
      <c r="DV146" s="119"/>
      <c r="DW146" s="119"/>
      <c r="DX146" s="119"/>
      <c r="DY146" s="119"/>
      <c r="DZ146" s="119"/>
      <c r="EA146" s="119"/>
      <c r="EB146" s="119"/>
      <c r="EC146" s="119"/>
      <c r="ED146" s="119"/>
      <c r="EE146" s="119"/>
      <c r="EF146" s="119"/>
      <c r="EG146" s="119"/>
      <c r="EH146" s="119"/>
      <c r="EI146" s="119"/>
      <c r="EJ146" s="119"/>
      <c r="EK146" s="119"/>
      <c r="EL146" s="119"/>
      <c r="EM146" s="119"/>
      <c r="EN146" s="119"/>
      <c r="EO146" s="119"/>
      <c r="EP146" s="119"/>
      <c r="EQ146" s="119"/>
      <c r="ER146" s="119"/>
      <c r="ES146" s="119"/>
      <c r="ET146" s="119"/>
      <c r="EU146" s="119"/>
      <c r="EV146" s="119"/>
      <c r="EW146" s="119"/>
      <c r="EX146" s="119"/>
      <c r="EY146" s="119"/>
      <c r="EZ146" s="119"/>
      <c r="FA146" s="119"/>
    </row>
    <row r="147" spans="2:157" outlineLevel="1" x14ac:dyDescent="0.2">
      <c r="C147" s="9" t="s">
        <v>443</v>
      </c>
      <c r="D147" s="21" t="s">
        <v>126</v>
      </c>
      <c r="E147" s="5"/>
      <c r="F147" s="5"/>
      <c r="G147" s="290">
        <f>F150</f>
        <v>0</v>
      </c>
      <c r="H147" s="290">
        <f t="shared" ref="H147:BS147" si="852">G150</f>
        <v>0</v>
      </c>
      <c r="I147" s="290">
        <f t="shared" si="852"/>
        <v>0</v>
      </c>
      <c r="J147" s="290">
        <f t="shared" si="852"/>
        <v>0</v>
      </c>
      <c r="K147" s="290">
        <f t="shared" si="852"/>
        <v>0</v>
      </c>
      <c r="L147" s="290">
        <f t="shared" si="852"/>
        <v>0</v>
      </c>
      <c r="M147" s="290">
        <f t="shared" si="852"/>
        <v>0</v>
      </c>
      <c r="N147" s="290">
        <f t="shared" si="852"/>
        <v>0</v>
      </c>
      <c r="O147" s="290">
        <f t="shared" si="852"/>
        <v>0</v>
      </c>
      <c r="P147" s="290">
        <f t="shared" si="852"/>
        <v>0</v>
      </c>
      <c r="Q147" s="290">
        <f t="shared" si="852"/>
        <v>0</v>
      </c>
      <c r="R147" s="290">
        <f t="shared" si="852"/>
        <v>0</v>
      </c>
      <c r="S147" s="290">
        <f t="shared" si="852"/>
        <v>0</v>
      </c>
      <c r="T147" s="290">
        <f t="shared" si="852"/>
        <v>0</v>
      </c>
      <c r="U147" s="290">
        <f t="shared" si="852"/>
        <v>0</v>
      </c>
      <c r="V147" s="290">
        <f t="shared" si="852"/>
        <v>0</v>
      </c>
      <c r="W147" s="290">
        <f t="shared" si="852"/>
        <v>0</v>
      </c>
      <c r="X147" s="290">
        <f t="shared" si="852"/>
        <v>0</v>
      </c>
      <c r="Y147" s="290">
        <f t="shared" ca="1" si="852"/>
        <v>0</v>
      </c>
      <c r="Z147" s="290">
        <f t="shared" ca="1" si="852"/>
        <v>0</v>
      </c>
      <c r="AA147" s="290">
        <f t="shared" ca="1" si="852"/>
        <v>0</v>
      </c>
      <c r="AB147" s="290">
        <f t="shared" ca="1" si="852"/>
        <v>0</v>
      </c>
      <c r="AC147" s="290">
        <f t="shared" ca="1" si="852"/>
        <v>0</v>
      </c>
      <c r="AD147" s="290">
        <f t="shared" ca="1" si="852"/>
        <v>0</v>
      </c>
      <c r="AE147" s="290">
        <f t="shared" ca="1" si="852"/>
        <v>0</v>
      </c>
      <c r="AF147" s="290">
        <f t="shared" ca="1" si="852"/>
        <v>0</v>
      </c>
      <c r="AG147" s="290">
        <f t="shared" ca="1" si="852"/>
        <v>0</v>
      </c>
      <c r="AH147" s="290">
        <f t="shared" ca="1" si="852"/>
        <v>0</v>
      </c>
      <c r="AI147" s="290">
        <f t="shared" ca="1" si="852"/>
        <v>0</v>
      </c>
      <c r="AJ147" s="290">
        <f t="shared" ca="1" si="852"/>
        <v>0</v>
      </c>
      <c r="AK147" s="290">
        <f t="shared" ca="1" si="852"/>
        <v>0</v>
      </c>
      <c r="AL147" s="290">
        <f t="shared" ca="1" si="852"/>
        <v>0</v>
      </c>
      <c r="AM147" s="290">
        <f t="shared" ca="1" si="852"/>
        <v>0</v>
      </c>
      <c r="AN147" s="290">
        <f t="shared" ca="1" si="852"/>
        <v>0</v>
      </c>
      <c r="AO147" s="290">
        <f t="shared" ca="1" si="852"/>
        <v>0</v>
      </c>
      <c r="AP147" s="290">
        <f t="shared" ca="1" si="852"/>
        <v>0</v>
      </c>
      <c r="AQ147" s="290">
        <f t="shared" ca="1" si="852"/>
        <v>0</v>
      </c>
      <c r="AR147" s="290">
        <f t="shared" ca="1" si="852"/>
        <v>0</v>
      </c>
      <c r="AS147" s="290">
        <f t="shared" ca="1" si="852"/>
        <v>0</v>
      </c>
      <c r="AT147" s="290">
        <f t="shared" ca="1" si="852"/>
        <v>0</v>
      </c>
      <c r="AU147" s="290">
        <f t="shared" ca="1" si="852"/>
        <v>0</v>
      </c>
      <c r="AV147" s="290">
        <f t="shared" ca="1" si="852"/>
        <v>0</v>
      </c>
      <c r="AW147" s="290">
        <f t="shared" ca="1" si="852"/>
        <v>0</v>
      </c>
      <c r="AX147" s="290">
        <f t="shared" ca="1" si="852"/>
        <v>0</v>
      </c>
      <c r="AY147" s="290">
        <f t="shared" ca="1" si="852"/>
        <v>0</v>
      </c>
      <c r="AZ147" s="290">
        <f t="shared" ca="1" si="852"/>
        <v>0</v>
      </c>
      <c r="BA147" s="290">
        <f t="shared" ca="1" si="852"/>
        <v>0</v>
      </c>
      <c r="BB147" s="290">
        <f t="shared" ca="1" si="852"/>
        <v>0</v>
      </c>
      <c r="BC147" s="290">
        <f t="shared" ca="1" si="852"/>
        <v>0</v>
      </c>
      <c r="BD147" s="290">
        <f t="shared" ca="1" si="852"/>
        <v>0</v>
      </c>
      <c r="BE147" s="290">
        <f t="shared" ca="1" si="852"/>
        <v>0</v>
      </c>
      <c r="BF147" s="290">
        <f t="shared" ca="1" si="852"/>
        <v>0</v>
      </c>
      <c r="BG147" s="290">
        <f t="shared" ca="1" si="852"/>
        <v>0</v>
      </c>
      <c r="BH147" s="290">
        <f t="shared" ca="1" si="852"/>
        <v>0</v>
      </c>
      <c r="BI147" s="290">
        <f t="shared" ca="1" si="852"/>
        <v>0</v>
      </c>
      <c r="BJ147" s="290">
        <f t="shared" ca="1" si="852"/>
        <v>0</v>
      </c>
      <c r="BK147" s="290">
        <f t="shared" ca="1" si="852"/>
        <v>0</v>
      </c>
      <c r="BL147" s="290">
        <f t="shared" ca="1" si="852"/>
        <v>0</v>
      </c>
      <c r="BM147" s="290">
        <f t="shared" ca="1" si="852"/>
        <v>0</v>
      </c>
      <c r="BN147" s="290">
        <f t="shared" ca="1" si="852"/>
        <v>0</v>
      </c>
      <c r="BO147" s="290">
        <f t="shared" ca="1" si="852"/>
        <v>0</v>
      </c>
      <c r="BP147" s="290">
        <f t="shared" ca="1" si="852"/>
        <v>0</v>
      </c>
      <c r="BQ147" s="290">
        <f t="shared" ca="1" si="852"/>
        <v>0</v>
      </c>
      <c r="BR147" s="290">
        <f t="shared" ca="1" si="852"/>
        <v>0</v>
      </c>
      <c r="BS147" s="290">
        <f t="shared" ca="1" si="852"/>
        <v>0</v>
      </c>
      <c r="BT147" s="290">
        <f t="shared" ref="BT147:EE147" ca="1" si="853">BS150</f>
        <v>0</v>
      </c>
      <c r="BU147" s="290">
        <f t="shared" ca="1" si="853"/>
        <v>0</v>
      </c>
      <c r="BV147" s="290">
        <f t="shared" ca="1" si="853"/>
        <v>0</v>
      </c>
      <c r="BW147" s="290">
        <f t="shared" ca="1" si="853"/>
        <v>0</v>
      </c>
      <c r="BX147" s="290">
        <f t="shared" ca="1" si="853"/>
        <v>0</v>
      </c>
      <c r="BY147" s="290">
        <f t="shared" ca="1" si="853"/>
        <v>0</v>
      </c>
      <c r="BZ147" s="290">
        <f t="shared" ca="1" si="853"/>
        <v>0</v>
      </c>
      <c r="CA147" s="290">
        <f t="shared" ca="1" si="853"/>
        <v>0</v>
      </c>
      <c r="CB147" s="290">
        <f t="shared" ca="1" si="853"/>
        <v>0</v>
      </c>
      <c r="CC147" s="290">
        <f t="shared" ca="1" si="853"/>
        <v>0</v>
      </c>
      <c r="CD147" s="290">
        <f t="shared" ca="1" si="853"/>
        <v>0</v>
      </c>
      <c r="CE147" s="290">
        <f t="shared" ca="1" si="853"/>
        <v>0</v>
      </c>
      <c r="CF147" s="290">
        <f t="shared" ca="1" si="853"/>
        <v>0</v>
      </c>
      <c r="CG147" s="290">
        <f t="shared" ca="1" si="853"/>
        <v>0</v>
      </c>
      <c r="CH147" s="290">
        <f t="shared" ca="1" si="853"/>
        <v>0</v>
      </c>
      <c r="CI147" s="290">
        <f t="shared" ca="1" si="853"/>
        <v>0</v>
      </c>
      <c r="CJ147" s="290">
        <f t="shared" ca="1" si="853"/>
        <v>0</v>
      </c>
      <c r="CK147" s="290">
        <f t="shared" ca="1" si="853"/>
        <v>0</v>
      </c>
      <c r="CL147" s="290">
        <f t="shared" ca="1" si="853"/>
        <v>0</v>
      </c>
      <c r="CM147" s="290">
        <f t="shared" ca="1" si="853"/>
        <v>0</v>
      </c>
      <c r="CN147" s="290">
        <f t="shared" ca="1" si="853"/>
        <v>0</v>
      </c>
      <c r="CO147" s="290">
        <f t="shared" ca="1" si="853"/>
        <v>0</v>
      </c>
      <c r="CP147" s="290">
        <f t="shared" ca="1" si="853"/>
        <v>0</v>
      </c>
      <c r="CQ147" s="290">
        <f t="shared" ca="1" si="853"/>
        <v>0</v>
      </c>
      <c r="CR147" s="290">
        <f t="shared" ca="1" si="853"/>
        <v>0</v>
      </c>
      <c r="CS147" s="290">
        <f t="shared" ca="1" si="853"/>
        <v>0</v>
      </c>
      <c r="CT147" s="290">
        <f t="shared" ca="1" si="853"/>
        <v>0</v>
      </c>
      <c r="CU147" s="313">
        <f t="shared" ca="1" si="853"/>
        <v>0</v>
      </c>
      <c r="CV147" s="290">
        <f t="shared" ca="1" si="853"/>
        <v>0</v>
      </c>
      <c r="CW147" s="290">
        <f t="shared" ca="1" si="853"/>
        <v>0</v>
      </c>
      <c r="CX147" s="290">
        <f t="shared" ca="1" si="853"/>
        <v>0</v>
      </c>
      <c r="CY147" s="290">
        <f t="shared" ca="1" si="853"/>
        <v>0</v>
      </c>
      <c r="CZ147" s="290">
        <f t="shared" ca="1" si="853"/>
        <v>0</v>
      </c>
      <c r="DA147" s="290">
        <f t="shared" ca="1" si="853"/>
        <v>0</v>
      </c>
      <c r="DB147" s="290">
        <f t="shared" ca="1" si="853"/>
        <v>0</v>
      </c>
      <c r="DC147" s="290">
        <f t="shared" ca="1" si="853"/>
        <v>0</v>
      </c>
      <c r="DD147" s="290">
        <f t="shared" ca="1" si="853"/>
        <v>0</v>
      </c>
      <c r="DE147" s="290">
        <f t="shared" ca="1" si="853"/>
        <v>0</v>
      </c>
      <c r="DF147" s="290">
        <f t="shared" ca="1" si="853"/>
        <v>0</v>
      </c>
      <c r="DG147" s="290">
        <f t="shared" ca="1" si="853"/>
        <v>0</v>
      </c>
      <c r="DH147" s="290">
        <f t="shared" ca="1" si="853"/>
        <v>0</v>
      </c>
      <c r="DI147" s="290">
        <f t="shared" ca="1" si="853"/>
        <v>0</v>
      </c>
      <c r="DJ147" s="290">
        <f t="shared" ca="1" si="853"/>
        <v>0</v>
      </c>
      <c r="DK147" s="290">
        <f t="shared" ca="1" si="853"/>
        <v>0</v>
      </c>
      <c r="DL147" s="290">
        <f t="shared" ca="1" si="853"/>
        <v>0</v>
      </c>
      <c r="DM147" s="290">
        <f t="shared" ca="1" si="853"/>
        <v>0</v>
      </c>
      <c r="DN147" s="290">
        <f t="shared" ca="1" si="853"/>
        <v>0</v>
      </c>
      <c r="DO147" s="290">
        <f t="shared" ca="1" si="853"/>
        <v>0</v>
      </c>
      <c r="DP147" s="290">
        <f t="shared" ca="1" si="853"/>
        <v>0</v>
      </c>
      <c r="DQ147" s="290">
        <f t="shared" ca="1" si="853"/>
        <v>0</v>
      </c>
      <c r="DR147" s="290">
        <f t="shared" ca="1" si="853"/>
        <v>0</v>
      </c>
      <c r="DS147" s="290">
        <f t="shared" ca="1" si="853"/>
        <v>0</v>
      </c>
      <c r="DT147" s="290">
        <f t="shared" ca="1" si="853"/>
        <v>0</v>
      </c>
      <c r="DU147" s="290">
        <f t="shared" ca="1" si="853"/>
        <v>0</v>
      </c>
      <c r="DV147" s="290">
        <f t="shared" ca="1" si="853"/>
        <v>0</v>
      </c>
      <c r="DW147" s="290">
        <f t="shared" ca="1" si="853"/>
        <v>0</v>
      </c>
      <c r="DX147" s="290">
        <f t="shared" ca="1" si="853"/>
        <v>0</v>
      </c>
      <c r="DY147" s="290">
        <f t="shared" ca="1" si="853"/>
        <v>0</v>
      </c>
      <c r="DZ147" s="290">
        <f t="shared" ca="1" si="853"/>
        <v>0</v>
      </c>
      <c r="EA147" s="290">
        <f t="shared" ca="1" si="853"/>
        <v>0</v>
      </c>
      <c r="EB147" s="290">
        <f t="shared" ca="1" si="853"/>
        <v>0</v>
      </c>
      <c r="EC147" s="290">
        <f t="shared" ca="1" si="853"/>
        <v>0</v>
      </c>
      <c r="ED147" s="290">
        <f t="shared" ca="1" si="853"/>
        <v>0</v>
      </c>
      <c r="EE147" s="290">
        <f t="shared" ca="1" si="853"/>
        <v>0</v>
      </c>
      <c r="EF147" s="290">
        <f t="shared" ref="EF147:FA147" ca="1" si="854">EE150</f>
        <v>0</v>
      </c>
      <c r="EG147" s="290">
        <f t="shared" ca="1" si="854"/>
        <v>0</v>
      </c>
      <c r="EH147" s="290">
        <f t="shared" ca="1" si="854"/>
        <v>0</v>
      </c>
      <c r="EI147" s="290">
        <f t="shared" ca="1" si="854"/>
        <v>0</v>
      </c>
      <c r="EJ147" s="290">
        <f t="shared" ca="1" si="854"/>
        <v>0</v>
      </c>
      <c r="EK147" s="290">
        <f t="shared" ca="1" si="854"/>
        <v>0</v>
      </c>
      <c r="EL147" s="290">
        <f t="shared" ca="1" si="854"/>
        <v>0</v>
      </c>
      <c r="EM147" s="290">
        <f t="shared" ca="1" si="854"/>
        <v>0</v>
      </c>
      <c r="EN147" s="290">
        <f t="shared" ca="1" si="854"/>
        <v>0</v>
      </c>
      <c r="EO147" s="290">
        <f t="shared" ca="1" si="854"/>
        <v>0</v>
      </c>
      <c r="EP147" s="290">
        <f t="shared" ca="1" si="854"/>
        <v>0</v>
      </c>
      <c r="EQ147" s="290">
        <f t="shared" ca="1" si="854"/>
        <v>0</v>
      </c>
      <c r="ER147" s="290">
        <f t="shared" ca="1" si="854"/>
        <v>0</v>
      </c>
      <c r="ES147" s="290">
        <f t="shared" ca="1" si="854"/>
        <v>0</v>
      </c>
      <c r="ET147" s="290">
        <f t="shared" ca="1" si="854"/>
        <v>0</v>
      </c>
      <c r="EU147" s="290">
        <f t="shared" ca="1" si="854"/>
        <v>0</v>
      </c>
      <c r="EV147" s="290">
        <f t="shared" ca="1" si="854"/>
        <v>0</v>
      </c>
      <c r="EW147" s="290">
        <f t="shared" ca="1" si="854"/>
        <v>0</v>
      </c>
      <c r="EX147" s="290">
        <f t="shared" ca="1" si="854"/>
        <v>0</v>
      </c>
      <c r="EY147" s="290">
        <f t="shared" ca="1" si="854"/>
        <v>0</v>
      </c>
      <c r="EZ147" s="290">
        <f t="shared" ca="1" si="854"/>
        <v>0</v>
      </c>
      <c r="FA147" s="290">
        <f t="shared" ca="1" si="854"/>
        <v>0</v>
      </c>
    </row>
    <row r="148" spans="2:157" outlineLevel="1" x14ac:dyDescent="0.2">
      <c r="C148" s="9" t="s">
        <v>447</v>
      </c>
      <c r="D148" s="21" t="s">
        <v>126</v>
      </c>
      <c r="E148" s="5"/>
      <c r="F148" s="5"/>
      <c r="G148" s="290">
        <f>G144</f>
        <v>0</v>
      </c>
      <c r="H148" s="290">
        <f t="shared" ref="H148:BS148" si="855">H144</f>
        <v>0</v>
      </c>
      <c r="I148" s="290">
        <f t="shared" si="855"/>
        <v>0</v>
      </c>
      <c r="J148" s="290">
        <f t="shared" si="855"/>
        <v>0</v>
      </c>
      <c r="K148" s="290">
        <f t="shared" si="855"/>
        <v>0</v>
      </c>
      <c r="L148" s="290">
        <f t="shared" si="855"/>
        <v>0</v>
      </c>
      <c r="M148" s="290">
        <f t="shared" si="855"/>
        <v>0</v>
      </c>
      <c r="N148" s="290">
        <f t="shared" si="855"/>
        <v>0</v>
      </c>
      <c r="O148" s="290">
        <f t="shared" si="855"/>
        <v>0</v>
      </c>
      <c r="P148" s="290">
        <f t="shared" si="855"/>
        <v>0</v>
      </c>
      <c r="Q148" s="290">
        <f t="shared" si="855"/>
        <v>0</v>
      </c>
      <c r="R148" s="290">
        <f t="shared" si="855"/>
        <v>0</v>
      </c>
      <c r="S148" s="290">
        <f t="shared" si="855"/>
        <v>0</v>
      </c>
      <c r="T148" s="290">
        <f t="shared" si="855"/>
        <v>0</v>
      </c>
      <c r="U148" s="290">
        <f t="shared" si="855"/>
        <v>0</v>
      </c>
      <c r="V148" s="290">
        <f t="shared" si="855"/>
        <v>0</v>
      </c>
      <c r="W148" s="290">
        <f t="shared" si="855"/>
        <v>0</v>
      </c>
      <c r="X148" s="290">
        <f t="shared" ca="1" si="855"/>
        <v>0</v>
      </c>
      <c r="Y148" s="290">
        <f t="shared" ca="1" si="855"/>
        <v>0</v>
      </c>
      <c r="Z148" s="290">
        <f t="shared" ca="1" si="855"/>
        <v>0</v>
      </c>
      <c r="AA148" s="290">
        <f t="shared" ca="1" si="855"/>
        <v>0</v>
      </c>
      <c r="AB148" s="290">
        <f t="shared" ca="1" si="855"/>
        <v>0</v>
      </c>
      <c r="AC148" s="290">
        <f t="shared" ca="1" si="855"/>
        <v>0</v>
      </c>
      <c r="AD148" s="290">
        <f t="shared" ca="1" si="855"/>
        <v>0</v>
      </c>
      <c r="AE148" s="290">
        <f t="shared" ca="1" si="855"/>
        <v>0</v>
      </c>
      <c r="AF148" s="290">
        <f t="shared" ca="1" si="855"/>
        <v>0</v>
      </c>
      <c r="AG148" s="290">
        <f t="shared" ca="1" si="855"/>
        <v>0</v>
      </c>
      <c r="AH148" s="290">
        <f t="shared" ca="1" si="855"/>
        <v>0</v>
      </c>
      <c r="AI148" s="290">
        <f t="shared" ca="1" si="855"/>
        <v>0</v>
      </c>
      <c r="AJ148" s="290">
        <f t="shared" ca="1" si="855"/>
        <v>0</v>
      </c>
      <c r="AK148" s="290">
        <f t="shared" ca="1" si="855"/>
        <v>0</v>
      </c>
      <c r="AL148" s="290">
        <f t="shared" ca="1" si="855"/>
        <v>0</v>
      </c>
      <c r="AM148" s="290">
        <f t="shared" ca="1" si="855"/>
        <v>0</v>
      </c>
      <c r="AN148" s="290">
        <f t="shared" ca="1" si="855"/>
        <v>0</v>
      </c>
      <c r="AO148" s="290">
        <f t="shared" ca="1" si="855"/>
        <v>0</v>
      </c>
      <c r="AP148" s="290">
        <f t="shared" ca="1" si="855"/>
        <v>0</v>
      </c>
      <c r="AQ148" s="290">
        <f t="shared" ca="1" si="855"/>
        <v>0</v>
      </c>
      <c r="AR148" s="290">
        <f t="shared" ca="1" si="855"/>
        <v>0</v>
      </c>
      <c r="AS148" s="290">
        <f t="shared" ca="1" si="855"/>
        <v>0</v>
      </c>
      <c r="AT148" s="290">
        <f t="shared" ca="1" si="855"/>
        <v>0</v>
      </c>
      <c r="AU148" s="290">
        <f t="shared" ca="1" si="855"/>
        <v>0</v>
      </c>
      <c r="AV148" s="290">
        <f t="shared" ca="1" si="855"/>
        <v>0</v>
      </c>
      <c r="AW148" s="290">
        <f t="shared" ca="1" si="855"/>
        <v>0</v>
      </c>
      <c r="AX148" s="290">
        <f t="shared" ca="1" si="855"/>
        <v>0</v>
      </c>
      <c r="AY148" s="290">
        <f t="shared" ca="1" si="855"/>
        <v>0</v>
      </c>
      <c r="AZ148" s="290">
        <f t="shared" ca="1" si="855"/>
        <v>0</v>
      </c>
      <c r="BA148" s="290">
        <f t="shared" ca="1" si="855"/>
        <v>0</v>
      </c>
      <c r="BB148" s="290">
        <f t="shared" ca="1" si="855"/>
        <v>0</v>
      </c>
      <c r="BC148" s="290">
        <f t="shared" ca="1" si="855"/>
        <v>0</v>
      </c>
      <c r="BD148" s="290">
        <f t="shared" ca="1" si="855"/>
        <v>0</v>
      </c>
      <c r="BE148" s="290">
        <f t="shared" ca="1" si="855"/>
        <v>0</v>
      </c>
      <c r="BF148" s="290">
        <f t="shared" ca="1" si="855"/>
        <v>0</v>
      </c>
      <c r="BG148" s="290">
        <f t="shared" ca="1" si="855"/>
        <v>0</v>
      </c>
      <c r="BH148" s="290">
        <f t="shared" ca="1" si="855"/>
        <v>0</v>
      </c>
      <c r="BI148" s="290">
        <f t="shared" ca="1" si="855"/>
        <v>0</v>
      </c>
      <c r="BJ148" s="290">
        <f t="shared" ca="1" si="855"/>
        <v>0</v>
      </c>
      <c r="BK148" s="290">
        <f t="shared" ca="1" si="855"/>
        <v>0</v>
      </c>
      <c r="BL148" s="290">
        <f t="shared" ca="1" si="855"/>
        <v>0</v>
      </c>
      <c r="BM148" s="290">
        <f t="shared" ca="1" si="855"/>
        <v>0</v>
      </c>
      <c r="BN148" s="290">
        <f t="shared" ca="1" si="855"/>
        <v>0</v>
      </c>
      <c r="BO148" s="290">
        <f t="shared" ca="1" si="855"/>
        <v>0</v>
      </c>
      <c r="BP148" s="290">
        <f t="shared" ca="1" si="855"/>
        <v>0</v>
      </c>
      <c r="BQ148" s="290">
        <f t="shared" ca="1" si="855"/>
        <v>0</v>
      </c>
      <c r="BR148" s="290">
        <f t="shared" ca="1" si="855"/>
        <v>0</v>
      </c>
      <c r="BS148" s="290">
        <f t="shared" ca="1" si="855"/>
        <v>0</v>
      </c>
      <c r="BT148" s="290">
        <f t="shared" ref="BT148:EE148" ca="1" si="856">BT144</f>
        <v>0</v>
      </c>
      <c r="BU148" s="290">
        <f t="shared" ca="1" si="856"/>
        <v>0</v>
      </c>
      <c r="BV148" s="290">
        <f t="shared" ca="1" si="856"/>
        <v>0</v>
      </c>
      <c r="BW148" s="290">
        <f t="shared" ca="1" si="856"/>
        <v>0</v>
      </c>
      <c r="BX148" s="290">
        <f t="shared" ca="1" si="856"/>
        <v>0</v>
      </c>
      <c r="BY148" s="290">
        <f t="shared" ca="1" si="856"/>
        <v>0</v>
      </c>
      <c r="BZ148" s="290">
        <f t="shared" ca="1" si="856"/>
        <v>0</v>
      </c>
      <c r="CA148" s="290">
        <f t="shared" ca="1" si="856"/>
        <v>0</v>
      </c>
      <c r="CB148" s="290">
        <f t="shared" ca="1" si="856"/>
        <v>0</v>
      </c>
      <c r="CC148" s="290">
        <f t="shared" ca="1" si="856"/>
        <v>0</v>
      </c>
      <c r="CD148" s="290">
        <f t="shared" ca="1" si="856"/>
        <v>0</v>
      </c>
      <c r="CE148" s="290">
        <f t="shared" ca="1" si="856"/>
        <v>0</v>
      </c>
      <c r="CF148" s="290">
        <f t="shared" ca="1" si="856"/>
        <v>0</v>
      </c>
      <c r="CG148" s="290">
        <f t="shared" ca="1" si="856"/>
        <v>0</v>
      </c>
      <c r="CH148" s="290">
        <f t="shared" ca="1" si="856"/>
        <v>0</v>
      </c>
      <c r="CI148" s="290">
        <f t="shared" ca="1" si="856"/>
        <v>0</v>
      </c>
      <c r="CJ148" s="290">
        <f t="shared" ca="1" si="856"/>
        <v>0</v>
      </c>
      <c r="CK148" s="290">
        <f t="shared" ca="1" si="856"/>
        <v>0</v>
      </c>
      <c r="CL148" s="290">
        <f t="shared" ca="1" si="856"/>
        <v>0</v>
      </c>
      <c r="CM148" s="290">
        <f t="shared" ca="1" si="856"/>
        <v>0</v>
      </c>
      <c r="CN148" s="290">
        <f t="shared" ca="1" si="856"/>
        <v>0</v>
      </c>
      <c r="CO148" s="290">
        <f t="shared" ca="1" si="856"/>
        <v>0</v>
      </c>
      <c r="CP148" s="290">
        <f t="shared" ca="1" si="856"/>
        <v>0</v>
      </c>
      <c r="CQ148" s="290">
        <f t="shared" ca="1" si="856"/>
        <v>0</v>
      </c>
      <c r="CR148" s="290">
        <f t="shared" ca="1" si="856"/>
        <v>0</v>
      </c>
      <c r="CS148" s="290">
        <f t="shared" ca="1" si="856"/>
        <v>0</v>
      </c>
      <c r="CT148" s="290">
        <f t="shared" ca="1" si="856"/>
        <v>0</v>
      </c>
      <c r="CU148" s="313">
        <f t="shared" ca="1" si="856"/>
        <v>0</v>
      </c>
      <c r="CV148" s="290">
        <f t="shared" si="856"/>
        <v>0</v>
      </c>
      <c r="CW148" s="290">
        <f t="shared" si="856"/>
        <v>0</v>
      </c>
      <c r="CX148" s="290">
        <f t="shared" si="856"/>
        <v>0</v>
      </c>
      <c r="CY148" s="290">
        <f t="shared" si="856"/>
        <v>0</v>
      </c>
      <c r="CZ148" s="290">
        <f t="shared" si="856"/>
        <v>0</v>
      </c>
      <c r="DA148" s="290">
        <f t="shared" si="856"/>
        <v>0</v>
      </c>
      <c r="DB148" s="290">
        <f t="shared" si="856"/>
        <v>0</v>
      </c>
      <c r="DC148" s="290">
        <f t="shared" si="856"/>
        <v>0</v>
      </c>
      <c r="DD148" s="290">
        <f t="shared" si="856"/>
        <v>0</v>
      </c>
      <c r="DE148" s="290">
        <f t="shared" si="856"/>
        <v>0</v>
      </c>
      <c r="DF148" s="290">
        <f t="shared" si="856"/>
        <v>0</v>
      </c>
      <c r="DG148" s="290">
        <f t="shared" si="856"/>
        <v>0</v>
      </c>
      <c r="DH148" s="290">
        <f t="shared" si="856"/>
        <v>0</v>
      </c>
      <c r="DI148" s="290">
        <f t="shared" si="856"/>
        <v>0</v>
      </c>
      <c r="DJ148" s="290">
        <f t="shared" si="856"/>
        <v>0</v>
      </c>
      <c r="DK148" s="290">
        <f t="shared" si="856"/>
        <v>0</v>
      </c>
      <c r="DL148" s="290">
        <f t="shared" si="856"/>
        <v>0</v>
      </c>
      <c r="DM148" s="290">
        <f t="shared" si="856"/>
        <v>0</v>
      </c>
      <c r="DN148" s="290">
        <f t="shared" si="856"/>
        <v>0</v>
      </c>
      <c r="DO148" s="290">
        <f t="shared" si="856"/>
        <v>0</v>
      </c>
      <c r="DP148" s="290">
        <f t="shared" si="856"/>
        <v>0</v>
      </c>
      <c r="DQ148" s="290">
        <f t="shared" si="856"/>
        <v>0</v>
      </c>
      <c r="DR148" s="290">
        <f t="shared" si="856"/>
        <v>0</v>
      </c>
      <c r="DS148" s="290">
        <f t="shared" si="856"/>
        <v>0</v>
      </c>
      <c r="DT148" s="290">
        <f t="shared" si="856"/>
        <v>0</v>
      </c>
      <c r="DU148" s="290">
        <f t="shared" si="856"/>
        <v>0</v>
      </c>
      <c r="DV148" s="290">
        <f t="shared" si="856"/>
        <v>0</v>
      </c>
      <c r="DW148" s="290">
        <f t="shared" si="856"/>
        <v>0</v>
      </c>
      <c r="DX148" s="290">
        <f t="shared" si="856"/>
        <v>0</v>
      </c>
      <c r="DY148" s="290">
        <f t="shared" si="856"/>
        <v>0</v>
      </c>
      <c r="DZ148" s="290">
        <f t="shared" si="856"/>
        <v>0</v>
      </c>
      <c r="EA148" s="290">
        <f t="shared" si="856"/>
        <v>0</v>
      </c>
      <c r="EB148" s="290">
        <f t="shared" si="856"/>
        <v>0</v>
      </c>
      <c r="EC148" s="290">
        <f t="shared" si="856"/>
        <v>0</v>
      </c>
      <c r="ED148" s="290">
        <f t="shared" si="856"/>
        <v>0</v>
      </c>
      <c r="EE148" s="290">
        <f t="shared" si="856"/>
        <v>0</v>
      </c>
      <c r="EF148" s="290">
        <f t="shared" ref="EF148:FA148" si="857">EF144</f>
        <v>0</v>
      </c>
      <c r="EG148" s="290">
        <f t="shared" si="857"/>
        <v>0</v>
      </c>
      <c r="EH148" s="290">
        <f t="shared" si="857"/>
        <v>0</v>
      </c>
      <c r="EI148" s="290">
        <f t="shared" si="857"/>
        <v>0</v>
      </c>
      <c r="EJ148" s="290">
        <f t="shared" si="857"/>
        <v>0</v>
      </c>
      <c r="EK148" s="290">
        <f t="shared" si="857"/>
        <v>0</v>
      </c>
      <c r="EL148" s="290">
        <f t="shared" si="857"/>
        <v>0</v>
      </c>
      <c r="EM148" s="290">
        <f t="shared" si="857"/>
        <v>0</v>
      </c>
      <c r="EN148" s="290">
        <f t="shared" si="857"/>
        <v>0</v>
      </c>
      <c r="EO148" s="290">
        <f t="shared" si="857"/>
        <v>0</v>
      </c>
      <c r="EP148" s="290">
        <f t="shared" si="857"/>
        <v>0</v>
      </c>
      <c r="EQ148" s="290">
        <f t="shared" si="857"/>
        <v>0</v>
      </c>
      <c r="ER148" s="290">
        <f t="shared" si="857"/>
        <v>0</v>
      </c>
      <c r="ES148" s="290">
        <f t="shared" si="857"/>
        <v>0</v>
      </c>
      <c r="ET148" s="290">
        <f t="shared" si="857"/>
        <v>0</v>
      </c>
      <c r="EU148" s="290">
        <f t="shared" si="857"/>
        <v>0</v>
      </c>
      <c r="EV148" s="290">
        <f t="shared" si="857"/>
        <v>0</v>
      </c>
      <c r="EW148" s="290">
        <f t="shared" si="857"/>
        <v>0</v>
      </c>
      <c r="EX148" s="290">
        <f t="shared" si="857"/>
        <v>0</v>
      </c>
      <c r="EY148" s="290">
        <f t="shared" si="857"/>
        <v>0</v>
      </c>
      <c r="EZ148" s="290">
        <f t="shared" si="857"/>
        <v>0</v>
      </c>
      <c r="FA148" s="290">
        <f t="shared" si="857"/>
        <v>0</v>
      </c>
    </row>
    <row r="149" spans="2:157" outlineLevel="1" x14ac:dyDescent="0.2">
      <c r="C149" s="9" t="s">
        <v>445</v>
      </c>
      <c r="D149" s="21" t="s">
        <v>126</v>
      </c>
      <c r="E149" s="5"/>
      <c r="F149" s="5"/>
      <c r="G149" s="290">
        <f>IF(AND(G141&gt;=Min_LLCR,F141&gt;=Inputs_Assumptions!$E$188,F141&lt;Min_LLCR-0.001),G147+G148,0)</f>
        <v>0</v>
      </c>
      <c r="H149" s="290">
        <f>IF(AND(H141&gt;=Min_LLCR,G141&gt;=Inputs_Assumptions!$E$188,G141&lt;Min_LLCR-0.001),H147+H148,0)</f>
        <v>0</v>
      </c>
      <c r="I149" s="290">
        <f>IF(AND(I141&gt;=Min_LLCR,H141&gt;=Inputs_Assumptions!$E$188,H141&lt;Min_LLCR-0.001),I147+I148,0)</f>
        <v>0</v>
      </c>
      <c r="J149" s="290">
        <f>IF(AND(J141&gt;=Min_LLCR,I141&gt;=Inputs_Assumptions!$E$188,I141&lt;Min_LLCR-0.001),J147+J148,0)</f>
        <v>0</v>
      </c>
      <c r="K149" s="290">
        <f>IF(AND(K141&gt;=Min_LLCR,J141&gt;=Inputs_Assumptions!$E$188,J141&lt;Min_LLCR-0.001),K147+K148,0)</f>
        <v>0</v>
      </c>
      <c r="L149" s="290">
        <f>IF(AND(L141&gt;=Min_LLCR,K141&gt;=Inputs_Assumptions!$E$188,K141&lt;Min_LLCR-0.001),L147+L148,0)</f>
        <v>0</v>
      </c>
      <c r="M149" s="290">
        <f>IF(AND(M141&gt;=Min_LLCR,L141&gt;=Inputs_Assumptions!$E$188,L141&lt;Min_LLCR-0.001),M147+M148,0)</f>
        <v>0</v>
      </c>
      <c r="N149" s="290">
        <f>IF(AND(N141&gt;=Min_LLCR,M141&gt;=Inputs_Assumptions!$E$188,M141&lt;Min_LLCR-0.001),N147+N148,0)</f>
        <v>0</v>
      </c>
      <c r="O149" s="290">
        <f>IF(AND(O141&gt;=Min_LLCR,N141&gt;=Inputs_Assumptions!$E$188,N141&lt;Min_LLCR-0.001),O147+O148,0)</f>
        <v>0</v>
      </c>
      <c r="P149" s="290">
        <f>IF(AND(P141&gt;=Min_LLCR,O141&gt;=Inputs_Assumptions!$E$188,O141&lt;Min_LLCR-0.001),P147+P148,0)</f>
        <v>0</v>
      </c>
      <c r="Q149" s="290">
        <f>IF(AND(Q141&gt;=Min_LLCR,P141&gt;=Inputs_Assumptions!$E$188,P141&lt;Min_LLCR-0.001),Q147+Q148,0)</f>
        <v>0</v>
      </c>
      <c r="R149" s="290">
        <f>IF(AND(R141&gt;=Min_LLCR,Q141&gt;=Inputs_Assumptions!$E$188,Q141&lt;Min_LLCR-0.001),R147+R148,0)</f>
        <v>0</v>
      </c>
      <c r="S149" s="290">
        <f>IF(AND(S141&gt;=Min_LLCR,R141&gt;=Inputs_Assumptions!$E$188,R141&lt;Min_LLCR-0.001),S147+S148,0)</f>
        <v>0</v>
      </c>
      <c r="T149" s="290">
        <f>IF(AND(T141&gt;=Min_LLCR,S141&gt;=Inputs_Assumptions!$E$188,S141&lt;Min_LLCR-0.001),T147+T148,0)</f>
        <v>0</v>
      </c>
      <c r="U149" s="290">
        <f>IF(AND(U141&gt;=Min_LLCR,T141&gt;=Inputs_Assumptions!$E$188,T141&lt;Min_LLCR-0.001),U147+U148,0)</f>
        <v>0</v>
      </c>
      <c r="V149" s="290">
        <f>IF(AND(V141&gt;=Min_LLCR,U141&gt;=Inputs_Assumptions!$E$188,U141&lt;Min_LLCR-0.001),V147+V148,0)</f>
        <v>0</v>
      </c>
      <c r="W149" s="290">
        <f>IF(AND(W141&gt;=Min_LLCR,V141&gt;=Inputs_Assumptions!$E$188,V141&lt;Min_LLCR-0.001),W147+W148,0)</f>
        <v>0</v>
      </c>
      <c r="X149" s="290">
        <f ca="1">IF(AND(X141&gt;=Min_LLCR,W141&gt;=Inputs_Assumptions!$E$188,W141&lt;Min_LLCR-0.001),X147+X148,0)</f>
        <v>0</v>
      </c>
      <c r="Y149" s="290">
        <f ca="1">IF(AND(Y141&gt;=Min_LLCR,X141&gt;=Inputs_Assumptions!$E$188,X141&lt;Min_LLCR-0.001),Y147+Y148,0)</f>
        <v>0</v>
      </c>
      <c r="Z149" s="290">
        <f ca="1">IF(AND(Z141&gt;=Min_LLCR,Y141&gt;=Inputs_Assumptions!$E$188,Y141&lt;Min_LLCR-0.001),Z147+Z148,0)</f>
        <v>0</v>
      </c>
      <c r="AA149" s="290">
        <f ca="1">IF(AND(AA141&gt;=Min_LLCR,Z141&gt;=Inputs_Assumptions!$E$188,Z141&lt;Min_LLCR-0.001),AA147+AA148,0)</f>
        <v>0</v>
      </c>
      <c r="AB149" s="290">
        <f ca="1">IF(AND(AB141&gt;=Min_LLCR,AA141&gt;=Inputs_Assumptions!$E$188,AA141&lt;Min_LLCR-0.001),AB147+AB148,0)</f>
        <v>0</v>
      </c>
      <c r="AC149" s="290">
        <f ca="1">IF(AND(AC141&gt;=Min_LLCR,AB141&gt;=Inputs_Assumptions!$E$188,AB141&lt;Min_LLCR-0.001),AC147+AC148,0)</f>
        <v>0</v>
      </c>
      <c r="AD149" s="290">
        <f ca="1">IF(AND(AD141&gt;=Min_LLCR,AC141&gt;=Inputs_Assumptions!$E$188,AC141&lt;Min_LLCR-0.001),AD147+AD148,0)</f>
        <v>0</v>
      </c>
      <c r="AE149" s="290">
        <f ca="1">IF(AND(AE141&gt;=Min_LLCR,AD141&gt;=Inputs_Assumptions!$E$188,AD141&lt;Min_LLCR-0.001),AE147+AE148,0)</f>
        <v>0</v>
      </c>
      <c r="AF149" s="290">
        <f ca="1">IF(AND(AF141&gt;=Min_LLCR,AE141&gt;=Inputs_Assumptions!$E$188,AE141&lt;Min_LLCR-0.001),AF147+AF148,0)</f>
        <v>0</v>
      </c>
      <c r="AG149" s="290">
        <f ca="1">IF(AND(AG141&gt;=Min_LLCR,AF141&gt;=Inputs_Assumptions!$E$188,AF141&lt;Min_LLCR-0.001),AG147+AG148,0)</f>
        <v>0</v>
      </c>
      <c r="AH149" s="290">
        <f ca="1">IF(AND(AH141&gt;=Min_LLCR,AG141&gt;=Inputs_Assumptions!$E$188,AG141&lt;Min_LLCR-0.001),AH147+AH148,0)</f>
        <v>0</v>
      </c>
      <c r="AI149" s="290">
        <f ca="1">IF(AND(AI141&gt;=Min_LLCR,AH141&gt;=Inputs_Assumptions!$E$188,AH141&lt;Min_LLCR-0.001),AI147+AI148,0)</f>
        <v>0</v>
      </c>
      <c r="AJ149" s="290">
        <f ca="1">IF(AND(AJ141&gt;=Min_LLCR,AI141&gt;=Inputs_Assumptions!$E$188,AI141&lt;Min_LLCR-0.001),AJ147+AJ148,0)</f>
        <v>0</v>
      </c>
      <c r="AK149" s="290">
        <f ca="1">IF(AND(AK141&gt;=Min_LLCR,AJ141&gt;=Inputs_Assumptions!$E$188,AJ141&lt;Min_LLCR-0.001),AK147+AK148,0)</f>
        <v>0</v>
      </c>
      <c r="AL149" s="290">
        <f ca="1">IF(AND(AL141&gt;=Min_LLCR,AK141&gt;=Inputs_Assumptions!$E$188,AK141&lt;Min_LLCR-0.001),AL147+AL148,0)</f>
        <v>0</v>
      </c>
      <c r="AM149" s="290">
        <f ca="1">IF(AND(AM141&gt;=Min_LLCR,AL141&gt;=Inputs_Assumptions!$E$188,AL141&lt;Min_LLCR-0.001),AM147+AM148,0)</f>
        <v>0</v>
      </c>
      <c r="AN149" s="290">
        <f ca="1">IF(AND(AN141&gt;=Min_LLCR,AM141&gt;=Inputs_Assumptions!$E$188,AM141&lt;Min_LLCR-0.001),AN147+AN148,0)</f>
        <v>0</v>
      </c>
      <c r="AO149" s="290">
        <f ca="1">IF(AND(AO141&gt;=Min_LLCR,AN141&gt;=Inputs_Assumptions!$E$188,AN141&lt;Min_LLCR-0.001),AO147+AO148,0)</f>
        <v>0</v>
      </c>
      <c r="AP149" s="290">
        <f ca="1">IF(AND(AP141&gt;=Min_LLCR,AO141&gt;=Inputs_Assumptions!$E$188,AO141&lt;Min_LLCR-0.001),AP147+AP148,0)</f>
        <v>0</v>
      </c>
      <c r="AQ149" s="290">
        <f ca="1">IF(AND(AQ141&gt;=Min_LLCR,AP141&gt;=Inputs_Assumptions!$E$188,AP141&lt;Min_LLCR-0.001),AQ147+AQ148,0)</f>
        <v>0</v>
      </c>
      <c r="AR149" s="290">
        <f ca="1">IF(AND(AR141&gt;=Min_LLCR,AQ141&gt;=Inputs_Assumptions!$E$188,AQ141&lt;Min_LLCR-0.001),AR147+AR148,0)</f>
        <v>0</v>
      </c>
      <c r="AS149" s="290">
        <f ca="1">IF(AND(AS141&gt;=Min_LLCR,AR141&gt;=Inputs_Assumptions!$E$188,AR141&lt;Min_LLCR-0.001),AS147+AS148,0)</f>
        <v>0</v>
      </c>
      <c r="AT149" s="290">
        <f ca="1">IF(AND(AT141&gt;=Min_LLCR,AS141&gt;=Inputs_Assumptions!$E$188,AS141&lt;Min_LLCR-0.001),AT147+AT148,0)</f>
        <v>0</v>
      </c>
      <c r="AU149" s="290">
        <f ca="1">IF(AND(AU141&gt;=Min_LLCR,AT141&gt;=Inputs_Assumptions!$E$188,AT141&lt;Min_LLCR-0.001),AU147+AU148,0)</f>
        <v>0</v>
      </c>
      <c r="AV149" s="290">
        <f ca="1">IF(AND(AV141&gt;=Min_LLCR,AU141&gt;=Inputs_Assumptions!$E$188,AU141&lt;Min_LLCR-0.001),AV147+AV148,0)</f>
        <v>0</v>
      </c>
      <c r="AW149" s="290">
        <f ca="1">IF(AND(AW141&gt;=Min_LLCR,AV141&gt;=Inputs_Assumptions!$E$188,AV141&lt;Min_LLCR-0.001),AW147+AW148,0)</f>
        <v>0</v>
      </c>
      <c r="AX149" s="290">
        <f ca="1">IF(AND(AX141&gt;=Min_LLCR,AW141&gt;=Inputs_Assumptions!$E$188,AW141&lt;Min_LLCR-0.001),AX147+AX148,0)</f>
        <v>0</v>
      </c>
      <c r="AY149" s="290">
        <f ca="1">IF(AND(AY141&gt;=Min_LLCR,AX141&gt;=Inputs_Assumptions!$E$188,AX141&lt;Min_LLCR-0.001),AY147+AY148,0)</f>
        <v>0</v>
      </c>
      <c r="AZ149" s="290">
        <f ca="1">IF(AND(AZ141&gt;=Min_LLCR,AY141&gt;=Inputs_Assumptions!$E$188,AY141&lt;Min_LLCR-0.001),AZ147+AZ148,0)</f>
        <v>0</v>
      </c>
      <c r="BA149" s="290">
        <f ca="1">IF(AND(BA141&gt;=Min_LLCR,AZ141&gt;=Inputs_Assumptions!$E$188,AZ141&lt;Min_LLCR-0.001),BA147+BA148,0)</f>
        <v>0</v>
      </c>
      <c r="BB149" s="290">
        <f ca="1">IF(AND(BB141&gt;=Min_LLCR,BA141&gt;=Inputs_Assumptions!$E$188,BA141&lt;Min_LLCR-0.001),BB147+BB148,0)</f>
        <v>0</v>
      </c>
      <c r="BC149" s="290">
        <f ca="1">IF(AND(BC141&gt;=Min_LLCR,BB141&gt;=Inputs_Assumptions!$E$188,BB141&lt;Min_LLCR-0.001),BC147+BC148,0)</f>
        <v>0</v>
      </c>
      <c r="BD149" s="290">
        <f ca="1">IF(AND(BD141&gt;=Min_LLCR,BC141&gt;=Inputs_Assumptions!$E$188,BC141&lt;Min_LLCR-0.001),BD147+BD148,0)</f>
        <v>0</v>
      </c>
      <c r="BE149" s="290">
        <f ca="1">IF(AND(BE141&gt;=Min_LLCR,BD141&gt;=Inputs_Assumptions!$E$188,BD141&lt;Min_LLCR-0.001),BE147+BE148,0)</f>
        <v>0</v>
      </c>
      <c r="BF149" s="290">
        <f ca="1">IF(AND(BF141&gt;=Min_LLCR,BE141&gt;=Inputs_Assumptions!$E$188,BE141&lt;Min_LLCR-0.001),BF147+BF148,0)</f>
        <v>0</v>
      </c>
      <c r="BG149" s="290">
        <f ca="1">IF(AND(BG141&gt;=Min_LLCR,BF141&gt;=Inputs_Assumptions!$E$188,BF141&lt;Min_LLCR-0.001),BG147+BG148,0)</f>
        <v>0</v>
      </c>
      <c r="BH149" s="290">
        <f ca="1">IF(AND(BH141&gt;=Min_LLCR,BG141&gt;=Inputs_Assumptions!$E$188,BG141&lt;Min_LLCR-0.001),BH147+BH148,0)</f>
        <v>0</v>
      </c>
      <c r="BI149" s="290">
        <f ca="1">IF(AND(BI141&gt;=Min_LLCR,BH141&gt;=Inputs_Assumptions!$E$188,BH141&lt;Min_LLCR-0.001),BI147+BI148,0)</f>
        <v>0</v>
      </c>
      <c r="BJ149" s="290">
        <f ca="1">IF(AND(BJ141&gt;=Min_LLCR,BI141&gt;=Inputs_Assumptions!$E$188,BI141&lt;Min_LLCR-0.001),BJ147+BJ148,0)</f>
        <v>0</v>
      </c>
      <c r="BK149" s="290">
        <f ca="1">IF(AND(BK141&gt;=Min_LLCR,BJ141&gt;=Inputs_Assumptions!$E$188,BJ141&lt;Min_LLCR-0.001),BK147+BK148,0)</f>
        <v>0</v>
      </c>
      <c r="BL149" s="290">
        <f ca="1">IF(AND(BL141&gt;=Min_LLCR,BK141&gt;=Inputs_Assumptions!$E$188,BK141&lt;Min_LLCR-0.001),BL147+BL148,0)</f>
        <v>0</v>
      </c>
      <c r="BM149" s="290">
        <f ca="1">IF(AND(BM141&gt;=Min_LLCR,BL141&gt;=Inputs_Assumptions!$E$188,BL141&lt;Min_LLCR-0.001),BM147+BM148,0)</f>
        <v>0</v>
      </c>
      <c r="BN149" s="290">
        <f ca="1">IF(AND(BN141&gt;=Min_LLCR,BM141&gt;=Inputs_Assumptions!$E$188,BM141&lt;Min_LLCR-0.001),BN147+BN148,0)</f>
        <v>0</v>
      </c>
      <c r="BO149" s="290">
        <f ca="1">IF(AND(BO141&gt;=Min_LLCR,BN141&gt;=Inputs_Assumptions!$E$188,BN141&lt;Min_LLCR-0.001),BO147+BO148,0)</f>
        <v>0</v>
      </c>
      <c r="BP149" s="290">
        <f ca="1">IF(AND(BP141&gt;=Min_LLCR,BO141&gt;=Inputs_Assumptions!$E$188,BO141&lt;Min_LLCR-0.001),BP147+BP148,0)</f>
        <v>0</v>
      </c>
      <c r="BQ149" s="290">
        <f ca="1">IF(AND(BQ141&gt;=Min_LLCR,BP141&gt;=Inputs_Assumptions!$E$188,BP141&lt;Min_LLCR-0.001),BQ147+BQ148,0)</f>
        <v>0</v>
      </c>
      <c r="BR149" s="290">
        <f ca="1">IF(AND(BR141&gt;=Min_LLCR,BQ141&gt;=Inputs_Assumptions!$E$188,BQ141&lt;Min_LLCR-0.001),BR147+BR148,0)</f>
        <v>0</v>
      </c>
      <c r="BS149" s="290">
        <f ca="1">IF(AND(BS141&gt;=Min_LLCR,BR141&gt;=Inputs_Assumptions!$E$188,BR141&lt;Min_LLCR-0.001),BS147+BS148,0)</f>
        <v>0</v>
      </c>
      <c r="BT149" s="290">
        <f ca="1">IF(AND(BT141&gt;=Min_LLCR,BS141&gt;=Inputs_Assumptions!$E$188,BS141&lt;Min_LLCR-0.001),BT147+BT148,0)</f>
        <v>0</v>
      </c>
      <c r="BU149" s="290">
        <f ca="1">IF(AND(BU141&gt;=Min_LLCR,BT141&gt;=Inputs_Assumptions!$E$188,BT141&lt;Min_LLCR-0.001),BU147+BU148,0)</f>
        <v>0</v>
      </c>
      <c r="BV149" s="290">
        <f ca="1">IF(AND(BV141&gt;=Min_LLCR,BU141&gt;=Inputs_Assumptions!$E$188,BU141&lt;Min_LLCR-0.001),BV147+BV148,0)</f>
        <v>0</v>
      </c>
      <c r="BW149" s="290">
        <f ca="1">IF(AND(BW141&gt;=Min_LLCR,BV141&gt;=Inputs_Assumptions!$E$188,BV141&lt;Min_LLCR-0.001),BW147+BW148,0)</f>
        <v>0</v>
      </c>
      <c r="BX149" s="290">
        <f ca="1">IF(AND(BX141&gt;=Min_LLCR,BW141&gt;=Inputs_Assumptions!$E$188,BW141&lt;Min_LLCR-0.001),BX147+BX148,0)</f>
        <v>0</v>
      </c>
      <c r="BY149" s="290">
        <f ca="1">IF(AND(BY141&gt;=Min_LLCR,BX141&gt;=Inputs_Assumptions!$E$188,BX141&lt;Min_LLCR-0.001),BY147+BY148,0)</f>
        <v>0</v>
      </c>
      <c r="BZ149" s="290">
        <f ca="1">IF(AND(BZ141&gt;=Min_LLCR,BY141&gt;=Inputs_Assumptions!$E$188,BY141&lt;Min_LLCR-0.001),BZ147+BZ148,0)</f>
        <v>0</v>
      </c>
      <c r="CA149" s="290">
        <f ca="1">IF(AND(CA141&gt;=Min_LLCR,BZ141&gt;=Inputs_Assumptions!$E$188,BZ141&lt;Min_LLCR-0.001),CA147+CA148,0)</f>
        <v>0</v>
      </c>
      <c r="CB149" s="290">
        <f ca="1">IF(AND(CB141&gt;=Min_LLCR,CA141&gt;=Inputs_Assumptions!$E$188,CA141&lt;Min_LLCR-0.001),CB147+CB148,0)</f>
        <v>0</v>
      </c>
      <c r="CC149" s="290">
        <f ca="1">IF(AND(CC141&gt;=Min_LLCR,CB141&gt;=Inputs_Assumptions!$E$188,CB141&lt;Min_LLCR-0.001),CC147+CC148,0)</f>
        <v>0</v>
      </c>
      <c r="CD149" s="290">
        <f ca="1">IF(AND(CD141&gt;=Min_LLCR,CC141&gt;=Inputs_Assumptions!$E$188,CC141&lt;Min_LLCR-0.001),CD147+CD148,0)</f>
        <v>0</v>
      </c>
      <c r="CE149" s="290">
        <f ca="1">IF(AND(CE141&gt;=Min_LLCR,CD141&gt;=Inputs_Assumptions!$E$188,CD141&lt;Min_LLCR-0.001),CE147+CE148,0)</f>
        <v>0</v>
      </c>
      <c r="CF149" s="290">
        <f ca="1">IF(AND(CF141&gt;=Min_LLCR,CE141&gt;=Inputs_Assumptions!$E$188,CE141&lt;Min_LLCR-0.001),CF147+CF148,0)</f>
        <v>0</v>
      </c>
      <c r="CG149" s="290">
        <f ca="1">IF(AND(CG141&gt;=Min_LLCR,CF141&gt;=Inputs_Assumptions!$E$188,CF141&lt;Min_LLCR-0.001),CG147+CG148,0)</f>
        <v>0</v>
      </c>
      <c r="CH149" s="290">
        <f ca="1">IF(AND(CH141&gt;=Min_LLCR,CG141&gt;=Inputs_Assumptions!$E$188,CG141&lt;Min_LLCR-0.001),CH147+CH148,0)</f>
        <v>0</v>
      </c>
      <c r="CI149" s="290">
        <f ca="1">IF(AND(CI141&gt;=Min_LLCR,CH141&gt;=Inputs_Assumptions!$E$188,CH141&lt;Min_LLCR-0.001),CI147+CI148,0)</f>
        <v>0</v>
      </c>
      <c r="CJ149" s="290">
        <f ca="1">IF(AND(CJ141&gt;=Min_LLCR,CI141&gt;=Inputs_Assumptions!$E$188,CI141&lt;Min_LLCR-0.001),CJ147+CJ148,0)</f>
        <v>0</v>
      </c>
      <c r="CK149" s="290">
        <f ca="1">IF(AND(CK141&gt;=Min_LLCR,CJ141&gt;=Inputs_Assumptions!$E$188,CJ141&lt;Min_LLCR-0.001),CK147+CK148,0)</f>
        <v>0</v>
      </c>
      <c r="CL149" s="290">
        <f ca="1">IF(AND(CL141&gt;=Min_LLCR,CK141&gt;=Inputs_Assumptions!$E$188,CK141&lt;Min_LLCR-0.001),CL147+CL148,0)</f>
        <v>0</v>
      </c>
      <c r="CM149" s="290">
        <f ca="1">IF(AND(CM141&gt;=Min_LLCR,CL141&gt;=Inputs_Assumptions!$E$188,CL141&lt;Min_LLCR-0.001),CM147+CM148,0)</f>
        <v>0</v>
      </c>
      <c r="CN149" s="290">
        <f ca="1">IF(AND(CN141&gt;=Min_LLCR,CM141&gt;=Inputs_Assumptions!$E$188,CM141&lt;Min_LLCR-0.001),CN147+CN148,0)</f>
        <v>0</v>
      </c>
      <c r="CO149" s="290">
        <f ca="1">IF(AND(CO141&gt;=Min_LLCR,CN141&gt;=Inputs_Assumptions!$E$188,CN141&lt;Min_LLCR-0.001),CO147+CO148,0)</f>
        <v>0</v>
      </c>
      <c r="CP149" s="290">
        <f ca="1">IF(AND(CP141&gt;=Min_LLCR,CO141&gt;=Inputs_Assumptions!$E$188,CO141&lt;Min_LLCR-0.001),CP147+CP148,0)</f>
        <v>0</v>
      </c>
      <c r="CQ149" s="290">
        <f ca="1">IF(AND(CQ141&gt;=Min_LLCR,CP141&gt;=Inputs_Assumptions!$E$188,CP141&lt;Min_LLCR-0.001),CQ147+CQ148,0)</f>
        <v>0</v>
      </c>
      <c r="CR149" s="290">
        <f ca="1">IF(AND(CR141&gt;=Min_LLCR,CQ141&gt;=Inputs_Assumptions!$E$188,CQ141&lt;Min_LLCR-0.001),CR147+CR148,0)</f>
        <v>0</v>
      </c>
      <c r="CS149" s="290">
        <f ca="1">IF(AND(CS141&gt;=Min_LLCR,CR141&gt;=Inputs_Assumptions!$E$188,CR141&lt;Min_LLCR-0.001),CS147+CS148,0)</f>
        <v>0</v>
      </c>
      <c r="CT149" s="290">
        <f ca="1">IF(AND(CT141&gt;=Min_LLCR,CS141&gt;=Inputs_Assumptions!$E$188,CS141&lt;Min_LLCR-0.001),CT147+CT148,0)</f>
        <v>0</v>
      </c>
      <c r="CU149" s="313">
        <f ca="1">IF(AND(CU141&gt;=Min_LLCR,CT141&gt;=Inputs_Assumptions!$E$188,CT141&lt;Min_LLCR-0.001),CU147+CU148,0)</f>
        <v>0</v>
      </c>
      <c r="CV149" s="290">
        <f ca="1">IF(AND(CV141&gt;=Min_LLCR,CU141&gt;=Inputs_Assumptions!$E$188,CU141&lt;Min_LLCR-0.001),CV147+CV148,0)</f>
        <v>0</v>
      </c>
      <c r="CW149" s="290">
        <f>IF(AND(CW141&gt;=Min_LLCR,CV141&gt;=Inputs_Assumptions!$E$188,CV141&lt;Min_LLCR-0.001),CW147+CW148,0)</f>
        <v>0</v>
      </c>
      <c r="CX149" s="290">
        <f>IF(AND(CX141&gt;=Min_LLCR,CW141&gt;=Inputs_Assumptions!$E$188,CW141&lt;Min_LLCR-0.001),CX147+CX148,0)</f>
        <v>0</v>
      </c>
      <c r="CY149" s="290">
        <f>IF(AND(CY141&gt;=Min_LLCR,CX141&gt;=Inputs_Assumptions!$E$188,CX141&lt;Min_LLCR-0.001),CY147+CY148,0)</f>
        <v>0</v>
      </c>
      <c r="CZ149" s="290">
        <f>IF(AND(CZ141&gt;=Min_LLCR,CY141&gt;=Inputs_Assumptions!$E$188,CY141&lt;Min_LLCR-0.001),CZ147+CZ148,0)</f>
        <v>0</v>
      </c>
      <c r="DA149" s="290">
        <f>IF(AND(DA141&gt;=Min_LLCR,CZ141&gt;=Inputs_Assumptions!$E$188,CZ141&lt;Min_LLCR-0.001),DA147+DA148,0)</f>
        <v>0</v>
      </c>
      <c r="DB149" s="290">
        <f>IF(AND(DB141&gt;=Min_LLCR,DA141&gt;=Inputs_Assumptions!$E$188,DA141&lt;Min_LLCR-0.001),DB147+DB148,0)</f>
        <v>0</v>
      </c>
      <c r="DC149" s="290">
        <f>IF(AND(DC141&gt;=Min_LLCR,DB141&gt;=Inputs_Assumptions!$E$188,DB141&lt;Min_LLCR-0.001),DC147+DC148,0)</f>
        <v>0</v>
      </c>
      <c r="DD149" s="290">
        <f>IF(AND(DD141&gt;=Min_LLCR,DC141&gt;=Inputs_Assumptions!$E$188,DC141&lt;Min_LLCR-0.001),DD147+DD148,0)</f>
        <v>0</v>
      </c>
      <c r="DE149" s="290">
        <f>IF(AND(DE141&gt;=Min_LLCR,DD141&gt;=Inputs_Assumptions!$E$188,DD141&lt;Min_LLCR-0.001),DE147+DE148,0)</f>
        <v>0</v>
      </c>
      <c r="DF149" s="290">
        <f>IF(AND(DF141&gt;=Min_LLCR,DE141&gt;=Inputs_Assumptions!$E$188,DE141&lt;Min_LLCR-0.001),DF147+DF148,0)</f>
        <v>0</v>
      </c>
      <c r="DG149" s="290">
        <f>IF(AND(DG141&gt;=Min_LLCR,DF141&gt;=Inputs_Assumptions!$E$188,DF141&lt;Min_LLCR-0.001),DG147+DG148,0)</f>
        <v>0</v>
      </c>
      <c r="DH149" s="290">
        <f>IF(AND(DH141&gt;=Min_LLCR,DG141&gt;=Inputs_Assumptions!$E$188,DG141&lt;Min_LLCR-0.001),DH147+DH148,0)</f>
        <v>0</v>
      </c>
      <c r="DI149" s="290">
        <f>IF(AND(DI141&gt;=Min_LLCR,DH141&gt;=Inputs_Assumptions!$E$188,DH141&lt;Min_LLCR-0.001),DI147+DI148,0)</f>
        <v>0</v>
      </c>
      <c r="DJ149" s="290">
        <f>IF(AND(DJ141&gt;=Min_LLCR,DI141&gt;=Inputs_Assumptions!$E$188,DI141&lt;Min_LLCR-0.001),DJ147+DJ148,0)</f>
        <v>0</v>
      </c>
      <c r="DK149" s="290">
        <f>IF(AND(DK141&gt;=Min_LLCR,DJ141&gt;=Inputs_Assumptions!$E$188,DJ141&lt;Min_LLCR-0.001),DK147+DK148,0)</f>
        <v>0</v>
      </c>
      <c r="DL149" s="290">
        <f>IF(AND(DL141&gt;=Min_LLCR,DK141&gt;=Inputs_Assumptions!$E$188,DK141&lt;Min_LLCR-0.001),DL147+DL148,0)</f>
        <v>0</v>
      </c>
      <c r="DM149" s="290">
        <f>IF(AND(DM141&gt;=Min_LLCR,DL141&gt;=Inputs_Assumptions!$E$188,DL141&lt;Min_LLCR-0.001),DM147+DM148,0)</f>
        <v>0</v>
      </c>
      <c r="DN149" s="290">
        <f>IF(AND(DN141&gt;=Min_LLCR,DM141&gt;=Inputs_Assumptions!$E$188,DM141&lt;Min_LLCR-0.001),DN147+DN148,0)</f>
        <v>0</v>
      </c>
      <c r="DO149" s="290">
        <f>IF(AND(DO141&gt;=Min_LLCR,DN141&gt;=Inputs_Assumptions!$E$188,DN141&lt;Min_LLCR-0.001),DO147+DO148,0)</f>
        <v>0</v>
      </c>
      <c r="DP149" s="290">
        <f>IF(AND(DP141&gt;=Min_LLCR,DO141&gt;=Inputs_Assumptions!$E$188,DO141&lt;Min_LLCR-0.001),DP147+DP148,0)</f>
        <v>0</v>
      </c>
      <c r="DQ149" s="290">
        <f>IF(AND(DQ141&gt;=Min_LLCR,DP141&gt;=Inputs_Assumptions!$E$188,DP141&lt;Min_LLCR-0.001),DQ147+DQ148,0)</f>
        <v>0</v>
      </c>
      <c r="DR149" s="290">
        <f>IF(AND(DR141&gt;=Min_LLCR,DQ141&gt;=Inputs_Assumptions!$E$188,DQ141&lt;Min_LLCR-0.001),DR147+DR148,0)</f>
        <v>0</v>
      </c>
      <c r="DS149" s="290">
        <f>IF(AND(DS141&gt;=Min_LLCR,DR141&gt;=Inputs_Assumptions!$E$188,DR141&lt;Min_LLCR-0.001),DS147+DS148,0)</f>
        <v>0</v>
      </c>
      <c r="DT149" s="290">
        <f>IF(AND(DT141&gt;=Min_LLCR,DS141&gt;=Inputs_Assumptions!$E$188,DS141&lt;Min_LLCR-0.001),DT147+DT148,0)</f>
        <v>0</v>
      </c>
      <c r="DU149" s="290">
        <f>IF(AND(DU141&gt;=Min_LLCR,DT141&gt;=Inputs_Assumptions!$E$188,DT141&lt;Min_LLCR-0.001),DU147+DU148,0)</f>
        <v>0</v>
      </c>
      <c r="DV149" s="290">
        <f>IF(AND(DV141&gt;=Min_LLCR,DU141&gt;=Inputs_Assumptions!$E$188,DU141&lt;Min_LLCR-0.001),DV147+DV148,0)</f>
        <v>0</v>
      </c>
      <c r="DW149" s="290">
        <f>IF(AND(DW141&gt;=Min_LLCR,DV141&gt;=Inputs_Assumptions!$E$188,DV141&lt;Min_LLCR-0.001),DW147+DW148,0)</f>
        <v>0</v>
      </c>
      <c r="DX149" s="290">
        <f>IF(AND(DX141&gt;=Min_LLCR,DW141&gt;=Inputs_Assumptions!$E$188,DW141&lt;Min_LLCR-0.001),DX147+DX148,0)</f>
        <v>0</v>
      </c>
      <c r="DY149" s="290">
        <f>IF(AND(DY141&gt;=Min_LLCR,DX141&gt;=Inputs_Assumptions!$E$188,DX141&lt;Min_LLCR-0.001),DY147+DY148,0)</f>
        <v>0</v>
      </c>
      <c r="DZ149" s="290">
        <f>IF(AND(DZ141&gt;=Min_LLCR,DY141&gt;=Inputs_Assumptions!$E$188,DY141&lt;Min_LLCR-0.001),DZ147+DZ148,0)</f>
        <v>0</v>
      </c>
      <c r="EA149" s="290">
        <f>IF(AND(EA141&gt;=Min_LLCR,DZ141&gt;=Inputs_Assumptions!$E$188,DZ141&lt;Min_LLCR-0.001),EA147+EA148,0)</f>
        <v>0</v>
      </c>
      <c r="EB149" s="290">
        <f>IF(AND(EB141&gt;=Min_LLCR,EA141&gt;=Inputs_Assumptions!$E$188,EA141&lt;Min_LLCR-0.001),EB147+EB148,0)</f>
        <v>0</v>
      </c>
      <c r="EC149" s="290">
        <f>IF(AND(EC141&gt;=Min_LLCR,EB141&gt;=Inputs_Assumptions!$E$188,EB141&lt;Min_LLCR-0.001),EC147+EC148,0)</f>
        <v>0</v>
      </c>
      <c r="ED149" s="290">
        <f>IF(AND(ED141&gt;=Min_LLCR,EC141&gt;=Inputs_Assumptions!$E$188,EC141&lt;Min_LLCR-0.001),ED147+ED148,0)</f>
        <v>0</v>
      </c>
      <c r="EE149" s="290">
        <f>IF(AND(EE141&gt;=Min_LLCR,ED141&gt;=Inputs_Assumptions!$E$188,ED141&lt;Min_LLCR-0.001),EE147+EE148,0)</f>
        <v>0</v>
      </c>
      <c r="EF149" s="290">
        <f>IF(AND(EF141&gt;=Min_LLCR,EE141&gt;=Inputs_Assumptions!$E$188,EE141&lt;Min_LLCR-0.001),EF147+EF148,0)</f>
        <v>0</v>
      </c>
      <c r="EG149" s="290">
        <f>IF(AND(EG141&gt;=Min_LLCR,EF141&gt;=Inputs_Assumptions!$E$188,EF141&lt;Min_LLCR-0.001),EG147+EG148,0)</f>
        <v>0</v>
      </c>
      <c r="EH149" s="290">
        <f>IF(AND(EH141&gt;=Min_LLCR,EG141&gt;=Inputs_Assumptions!$E$188,EG141&lt;Min_LLCR-0.001),EH147+EH148,0)</f>
        <v>0</v>
      </c>
      <c r="EI149" s="290">
        <f>IF(AND(EI141&gt;=Min_LLCR,EH141&gt;=Inputs_Assumptions!$E$188,EH141&lt;Min_LLCR-0.001),EI147+EI148,0)</f>
        <v>0</v>
      </c>
      <c r="EJ149" s="290">
        <f>IF(AND(EJ141&gt;=Min_LLCR,EI141&gt;=Inputs_Assumptions!$E$188,EI141&lt;Min_LLCR-0.001),EJ147+EJ148,0)</f>
        <v>0</v>
      </c>
      <c r="EK149" s="290">
        <f>IF(AND(EK141&gt;=Min_LLCR,EJ141&gt;=Inputs_Assumptions!$E$188,EJ141&lt;Min_LLCR-0.001),EK147+EK148,0)</f>
        <v>0</v>
      </c>
      <c r="EL149" s="290">
        <f>IF(AND(EL141&gt;=Min_LLCR,EK141&gt;=Inputs_Assumptions!$E$188,EK141&lt;Min_LLCR-0.001),EL147+EL148,0)</f>
        <v>0</v>
      </c>
      <c r="EM149" s="290">
        <f>IF(AND(EM141&gt;=Min_LLCR,EL141&gt;=Inputs_Assumptions!$E$188,EL141&lt;Min_LLCR-0.001),EM147+EM148,0)</f>
        <v>0</v>
      </c>
      <c r="EN149" s="290">
        <f>IF(AND(EN141&gt;=Min_LLCR,EM141&gt;=Inputs_Assumptions!$E$188,EM141&lt;Min_LLCR-0.001),EN147+EN148,0)</f>
        <v>0</v>
      </c>
      <c r="EO149" s="290">
        <f>IF(AND(EO141&gt;=Min_LLCR,EN141&gt;=Inputs_Assumptions!$E$188,EN141&lt;Min_LLCR-0.001),EO147+EO148,0)</f>
        <v>0</v>
      </c>
      <c r="EP149" s="290">
        <f>IF(AND(EP141&gt;=Min_LLCR,EO141&gt;=Inputs_Assumptions!$E$188,EO141&lt;Min_LLCR-0.001),EP147+EP148,0)</f>
        <v>0</v>
      </c>
      <c r="EQ149" s="290">
        <f>IF(AND(EQ141&gt;=Min_LLCR,EP141&gt;=Inputs_Assumptions!$E$188,EP141&lt;Min_LLCR-0.001),EQ147+EQ148,0)</f>
        <v>0</v>
      </c>
      <c r="ER149" s="290">
        <f>IF(AND(ER141&gt;=Min_LLCR,EQ141&gt;=Inputs_Assumptions!$E$188,EQ141&lt;Min_LLCR-0.001),ER147+ER148,0)</f>
        <v>0</v>
      </c>
      <c r="ES149" s="290">
        <f>IF(AND(ES141&gt;=Min_LLCR,ER141&gt;=Inputs_Assumptions!$E$188,ER141&lt;Min_LLCR-0.001),ES147+ES148,0)</f>
        <v>0</v>
      </c>
      <c r="ET149" s="290">
        <f>IF(AND(ET141&gt;=Min_LLCR,ES141&gt;=Inputs_Assumptions!$E$188,ES141&lt;Min_LLCR-0.001),ET147+ET148,0)</f>
        <v>0</v>
      </c>
      <c r="EU149" s="290">
        <f>IF(AND(EU141&gt;=Min_LLCR,ET141&gt;=Inputs_Assumptions!$E$188,ET141&lt;Min_LLCR-0.001),EU147+EU148,0)</f>
        <v>0</v>
      </c>
      <c r="EV149" s="290">
        <f>IF(AND(EV141&gt;=Min_LLCR,EU141&gt;=Inputs_Assumptions!$E$188,EU141&lt;Min_LLCR-0.001),EV147+EV148,0)</f>
        <v>0</v>
      </c>
      <c r="EW149" s="290">
        <f>IF(AND(EW141&gt;=Min_LLCR,EV141&gt;=Inputs_Assumptions!$E$188,EV141&lt;Min_LLCR-0.001),EW147+EW148,0)</f>
        <v>0</v>
      </c>
      <c r="EX149" s="290">
        <f>IF(AND(EX141&gt;=Min_LLCR,EW141&gt;=Inputs_Assumptions!$E$188,EW141&lt;Min_LLCR-0.001),EX147+EX148,0)</f>
        <v>0</v>
      </c>
      <c r="EY149" s="290">
        <f>IF(AND(EY141&gt;=Min_LLCR,EX141&gt;=Inputs_Assumptions!$E$188,EX141&lt;Min_LLCR-0.001),EY147+EY148,0)</f>
        <v>0</v>
      </c>
      <c r="EZ149" s="290">
        <f>IF(AND(EZ141&gt;=Min_LLCR,EY141&gt;=Inputs_Assumptions!$E$188,EY141&lt;Min_LLCR-0.001),EZ147+EZ148,0)</f>
        <v>0</v>
      </c>
      <c r="FA149" s="290">
        <f>IF(AND(FA141&gt;=Min_LLCR,EZ141&gt;=Inputs_Assumptions!$E$188,EZ141&lt;Min_LLCR-0.001),FA147+FA148,0)</f>
        <v>0</v>
      </c>
    </row>
    <row r="150" spans="2:157" outlineLevel="1" x14ac:dyDescent="0.2">
      <c r="C150" s="9" t="s">
        <v>444</v>
      </c>
      <c r="D150" s="21" t="s">
        <v>126</v>
      </c>
      <c r="E150" s="5"/>
      <c r="F150" s="285">
        <f t="shared" ref="F150" si="858">F143+F147+F148</f>
        <v>0</v>
      </c>
      <c r="G150" s="290">
        <f>G147+G148-G149</f>
        <v>0</v>
      </c>
      <c r="H150" s="290">
        <f t="shared" ref="H150:BS150" si="859">H147+H148-H149</f>
        <v>0</v>
      </c>
      <c r="I150" s="290">
        <f t="shared" si="859"/>
        <v>0</v>
      </c>
      <c r="J150" s="290">
        <f t="shared" si="859"/>
        <v>0</v>
      </c>
      <c r="K150" s="290">
        <f t="shared" si="859"/>
        <v>0</v>
      </c>
      <c r="L150" s="290">
        <f t="shared" si="859"/>
        <v>0</v>
      </c>
      <c r="M150" s="290">
        <f t="shared" si="859"/>
        <v>0</v>
      </c>
      <c r="N150" s="290">
        <f t="shared" si="859"/>
        <v>0</v>
      </c>
      <c r="O150" s="290">
        <f t="shared" si="859"/>
        <v>0</v>
      </c>
      <c r="P150" s="290">
        <f t="shared" si="859"/>
        <v>0</v>
      </c>
      <c r="Q150" s="290">
        <f t="shared" si="859"/>
        <v>0</v>
      </c>
      <c r="R150" s="290">
        <f t="shared" si="859"/>
        <v>0</v>
      </c>
      <c r="S150" s="290">
        <f t="shared" si="859"/>
        <v>0</v>
      </c>
      <c r="T150" s="290">
        <f t="shared" si="859"/>
        <v>0</v>
      </c>
      <c r="U150" s="290">
        <f t="shared" si="859"/>
        <v>0</v>
      </c>
      <c r="V150" s="290">
        <f t="shared" si="859"/>
        <v>0</v>
      </c>
      <c r="W150" s="290">
        <f t="shared" si="859"/>
        <v>0</v>
      </c>
      <c r="X150" s="290">
        <f t="shared" ca="1" si="859"/>
        <v>0</v>
      </c>
      <c r="Y150" s="290">
        <f t="shared" ca="1" si="859"/>
        <v>0</v>
      </c>
      <c r="Z150" s="290">
        <f t="shared" ca="1" si="859"/>
        <v>0</v>
      </c>
      <c r="AA150" s="290">
        <f t="shared" ca="1" si="859"/>
        <v>0</v>
      </c>
      <c r="AB150" s="290">
        <f t="shared" ca="1" si="859"/>
        <v>0</v>
      </c>
      <c r="AC150" s="290">
        <f t="shared" ca="1" si="859"/>
        <v>0</v>
      </c>
      <c r="AD150" s="290">
        <f t="shared" ca="1" si="859"/>
        <v>0</v>
      </c>
      <c r="AE150" s="290">
        <f t="shared" ca="1" si="859"/>
        <v>0</v>
      </c>
      <c r="AF150" s="290">
        <f t="shared" ca="1" si="859"/>
        <v>0</v>
      </c>
      <c r="AG150" s="290">
        <f t="shared" ca="1" si="859"/>
        <v>0</v>
      </c>
      <c r="AH150" s="290">
        <f t="shared" ca="1" si="859"/>
        <v>0</v>
      </c>
      <c r="AI150" s="290">
        <f t="shared" ca="1" si="859"/>
        <v>0</v>
      </c>
      <c r="AJ150" s="290">
        <f t="shared" ca="1" si="859"/>
        <v>0</v>
      </c>
      <c r="AK150" s="290">
        <f t="shared" ca="1" si="859"/>
        <v>0</v>
      </c>
      <c r="AL150" s="290">
        <f t="shared" ca="1" si="859"/>
        <v>0</v>
      </c>
      <c r="AM150" s="290">
        <f t="shared" ca="1" si="859"/>
        <v>0</v>
      </c>
      <c r="AN150" s="290">
        <f t="shared" ca="1" si="859"/>
        <v>0</v>
      </c>
      <c r="AO150" s="290">
        <f t="shared" ca="1" si="859"/>
        <v>0</v>
      </c>
      <c r="AP150" s="290">
        <f t="shared" ca="1" si="859"/>
        <v>0</v>
      </c>
      <c r="AQ150" s="290">
        <f t="shared" ca="1" si="859"/>
        <v>0</v>
      </c>
      <c r="AR150" s="290">
        <f t="shared" ca="1" si="859"/>
        <v>0</v>
      </c>
      <c r="AS150" s="290">
        <f t="shared" ca="1" si="859"/>
        <v>0</v>
      </c>
      <c r="AT150" s="290">
        <f t="shared" ca="1" si="859"/>
        <v>0</v>
      </c>
      <c r="AU150" s="290">
        <f t="shared" ca="1" si="859"/>
        <v>0</v>
      </c>
      <c r="AV150" s="290">
        <f t="shared" ca="1" si="859"/>
        <v>0</v>
      </c>
      <c r="AW150" s="290">
        <f t="shared" ca="1" si="859"/>
        <v>0</v>
      </c>
      <c r="AX150" s="290">
        <f t="shared" ca="1" si="859"/>
        <v>0</v>
      </c>
      <c r="AY150" s="290">
        <f t="shared" ca="1" si="859"/>
        <v>0</v>
      </c>
      <c r="AZ150" s="290">
        <f t="shared" ca="1" si="859"/>
        <v>0</v>
      </c>
      <c r="BA150" s="290">
        <f t="shared" ca="1" si="859"/>
        <v>0</v>
      </c>
      <c r="BB150" s="290">
        <f t="shared" ca="1" si="859"/>
        <v>0</v>
      </c>
      <c r="BC150" s="290">
        <f t="shared" ca="1" si="859"/>
        <v>0</v>
      </c>
      <c r="BD150" s="290">
        <f t="shared" ca="1" si="859"/>
        <v>0</v>
      </c>
      <c r="BE150" s="290">
        <f t="shared" ca="1" si="859"/>
        <v>0</v>
      </c>
      <c r="BF150" s="290">
        <f t="shared" ca="1" si="859"/>
        <v>0</v>
      </c>
      <c r="BG150" s="290">
        <f t="shared" ca="1" si="859"/>
        <v>0</v>
      </c>
      <c r="BH150" s="290">
        <f t="shared" ca="1" si="859"/>
        <v>0</v>
      </c>
      <c r="BI150" s="290">
        <f t="shared" ca="1" si="859"/>
        <v>0</v>
      </c>
      <c r="BJ150" s="290">
        <f t="shared" ca="1" si="859"/>
        <v>0</v>
      </c>
      <c r="BK150" s="290">
        <f t="shared" ca="1" si="859"/>
        <v>0</v>
      </c>
      <c r="BL150" s="290">
        <f t="shared" ca="1" si="859"/>
        <v>0</v>
      </c>
      <c r="BM150" s="290">
        <f t="shared" ca="1" si="859"/>
        <v>0</v>
      </c>
      <c r="BN150" s="290">
        <f t="shared" ca="1" si="859"/>
        <v>0</v>
      </c>
      <c r="BO150" s="290">
        <f t="shared" ca="1" si="859"/>
        <v>0</v>
      </c>
      <c r="BP150" s="290">
        <f t="shared" ca="1" si="859"/>
        <v>0</v>
      </c>
      <c r="BQ150" s="290">
        <f t="shared" ca="1" si="859"/>
        <v>0</v>
      </c>
      <c r="BR150" s="290">
        <f t="shared" ca="1" si="859"/>
        <v>0</v>
      </c>
      <c r="BS150" s="290">
        <f t="shared" ca="1" si="859"/>
        <v>0</v>
      </c>
      <c r="BT150" s="290">
        <f t="shared" ref="BT150:EE150" ca="1" si="860">BT147+BT148-BT149</f>
        <v>0</v>
      </c>
      <c r="BU150" s="290">
        <f t="shared" ca="1" si="860"/>
        <v>0</v>
      </c>
      <c r="BV150" s="290">
        <f t="shared" ca="1" si="860"/>
        <v>0</v>
      </c>
      <c r="BW150" s="290">
        <f t="shared" ca="1" si="860"/>
        <v>0</v>
      </c>
      <c r="BX150" s="290">
        <f t="shared" ca="1" si="860"/>
        <v>0</v>
      </c>
      <c r="BY150" s="290">
        <f t="shared" ca="1" si="860"/>
        <v>0</v>
      </c>
      <c r="BZ150" s="290">
        <f t="shared" ca="1" si="860"/>
        <v>0</v>
      </c>
      <c r="CA150" s="290">
        <f t="shared" ca="1" si="860"/>
        <v>0</v>
      </c>
      <c r="CB150" s="290">
        <f t="shared" ca="1" si="860"/>
        <v>0</v>
      </c>
      <c r="CC150" s="290">
        <f t="shared" ca="1" si="860"/>
        <v>0</v>
      </c>
      <c r="CD150" s="290">
        <f t="shared" ca="1" si="860"/>
        <v>0</v>
      </c>
      <c r="CE150" s="290">
        <f t="shared" ca="1" si="860"/>
        <v>0</v>
      </c>
      <c r="CF150" s="290">
        <f t="shared" ca="1" si="860"/>
        <v>0</v>
      </c>
      <c r="CG150" s="290">
        <f t="shared" ca="1" si="860"/>
        <v>0</v>
      </c>
      <c r="CH150" s="290">
        <f t="shared" ca="1" si="860"/>
        <v>0</v>
      </c>
      <c r="CI150" s="290">
        <f t="shared" ca="1" si="860"/>
        <v>0</v>
      </c>
      <c r="CJ150" s="290">
        <f t="shared" ca="1" si="860"/>
        <v>0</v>
      </c>
      <c r="CK150" s="290">
        <f t="shared" ca="1" si="860"/>
        <v>0</v>
      </c>
      <c r="CL150" s="290">
        <f t="shared" ca="1" si="860"/>
        <v>0</v>
      </c>
      <c r="CM150" s="290">
        <f t="shared" ca="1" si="860"/>
        <v>0</v>
      </c>
      <c r="CN150" s="290">
        <f t="shared" ca="1" si="860"/>
        <v>0</v>
      </c>
      <c r="CO150" s="290">
        <f t="shared" ca="1" si="860"/>
        <v>0</v>
      </c>
      <c r="CP150" s="290">
        <f t="shared" ca="1" si="860"/>
        <v>0</v>
      </c>
      <c r="CQ150" s="290">
        <f t="shared" ca="1" si="860"/>
        <v>0</v>
      </c>
      <c r="CR150" s="290">
        <f t="shared" ca="1" si="860"/>
        <v>0</v>
      </c>
      <c r="CS150" s="290">
        <f t="shared" ca="1" si="860"/>
        <v>0</v>
      </c>
      <c r="CT150" s="290">
        <f t="shared" ca="1" si="860"/>
        <v>0</v>
      </c>
      <c r="CU150" s="313">
        <f t="shared" ca="1" si="860"/>
        <v>0</v>
      </c>
      <c r="CV150" s="290">
        <f t="shared" ca="1" si="860"/>
        <v>0</v>
      </c>
      <c r="CW150" s="290">
        <f t="shared" ca="1" si="860"/>
        <v>0</v>
      </c>
      <c r="CX150" s="290">
        <f t="shared" ca="1" si="860"/>
        <v>0</v>
      </c>
      <c r="CY150" s="290">
        <f t="shared" ca="1" si="860"/>
        <v>0</v>
      </c>
      <c r="CZ150" s="290">
        <f t="shared" ca="1" si="860"/>
        <v>0</v>
      </c>
      <c r="DA150" s="290">
        <f t="shared" ca="1" si="860"/>
        <v>0</v>
      </c>
      <c r="DB150" s="290">
        <f t="shared" ca="1" si="860"/>
        <v>0</v>
      </c>
      <c r="DC150" s="290">
        <f t="shared" ca="1" si="860"/>
        <v>0</v>
      </c>
      <c r="DD150" s="290">
        <f t="shared" ca="1" si="860"/>
        <v>0</v>
      </c>
      <c r="DE150" s="290">
        <f t="shared" ca="1" si="860"/>
        <v>0</v>
      </c>
      <c r="DF150" s="290">
        <f t="shared" ca="1" si="860"/>
        <v>0</v>
      </c>
      <c r="DG150" s="290">
        <f t="shared" ca="1" si="860"/>
        <v>0</v>
      </c>
      <c r="DH150" s="290">
        <f t="shared" ca="1" si="860"/>
        <v>0</v>
      </c>
      <c r="DI150" s="290">
        <f t="shared" ca="1" si="860"/>
        <v>0</v>
      </c>
      <c r="DJ150" s="290">
        <f t="shared" ca="1" si="860"/>
        <v>0</v>
      </c>
      <c r="DK150" s="290">
        <f t="shared" ca="1" si="860"/>
        <v>0</v>
      </c>
      <c r="DL150" s="290">
        <f t="shared" ca="1" si="860"/>
        <v>0</v>
      </c>
      <c r="DM150" s="290">
        <f t="shared" ca="1" si="860"/>
        <v>0</v>
      </c>
      <c r="DN150" s="290">
        <f t="shared" ca="1" si="860"/>
        <v>0</v>
      </c>
      <c r="DO150" s="290">
        <f t="shared" ca="1" si="860"/>
        <v>0</v>
      </c>
      <c r="DP150" s="290">
        <f t="shared" ca="1" si="860"/>
        <v>0</v>
      </c>
      <c r="DQ150" s="290">
        <f t="shared" ca="1" si="860"/>
        <v>0</v>
      </c>
      <c r="DR150" s="290">
        <f t="shared" ca="1" si="860"/>
        <v>0</v>
      </c>
      <c r="DS150" s="290">
        <f t="shared" ca="1" si="860"/>
        <v>0</v>
      </c>
      <c r="DT150" s="290">
        <f t="shared" ca="1" si="860"/>
        <v>0</v>
      </c>
      <c r="DU150" s="290">
        <f t="shared" ca="1" si="860"/>
        <v>0</v>
      </c>
      <c r="DV150" s="290">
        <f t="shared" ca="1" si="860"/>
        <v>0</v>
      </c>
      <c r="DW150" s="290">
        <f t="shared" ca="1" si="860"/>
        <v>0</v>
      </c>
      <c r="DX150" s="290">
        <f t="shared" ca="1" si="860"/>
        <v>0</v>
      </c>
      <c r="DY150" s="290">
        <f t="shared" ca="1" si="860"/>
        <v>0</v>
      </c>
      <c r="DZ150" s="290">
        <f t="shared" ca="1" si="860"/>
        <v>0</v>
      </c>
      <c r="EA150" s="290">
        <f t="shared" ca="1" si="860"/>
        <v>0</v>
      </c>
      <c r="EB150" s="290">
        <f t="shared" ca="1" si="860"/>
        <v>0</v>
      </c>
      <c r="EC150" s="290">
        <f t="shared" ca="1" si="860"/>
        <v>0</v>
      </c>
      <c r="ED150" s="290">
        <f t="shared" ca="1" si="860"/>
        <v>0</v>
      </c>
      <c r="EE150" s="290">
        <f t="shared" ca="1" si="860"/>
        <v>0</v>
      </c>
      <c r="EF150" s="290">
        <f t="shared" ref="EF150:FA150" ca="1" si="861">EF147+EF148-EF149</f>
        <v>0</v>
      </c>
      <c r="EG150" s="290">
        <f t="shared" ca="1" si="861"/>
        <v>0</v>
      </c>
      <c r="EH150" s="290">
        <f t="shared" ca="1" si="861"/>
        <v>0</v>
      </c>
      <c r="EI150" s="290">
        <f t="shared" ca="1" si="861"/>
        <v>0</v>
      </c>
      <c r="EJ150" s="290">
        <f t="shared" ca="1" si="861"/>
        <v>0</v>
      </c>
      <c r="EK150" s="290">
        <f t="shared" ca="1" si="861"/>
        <v>0</v>
      </c>
      <c r="EL150" s="290">
        <f t="shared" ca="1" si="861"/>
        <v>0</v>
      </c>
      <c r="EM150" s="290">
        <f t="shared" ca="1" si="861"/>
        <v>0</v>
      </c>
      <c r="EN150" s="290">
        <f t="shared" ca="1" si="861"/>
        <v>0</v>
      </c>
      <c r="EO150" s="290">
        <f t="shared" ca="1" si="861"/>
        <v>0</v>
      </c>
      <c r="EP150" s="290">
        <f t="shared" ca="1" si="861"/>
        <v>0</v>
      </c>
      <c r="EQ150" s="290">
        <f t="shared" ca="1" si="861"/>
        <v>0</v>
      </c>
      <c r="ER150" s="290">
        <f t="shared" ca="1" si="861"/>
        <v>0</v>
      </c>
      <c r="ES150" s="290">
        <f t="shared" ca="1" si="861"/>
        <v>0</v>
      </c>
      <c r="ET150" s="290">
        <f t="shared" ca="1" si="861"/>
        <v>0</v>
      </c>
      <c r="EU150" s="290">
        <f t="shared" ca="1" si="861"/>
        <v>0</v>
      </c>
      <c r="EV150" s="290">
        <f t="shared" ca="1" si="861"/>
        <v>0</v>
      </c>
      <c r="EW150" s="290">
        <f t="shared" ca="1" si="861"/>
        <v>0</v>
      </c>
      <c r="EX150" s="290">
        <f t="shared" ca="1" si="861"/>
        <v>0</v>
      </c>
      <c r="EY150" s="290">
        <f t="shared" ca="1" si="861"/>
        <v>0</v>
      </c>
      <c r="EZ150" s="290">
        <f t="shared" ca="1" si="861"/>
        <v>0</v>
      </c>
      <c r="FA150" s="290">
        <f t="shared" ca="1" si="861"/>
        <v>0</v>
      </c>
    </row>
    <row r="151" spans="2:157" outlineLevel="1" x14ac:dyDescent="0.2">
      <c r="C151" s="9"/>
      <c r="D151" s="21"/>
      <c r="E151" s="5"/>
      <c r="F151" s="5"/>
      <c r="G151" s="290"/>
      <c r="H151" s="290"/>
      <c r="I151" s="290"/>
      <c r="J151" s="290"/>
      <c r="K151" s="290"/>
      <c r="L151" s="290"/>
      <c r="M151" s="290"/>
      <c r="N151" s="290"/>
      <c r="O151" s="290"/>
      <c r="P151" s="290"/>
      <c r="Q151" s="290"/>
      <c r="R151" s="290"/>
      <c r="S151" s="290"/>
      <c r="T151" s="290"/>
      <c r="U151" s="290"/>
      <c r="V151" s="290"/>
      <c r="W151" s="290"/>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c r="CF151" s="119"/>
      <c r="CG151" s="119"/>
      <c r="CH151" s="119"/>
      <c r="CI151" s="119"/>
      <c r="CJ151" s="119"/>
      <c r="CK151" s="119"/>
      <c r="CL151" s="119"/>
      <c r="CM151" s="119"/>
      <c r="CN151" s="119"/>
      <c r="CO151" s="119"/>
      <c r="CP151" s="119"/>
      <c r="CQ151" s="119"/>
      <c r="CR151" s="119"/>
      <c r="CS151" s="119"/>
      <c r="CT151" s="119"/>
      <c r="CU151" s="266"/>
      <c r="CV151" s="119"/>
      <c r="CW151" s="119"/>
      <c r="CX151" s="119"/>
      <c r="CY151" s="119"/>
      <c r="CZ151" s="119"/>
      <c r="DA151" s="119"/>
      <c r="DB151" s="119"/>
      <c r="DC151" s="119"/>
      <c r="DD151" s="119"/>
      <c r="DE151" s="119"/>
      <c r="DF151" s="119"/>
      <c r="DG151" s="119"/>
      <c r="DH151" s="119"/>
      <c r="DI151" s="119"/>
      <c r="DJ151" s="119"/>
      <c r="DK151" s="119"/>
      <c r="DL151" s="119"/>
      <c r="DM151" s="119"/>
      <c r="DN151" s="119"/>
      <c r="DO151" s="119"/>
      <c r="DP151" s="119"/>
      <c r="DQ151" s="119"/>
      <c r="DR151" s="119"/>
      <c r="DS151" s="119"/>
      <c r="DT151" s="119"/>
      <c r="DU151" s="119"/>
      <c r="DV151" s="119"/>
      <c r="DW151" s="119"/>
      <c r="DX151" s="119"/>
      <c r="DY151" s="119"/>
      <c r="DZ151" s="119"/>
      <c r="EA151" s="119"/>
      <c r="EB151" s="119"/>
      <c r="EC151" s="119"/>
      <c r="ED151" s="119"/>
      <c r="EE151" s="119"/>
      <c r="EF151" s="119"/>
      <c r="EG151" s="119"/>
      <c r="EH151" s="119"/>
      <c r="EI151" s="119"/>
      <c r="EJ151" s="119"/>
      <c r="EK151" s="119"/>
      <c r="EL151" s="119"/>
      <c r="EM151" s="119"/>
      <c r="EN151" s="119"/>
      <c r="EO151" s="119"/>
      <c r="EP151" s="119"/>
      <c r="EQ151" s="119"/>
      <c r="ER151" s="119"/>
      <c r="ES151" s="119"/>
      <c r="ET151" s="119"/>
      <c r="EU151" s="119"/>
      <c r="EV151" s="119"/>
      <c r="EW151" s="119"/>
      <c r="EX151" s="119"/>
      <c r="EY151" s="119"/>
      <c r="EZ151" s="119"/>
      <c r="FA151" s="119"/>
    </row>
    <row r="152" spans="2:157" s="2" customFormat="1" outlineLevel="1" x14ac:dyDescent="0.2">
      <c r="C152" s="93"/>
      <c r="D152" s="21"/>
      <c r="E152" s="5"/>
      <c r="F152" s="5"/>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c r="AZ152" s="106"/>
      <c r="BA152" s="106"/>
      <c r="BB152" s="106"/>
      <c r="BC152" s="106"/>
      <c r="BD152" s="106"/>
      <c r="BE152" s="106"/>
      <c r="BF152" s="106"/>
      <c r="BG152" s="106"/>
      <c r="BH152" s="106"/>
      <c r="BI152" s="106"/>
      <c r="BJ152" s="106"/>
      <c r="BK152" s="106"/>
      <c r="BL152" s="106"/>
      <c r="BM152" s="106"/>
      <c r="BN152" s="106"/>
      <c r="BO152" s="106"/>
      <c r="BP152" s="106"/>
      <c r="BQ152" s="106"/>
      <c r="BR152" s="106"/>
      <c r="BS152" s="106"/>
      <c r="BT152" s="106"/>
      <c r="BU152" s="106"/>
      <c r="BV152" s="106"/>
      <c r="BW152" s="106"/>
      <c r="BX152" s="106"/>
      <c r="BY152" s="106"/>
      <c r="BZ152" s="106"/>
      <c r="CA152" s="106"/>
      <c r="CB152" s="106"/>
      <c r="CC152" s="106"/>
      <c r="CD152" s="106"/>
      <c r="CE152" s="106"/>
      <c r="CF152" s="106"/>
      <c r="CG152" s="106"/>
      <c r="CH152" s="106"/>
      <c r="CI152" s="106"/>
      <c r="CJ152" s="106"/>
      <c r="CK152" s="106"/>
      <c r="CL152" s="106"/>
      <c r="CM152" s="106"/>
      <c r="CN152" s="106"/>
      <c r="CO152" s="106"/>
      <c r="CP152" s="106"/>
      <c r="CQ152" s="106"/>
      <c r="CR152" s="106"/>
      <c r="CS152" s="106"/>
      <c r="CT152" s="106"/>
      <c r="CU152" s="259"/>
      <c r="CV152" s="106"/>
      <c r="CW152" s="106"/>
      <c r="CX152" s="106"/>
      <c r="CY152" s="106"/>
      <c r="CZ152" s="106"/>
      <c r="DA152" s="106"/>
      <c r="DB152" s="106"/>
      <c r="DC152" s="106"/>
      <c r="DD152" s="106"/>
      <c r="DE152" s="106"/>
      <c r="DF152" s="106"/>
      <c r="DG152" s="106"/>
      <c r="DH152" s="106"/>
      <c r="DI152" s="106"/>
      <c r="DJ152" s="106"/>
      <c r="DK152" s="106"/>
      <c r="DL152" s="106"/>
      <c r="DM152" s="106"/>
      <c r="DN152" s="106"/>
      <c r="DO152" s="106"/>
      <c r="DP152" s="106"/>
      <c r="DQ152" s="106"/>
      <c r="DR152" s="106"/>
      <c r="DS152" s="106"/>
      <c r="DT152" s="106"/>
      <c r="DU152" s="106"/>
      <c r="DV152" s="106"/>
      <c r="DW152" s="106"/>
      <c r="DX152" s="106"/>
      <c r="DY152" s="106"/>
      <c r="DZ152" s="106"/>
      <c r="EA152" s="106"/>
      <c r="EB152" s="106"/>
      <c r="EC152" s="106"/>
      <c r="ED152" s="106"/>
      <c r="EE152" s="106"/>
      <c r="EF152" s="106"/>
      <c r="EG152" s="106"/>
      <c r="EH152" s="106"/>
      <c r="EI152" s="106"/>
      <c r="EJ152" s="106"/>
      <c r="EK152" s="106"/>
      <c r="EL152" s="106"/>
      <c r="EM152" s="106"/>
      <c r="EN152" s="106"/>
      <c r="EO152" s="106"/>
      <c r="EP152" s="106"/>
      <c r="EQ152" s="106"/>
      <c r="ER152" s="106"/>
      <c r="ES152" s="106"/>
      <c r="ET152" s="106"/>
      <c r="EU152" s="106"/>
      <c r="EV152" s="106"/>
      <c r="EW152" s="106"/>
      <c r="EX152" s="106"/>
      <c r="EY152" s="106"/>
      <c r="EZ152" s="106"/>
      <c r="FA152" s="106"/>
    </row>
    <row r="153" spans="2:157" x14ac:dyDescent="0.2">
      <c r="B153" s="23"/>
      <c r="C153" s="23"/>
      <c r="D153" s="24"/>
      <c r="E153" s="23"/>
      <c r="F153" s="24"/>
      <c r="G153" s="52" t="str">
        <f>$G$4</f>
        <v>Construction &amp; Operation Period (See Flags):</v>
      </c>
      <c r="H153" s="53"/>
      <c r="I153" s="53"/>
      <c r="J153" s="53"/>
      <c r="K153" s="53"/>
      <c r="L153" s="53"/>
      <c r="M153" s="53"/>
      <c r="N153" s="53"/>
      <c r="O153" s="96"/>
      <c r="P153" s="52"/>
      <c r="Q153" s="25"/>
      <c r="R153" s="25"/>
      <c r="S153" s="25"/>
      <c r="T153" s="25"/>
      <c r="U153" s="25"/>
      <c r="V153" s="25"/>
      <c r="W153" s="25"/>
      <c r="X153" s="25"/>
      <c r="Y153" s="25"/>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237"/>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row>
    <row r="154" spans="2:157" x14ac:dyDescent="0.2">
      <c r="B154" s="26" t="s">
        <v>57</v>
      </c>
      <c r="C154" s="26"/>
      <c r="D154" s="19" t="str">
        <f>Inputs_Assumptions!$D$4</f>
        <v>Units:</v>
      </c>
      <c r="E154" s="65"/>
      <c r="F154" s="19"/>
      <c r="G154" s="77">
        <f>$G$5</f>
        <v>46112</v>
      </c>
      <c r="H154" s="77">
        <f>$H$5</f>
        <v>46203</v>
      </c>
      <c r="I154" s="77">
        <f>$I$5</f>
        <v>46295</v>
      </c>
      <c r="J154" s="77">
        <f>$J$5</f>
        <v>46387</v>
      </c>
      <c r="K154" s="77">
        <f>$K$5</f>
        <v>46477</v>
      </c>
      <c r="L154" s="77">
        <f>$L$5</f>
        <v>46568</v>
      </c>
      <c r="M154" s="77">
        <f>$M$5</f>
        <v>46660</v>
      </c>
      <c r="N154" s="77">
        <f>$N$5</f>
        <v>46752</v>
      </c>
      <c r="O154" s="77">
        <f>$O$5</f>
        <v>46843</v>
      </c>
      <c r="P154" s="77">
        <f>$P$5</f>
        <v>46934</v>
      </c>
      <c r="Q154" s="78">
        <f>$Q$5</f>
        <v>47026</v>
      </c>
      <c r="R154" s="76">
        <f>$R$5</f>
        <v>47118</v>
      </c>
      <c r="S154" s="76">
        <f>$S$5</f>
        <v>47208</v>
      </c>
      <c r="T154" s="76">
        <f>$T$5</f>
        <v>47299</v>
      </c>
      <c r="U154" s="76">
        <f>$U$5</f>
        <v>47391</v>
      </c>
      <c r="V154" s="76">
        <f>$V$5</f>
        <v>47483</v>
      </c>
      <c r="W154" s="76">
        <f>$W$5</f>
        <v>47573</v>
      </c>
      <c r="X154" s="76">
        <f>$X$5</f>
        <v>47664</v>
      </c>
      <c r="Y154" s="76">
        <f>$Y$5</f>
        <v>47756</v>
      </c>
      <c r="Z154" s="76">
        <f>$Z$5</f>
        <v>47848</v>
      </c>
      <c r="AA154" s="76">
        <f>$AA$5</f>
        <v>47938</v>
      </c>
      <c r="AB154" s="76">
        <f>$AB$5</f>
        <v>48029</v>
      </c>
      <c r="AC154" s="76">
        <f>$AC$5</f>
        <v>48121</v>
      </c>
      <c r="AD154" s="76">
        <f>$AD$5</f>
        <v>48213</v>
      </c>
      <c r="AE154" s="76">
        <f>$AE$5</f>
        <v>48304</v>
      </c>
      <c r="AF154" s="76">
        <f>$AF$5</f>
        <v>48395</v>
      </c>
      <c r="AG154" s="76">
        <f>$AG$5</f>
        <v>48487</v>
      </c>
      <c r="AH154" s="76">
        <f>$AH$5</f>
        <v>48579</v>
      </c>
      <c r="AI154" s="76">
        <f>$AI$5</f>
        <v>48669</v>
      </c>
      <c r="AJ154" s="76">
        <f>$AJ$5</f>
        <v>48760</v>
      </c>
      <c r="AK154" s="76">
        <f>$AK$5</f>
        <v>48852</v>
      </c>
      <c r="AL154" s="76">
        <f>$AL$5</f>
        <v>48944</v>
      </c>
      <c r="AM154" s="76">
        <f>$AM$5</f>
        <v>49034</v>
      </c>
      <c r="AN154" s="76">
        <f>$AN$5</f>
        <v>49125</v>
      </c>
      <c r="AO154" s="76">
        <f>$AO$5</f>
        <v>49217</v>
      </c>
      <c r="AP154" s="76">
        <f>$AP$5</f>
        <v>49309</v>
      </c>
      <c r="AQ154" s="76">
        <f>$AQ$5</f>
        <v>49399</v>
      </c>
      <c r="AR154" s="76">
        <f>$AR$5</f>
        <v>49490</v>
      </c>
      <c r="AS154" s="76">
        <f>$AS$5</f>
        <v>49582</v>
      </c>
      <c r="AT154" s="76">
        <f>$AT$5</f>
        <v>49674</v>
      </c>
      <c r="AU154" s="76">
        <f>$AU$5</f>
        <v>49765</v>
      </c>
      <c r="AV154" s="76">
        <f>$AV$5</f>
        <v>49856</v>
      </c>
      <c r="AW154" s="76">
        <f>$AW$5</f>
        <v>49948</v>
      </c>
      <c r="AX154" s="76">
        <f>$AX$5</f>
        <v>50040</v>
      </c>
      <c r="AY154" s="76">
        <f>$AY$5</f>
        <v>50130</v>
      </c>
      <c r="AZ154" s="76">
        <f>$AZ$5</f>
        <v>50221</v>
      </c>
      <c r="BA154" s="76">
        <f>$BA$5</f>
        <v>50313</v>
      </c>
      <c r="BB154" s="76">
        <f>$BB$5</f>
        <v>50405</v>
      </c>
      <c r="BC154" s="76">
        <f>$BC$5</f>
        <v>50495</v>
      </c>
      <c r="BD154" s="76">
        <f>$BD$5</f>
        <v>50586</v>
      </c>
      <c r="BE154" s="76">
        <f>$BE$5</f>
        <v>50678</v>
      </c>
      <c r="BF154" s="76">
        <f>$BF$5</f>
        <v>50770</v>
      </c>
      <c r="BG154" s="76">
        <f>$BG$5</f>
        <v>50860</v>
      </c>
      <c r="BH154" s="76">
        <f>$BH$5</f>
        <v>50951</v>
      </c>
      <c r="BI154" s="76">
        <f>$BI$5</f>
        <v>51043</v>
      </c>
      <c r="BJ154" s="76">
        <f>$BJ$5</f>
        <v>51135</v>
      </c>
      <c r="BK154" s="76">
        <f>$BK$5</f>
        <v>51226</v>
      </c>
      <c r="BL154" s="76">
        <f>$BL$5</f>
        <v>51317</v>
      </c>
      <c r="BM154" s="76">
        <f>$BM$5</f>
        <v>51409</v>
      </c>
      <c r="BN154" s="76">
        <f>$BN$5</f>
        <v>51501</v>
      </c>
      <c r="BO154" s="76">
        <f>$BO$5</f>
        <v>51591</v>
      </c>
      <c r="BP154" s="76">
        <f>$BP$5</f>
        <v>51682</v>
      </c>
      <c r="BQ154" s="76">
        <f>$BQ$5</f>
        <v>51774</v>
      </c>
      <c r="BR154" s="76">
        <f>$BR$5</f>
        <v>51866</v>
      </c>
      <c r="BS154" s="76">
        <f>$BS$5</f>
        <v>51956</v>
      </c>
      <c r="BT154" s="76">
        <f>$BT$5</f>
        <v>52047</v>
      </c>
      <c r="BU154" s="76">
        <f>$BU$5</f>
        <v>52139</v>
      </c>
      <c r="BV154" s="76">
        <f>$BV$5</f>
        <v>52231</v>
      </c>
      <c r="BW154" s="76">
        <f>$BW$5</f>
        <v>52321</v>
      </c>
      <c r="BX154" s="76">
        <f>$BX$5</f>
        <v>52412</v>
      </c>
      <c r="BY154" s="76">
        <f>$BY$5</f>
        <v>52504</v>
      </c>
      <c r="BZ154" s="76">
        <f>$BZ$5</f>
        <v>52596</v>
      </c>
      <c r="CA154" s="76">
        <f>$CA$5</f>
        <v>52687</v>
      </c>
      <c r="CB154" s="76">
        <f>$CB$5</f>
        <v>52778</v>
      </c>
      <c r="CC154" s="76">
        <f>$CC$5</f>
        <v>52870</v>
      </c>
      <c r="CD154" s="76">
        <f>$CD$5</f>
        <v>52962</v>
      </c>
      <c r="CE154" s="76">
        <f>$CE$5</f>
        <v>53052</v>
      </c>
      <c r="CF154" s="76">
        <f>$CF$5</f>
        <v>53143</v>
      </c>
      <c r="CG154" s="76">
        <f>$CG$5</f>
        <v>53235</v>
      </c>
      <c r="CH154" s="76">
        <f>$CH$5</f>
        <v>53327</v>
      </c>
      <c r="CI154" s="76">
        <f>$CI$5</f>
        <v>53417</v>
      </c>
      <c r="CJ154" s="76">
        <f>$CJ$5</f>
        <v>53508</v>
      </c>
      <c r="CK154" s="76">
        <f>$CK$5</f>
        <v>53600</v>
      </c>
      <c r="CL154" s="76">
        <f>$CL$5</f>
        <v>53692</v>
      </c>
      <c r="CM154" s="76">
        <f>$CM$5</f>
        <v>53782</v>
      </c>
      <c r="CN154" s="76">
        <f>$CN$5</f>
        <v>53873</v>
      </c>
      <c r="CO154" s="76">
        <f>$CO$5</f>
        <v>53965</v>
      </c>
      <c r="CP154" s="76">
        <f>$CP$5</f>
        <v>54057</v>
      </c>
      <c r="CQ154" s="76">
        <f>$CQ$5</f>
        <v>54148</v>
      </c>
      <c r="CR154" s="76">
        <f>$CR$5</f>
        <v>54239</v>
      </c>
      <c r="CS154" s="76">
        <f>$CS$5</f>
        <v>54331</v>
      </c>
      <c r="CT154" s="76">
        <f>$CT$5</f>
        <v>54423</v>
      </c>
      <c r="CU154" s="255">
        <f>$CU$5</f>
        <v>54513</v>
      </c>
      <c r="CV154" s="76">
        <f>$CV$5</f>
        <v>54604</v>
      </c>
      <c r="CW154" s="76">
        <f>$CW$5</f>
        <v>54696</v>
      </c>
      <c r="CX154" s="76">
        <f>$CX$5</f>
        <v>54788</v>
      </c>
      <c r="CY154" s="76">
        <f>$CY$5</f>
        <v>54878</v>
      </c>
      <c r="CZ154" s="76">
        <f>$CZ$5</f>
        <v>54969</v>
      </c>
      <c r="DA154" s="76">
        <f>$DA$5</f>
        <v>55061</v>
      </c>
      <c r="DB154" s="76">
        <f>$DB$5</f>
        <v>55153</v>
      </c>
      <c r="DC154" s="76">
        <f>$DC$5</f>
        <v>55243</v>
      </c>
      <c r="DD154" s="76">
        <f>$DD$5</f>
        <v>55334</v>
      </c>
      <c r="DE154" s="76">
        <f>$DE$5</f>
        <v>55426</v>
      </c>
      <c r="DF154" s="76">
        <f>$DF$5</f>
        <v>55518</v>
      </c>
      <c r="DG154" s="76">
        <f>$DG$5</f>
        <v>55609</v>
      </c>
      <c r="DH154" s="76">
        <f>$DH$5</f>
        <v>55700</v>
      </c>
      <c r="DI154" s="76">
        <f>$DI$5</f>
        <v>55792</v>
      </c>
      <c r="DJ154" s="76">
        <f>$DJ$5</f>
        <v>55884</v>
      </c>
      <c r="DK154" s="76">
        <f>$DK$5</f>
        <v>55974</v>
      </c>
      <c r="DL154" s="76">
        <f>$DL$5</f>
        <v>56065</v>
      </c>
      <c r="DM154" s="76">
        <f>$DM$5</f>
        <v>56157</v>
      </c>
      <c r="DN154" s="76">
        <f>$DN$5</f>
        <v>56249</v>
      </c>
      <c r="DO154" s="76">
        <f>$DO$5</f>
        <v>56339</v>
      </c>
      <c r="DP154" s="76">
        <f>$DP$5</f>
        <v>56430</v>
      </c>
      <c r="DQ154" s="76">
        <f>$DQ$5</f>
        <v>56522</v>
      </c>
      <c r="DR154" s="76">
        <f>$DR$5</f>
        <v>56614</v>
      </c>
      <c r="DS154" s="76">
        <f>$DS$5</f>
        <v>56704</v>
      </c>
      <c r="DT154" s="76">
        <f>$DT$5</f>
        <v>56795</v>
      </c>
      <c r="DU154" s="76">
        <f>$DU$5</f>
        <v>56887</v>
      </c>
      <c r="DV154" s="76">
        <f>$DV$5</f>
        <v>56979</v>
      </c>
      <c r="DW154" s="76">
        <f>$DW$5</f>
        <v>57070</v>
      </c>
      <c r="DX154" s="76">
        <f>$DX$5</f>
        <v>57161</v>
      </c>
      <c r="DY154" s="76">
        <f>$DY$5</f>
        <v>57253</v>
      </c>
      <c r="DZ154" s="76">
        <f>$DZ$5</f>
        <v>57345</v>
      </c>
      <c r="EA154" s="76">
        <f>$EA$5</f>
        <v>57435</v>
      </c>
      <c r="EB154" s="76">
        <f>$EB$5</f>
        <v>57526</v>
      </c>
      <c r="EC154" s="76">
        <f>$EC$5</f>
        <v>57618</v>
      </c>
      <c r="ED154" s="76">
        <f>$ED$5</f>
        <v>57710</v>
      </c>
      <c r="EE154" s="76">
        <f>$EE$5</f>
        <v>57800</v>
      </c>
      <c r="EF154" s="76">
        <f>$EF$5</f>
        <v>57891</v>
      </c>
      <c r="EG154" s="76">
        <f>$EG$5</f>
        <v>57983</v>
      </c>
      <c r="EH154" s="76">
        <f>$EH$5</f>
        <v>58075</v>
      </c>
      <c r="EI154" s="76">
        <f>$EI$5</f>
        <v>58165</v>
      </c>
      <c r="EJ154" s="76">
        <f>$EJ$5</f>
        <v>58256</v>
      </c>
      <c r="EK154" s="76">
        <f>$EK$5</f>
        <v>58348</v>
      </c>
      <c r="EL154" s="76">
        <f>$EL$5</f>
        <v>58440</v>
      </c>
      <c r="EM154" s="76">
        <f>$EM$5</f>
        <v>58531</v>
      </c>
      <c r="EN154" s="76">
        <f>$EN$5</f>
        <v>58622</v>
      </c>
      <c r="EO154" s="76">
        <f>$EO$5</f>
        <v>58714</v>
      </c>
      <c r="EP154" s="76">
        <f>$EP$5</f>
        <v>58806</v>
      </c>
      <c r="EQ154" s="76">
        <f>$EQ$5</f>
        <v>58896</v>
      </c>
      <c r="ER154" s="76">
        <f>$ER$5</f>
        <v>58987</v>
      </c>
      <c r="ES154" s="76">
        <f>$ES$5</f>
        <v>59079</v>
      </c>
      <c r="ET154" s="76">
        <f>$ET$5</f>
        <v>59171</v>
      </c>
      <c r="EU154" s="76">
        <f>$EU$5</f>
        <v>59261</v>
      </c>
      <c r="EV154" s="76">
        <f>$EV$5</f>
        <v>59352</v>
      </c>
      <c r="EW154" s="76">
        <f>$EW$5</f>
        <v>59444</v>
      </c>
      <c r="EX154" s="76">
        <f>$EX$5</f>
        <v>59536</v>
      </c>
      <c r="EY154" s="76">
        <f>$EY$5</f>
        <v>59626</v>
      </c>
      <c r="EZ154" s="76">
        <f>$EZ$5</f>
        <v>59717</v>
      </c>
      <c r="FA154" s="76">
        <f>$FA$5</f>
        <v>59809</v>
      </c>
    </row>
    <row r="155" spans="2:157" outlineLevel="1" x14ac:dyDescent="0.2">
      <c r="B155" s="17"/>
      <c r="C155" s="40"/>
      <c r="D155" s="21"/>
      <c r="E155" s="5"/>
      <c r="F155" s="21"/>
      <c r="G155" s="4"/>
      <c r="H155" s="4"/>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268"/>
      <c r="CV155" s="33"/>
      <c r="CW155" s="33"/>
      <c r="CX155" s="33"/>
      <c r="CY155" s="33"/>
      <c r="CZ155" s="33"/>
      <c r="DA155" s="33"/>
      <c r="DB155" s="33"/>
      <c r="DC155" s="33"/>
      <c r="DD155" s="33"/>
      <c r="DE155" s="33"/>
      <c r="DF155" s="33"/>
      <c r="DG155" s="33"/>
      <c r="DH155" s="33"/>
      <c r="DI155" s="33"/>
      <c r="DJ155" s="33"/>
      <c r="DK155" s="33"/>
    </row>
    <row r="156" spans="2:157" outlineLevel="1" x14ac:dyDescent="0.2">
      <c r="C156" s="10" t="s">
        <v>1</v>
      </c>
      <c r="D156" s="36"/>
      <c r="E156" s="21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269"/>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row>
    <row r="157" spans="2:157" outlineLevel="1" x14ac:dyDescent="0.2">
      <c r="C157" s="9" t="s">
        <v>18</v>
      </c>
      <c r="D157" s="21" t="s">
        <v>126</v>
      </c>
      <c r="E157" s="5"/>
      <c r="F157" s="21"/>
      <c r="G157" s="108">
        <f>F160</f>
        <v>0</v>
      </c>
      <c r="H157" s="108">
        <f t="shared" ref="H157:BS157" ca="1" si="862">G160</f>
        <v>0</v>
      </c>
      <c r="I157" s="108">
        <f t="shared" ca="1" si="862"/>
        <v>0</v>
      </c>
      <c r="J157" s="108">
        <f t="shared" ca="1" si="862"/>
        <v>32.289679763149607</v>
      </c>
      <c r="K157" s="108">
        <f t="shared" ca="1" si="862"/>
        <v>79.135491035434313</v>
      </c>
      <c r="L157" s="108">
        <f t="shared" ca="1" si="862"/>
        <v>104.35509082209701</v>
      </c>
      <c r="M157" s="108">
        <f t="shared" ca="1" si="862"/>
        <v>202.69291230183066</v>
      </c>
      <c r="N157" s="108">
        <f t="shared" ca="1" si="862"/>
        <v>468.37155267607136</v>
      </c>
      <c r="O157" s="108">
        <f t="shared" ca="1" si="862"/>
        <v>628.94592836843492</v>
      </c>
      <c r="P157" s="108">
        <f t="shared" ca="1" si="862"/>
        <v>736.54196790294804</v>
      </c>
      <c r="Q157" s="108">
        <f t="shared" ca="1" si="862"/>
        <v>1033.9704920510742</v>
      </c>
      <c r="R157" s="108">
        <f t="shared" ca="1" si="862"/>
        <v>1337.5756256768391</v>
      </c>
      <c r="S157" s="108">
        <f t="shared" ca="1" si="862"/>
        <v>1449.3292800555002</v>
      </c>
      <c r="T157" s="108">
        <f t="shared" ca="1" si="862"/>
        <v>1475.4577942906867</v>
      </c>
      <c r="U157" s="108">
        <f t="shared" ca="1" si="862"/>
        <v>1449.9729319144933</v>
      </c>
      <c r="V157" s="108">
        <f t="shared" ca="1" si="862"/>
        <v>1431.8614615020142</v>
      </c>
      <c r="W157" s="108">
        <f t="shared" ca="1" si="862"/>
        <v>1417.6587357055259</v>
      </c>
      <c r="X157" s="108">
        <f t="shared" ca="1" si="862"/>
        <v>0</v>
      </c>
      <c r="Y157" s="108">
        <f t="shared" ca="1" si="862"/>
        <v>0</v>
      </c>
      <c r="Z157" s="108">
        <f t="shared" ca="1" si="862"/>
        <v>0</v>
      </c>
      <c r="AA157" s="108">
        <f t="shared" ca="1" si="862"/>
        <v>0</v>
      </c>
      <c r="AB157" s="108">
        <f t="shared" ca="1" si="862"/>
        <v>0</v>
      </c>
      <c r="AC157" s="108">
        <f t="shared" ca="1" si="862"/>
        <v>0</v>
      </c>
      <c r="AD157" s="108">
        <f t="shared" ca="1" si="862"/>
        <v>0</v>
      </c>
      <c r="AE157" s="108">
        <f t="shared" ca="1" si="862"/>
        <v>0</v>
      </c>
      <c r="AF157" s="108">
        <f t="shared" ca="1" si="862"/>
        <v>0</v>
      </c>
      <c r="AG157" s="108">
        <f t="shared" ca="1" si="862"/>
        <v>0</v>
      </c>
      <c r="AH157" s="108">
        <f t="shared" ca="1" si="862"/>
        <v>0</v>
      </c>
      <c r="AI157" s="108">
        <f t="shared" ca="1" si="862"/>
        <v>0</v>
      </c>
      <c r="AJ157" s="108">
        <f t="shared" ca="1" si="862"/>
        <v>0</v>
      </c>
      <c r="AK157" s="108">
        <f t="shared" ca="1" si="862"/>
        <v>0</v>
      </c>
      <c r="AL157" s="108">
        <f t="shared" ca="1" si="862"/>
        <v>0</v>
      </c>
      <c r="AM157" s="108">
        <f t="shared" ca="1" si="862"/>
        <v>0</v>
      </c>
      <c r="AN157" s="108">
        <f t="shared" ca="1" si="862"/>
        <v>0</v>
      </c>
      <c r="AO157" s="108">
        <f t="shared" ca="1" si="862"/>
        <v>0</v>
      </c>
      <c r="AP157" s="108">
        <f t="shared" ca="1" si="862"/>
        <v>0</v>
      </c>
      <c r="AQ157" s="108">
        <f t="shared" ca="1" si="862"/>
        <v>0</v>
      </c>
      <c r="AR157" s="108">
        <f t="shared" ca="1" si="862"/>
        <v>0</v>
      </c>
      <c r="AS157" s="108">
        <f t="shared" ca="1" si="862"/>
        <v>0</v>
      </c>
      <c r="AT157" s="108">
        <f t="shared" ca="1" si="862"/>
        <v>0</v>
      </c>
      <c r="AU157" s="108">
        <f t="shared" ca="1" si="862"/>
        <v>0</v>
      </c>
      <c r="AV157" s="108">
        <f t="shared" ca="1" si="862"/>
        <v>0</v>
      </c>
      <c r="AW157" s="108">
        <f t="shared" ca="1" si="862"/>
        <v>0</v>
      </c>
      <c r="AX157" s="108">
        <f t="shared" ca="1" si="862"/>
        <v>0</v>
      </c>
      <c r="AY157" s="108">
        <f t="shared" ca="1" si="862"/>
        <v>0</v>
      </c>
      <c r="AZ157" s="108">
        <f t="shared" ca="1" si="862"/>
        <v>0</v>
      </c>
      <c r="BA157" s="108">
        <f t="shared" ca="1" si="862"/>
        <v>0</v>
      </c>
      <c r="BB157" s="108">
        <f t="shared" ca="1" si="862"/>
        <v>0</v>
      </c>
      <c r="BC157" s="108">
        <f t="shared" ca="1" si="862"/>
        <v>0</v>
      </c>
      <c r="BD157" s="108">
        <f t="shared" ca="1" si="862"/>
        <v>0</v>
      </c>
      <c r="BE157" s="108">
        <f t="shared" ca="1" si="862"/>
        <v>0</v>
      </c>
      <c r="BF157" s="108">
        <f t="shared" ca="1" si="862"/>
        <v>0</v>
      </c>
      <c r="BG157" s="108">
        <f t="shared" ca="1" si="862"/>
        <v>0</v>
      </c>
      <c r="BH157" s="108">
        <f t="shared" ca="1" si="862"/>
        <v>0</v>
      </c>
      <c r="BI157" s="108">
        <f t="shared" ca="1" si="862"/>
        <v>0</v>
      </c>
      <c r="BJ157" s="108">
        <f t="shared" ca="1" si="862"/>
        <v>0</v>
      </c>
      <c r="BK157" s="108">
        <f t="shared" ca="1" si="862"/>
        <v>0</v>
      </c>
      <c r="BL157" s="108">
        <f t="shared" ca="1" si="862"/>
        <v>0</v>
      </c>
      <c r="BM157" s="108">
        <f t="shared" ca="1" si="862"/>
        <v>0</v>
      </c>
      <c r="BN157" s="108">
        <f t="shared" ca="1" si="862"/>
        <v>0</v>
      </c>
      <c r="BO157" s="108">
        <f t="shared" ca="1" si="862"/>
        <v>0</v>
      </c>
      <c r="BP157" s="108">
        <f t="shared" ca="1" si="862"/>
        <v>0</v>
      </c>
      <c r="BQ157" s="108">
        <f t="shared" ca="1" si="862"/>
        <v>0</v>
      </c>
      <c r="BR157" s="108">
        <f t="shared" ca="1" si="862"/>
        <v>0</v>
      </c>
      <c r="BS157" s="108">
        <f t="shared" ca="1" si="862"/>
        <v>0</v>
      </c>
      <c r="BT157" s="108">
        <f t="shared" ref="BT157:EE157" ca="1" si="863">BS160</f>
        <v>0</v>
      </c>
      <c r="BU157" s="108">
        <f t="shared" ca="1" si="863"/>
        <v>0</v>
      </c>
      <c r="BV157" s="108">
        <f t="shared" ca="1" si="863"/>
        <v>0</v>
      </c>
      <c r="BW157" s="108">
        <f t="shared" ca="1" si="863"/>
        <v>0</v>
      </c>
      <c r="BX157" s="108">
        <f t="shared" ca="1" si="863"/>
        <v>0</v>
      </c>
      <c r="BY157" s="108">
        <f t="shared" ca="1" si="863"/>
        <v>0</v>
      </c>
      <c r="BZ157" s="108">
        <f t="shared" ca="1" si="863"/>
        <v>0</v>
      </c>
      <c r="CA157" s="108">
        <f t="shared" ca="1" si="863"/>
        <v>0</v>
      </c>
      <c r="CB157" s="108">
        <f t="shared" ca="1" si="863"/>
        <v>0</v>
      </c>
      <c r="CC157" s="108">
        <f t="shared" ca="1" si="863"/>
        <v>0</v>
      </c>
      <c r="CD157" s="108">
        <f t="shared" ca="1" si="863"/>
        <v>0</v>
      </c>
      <c r="CE157" s="108">
        <f t="shared" ca="1" si="863"/>
        <v>0</v>
      </c>
      <c r="CF157" s="108">
        <f t="shared" ca="1" si="863"/>
        <v>0</v>
      </c>
      <c r="CG157" s="108">
        <f t="shared" ca="1" si="863"/>
        <v>0</v>
      </c>
      <c r="CH157" s="108">
        <f t="shared" ca="1" si="863"/>
        <v>0</v>
      </c>
      <c r="CI157" s="108">
        <f t="shared" ca="1" si="863"/>
        <v>0</v>
      </c>
      <c r="CJ157" s="108">
        <f t="shared" ca="1" si="863"/>
        <v>0</v>
      </c>
      <c r="CK157" s="108">
        <f t="shared" ca="1" si="863"/>
        <v>0</v>
      </c>
      <c r="CL157" s="108">
        <f t="shared" ca="1" si="863"/>
        <v>0</v>
      </c>
      <c r="CM157" s="108">
        <f t="shared" ca="1" si="863"/>
        <v>0</v>
      </c>
      <c r="CN157" s="108">
        <f t="shared" ca="1" si="863"/>
        <v>0</v>
      </c>
      <c r="CO157" s="108">
        <f t="shared" ca="1" si="863"/>
        <v>0</v>
      </c>
      <c r="CP157" s="108">
        <f t="shared" ca="1" si="863"/>
        <v>0</v>
      </c>
      <c r="CQ157" s="108">
        <f t="shared" ca="1" si="863"/>
        <v>0</v>
      </c>
      <c r="CR157" s="108">
        <f t="shared" ca="1" si="863"/>
        <v>0</v>
      </c>
      <c r="CS157" s="108">
        <f t="shared" ca="1" si="863"/>
        <v>0</v>
      </c>
      <c r="CT157" s="108">
        <f t="shared" ca="1" si="863"/>
        <v>0</v>
      </c>
      <c r="CU157" s="256">
        <f t="shared" ca="1" si="863"/>
        <v>0</v>
      </c>
      <c r="CV157" s="108">
        <f t="shared" ca="1" si="863"/>
        <v>0</v>
      </c>
      <c r="CW157" s="108">
        <f t="shared" ca="1" si="863"/>
        <v>0</v>
      </c>
      <c r="CX157" s="108">
        <f t="shared" ca="1" si="863"/>
        <v>0</v>
      </c>
      <c r="CY157" s="108">
        <f t="shared" ca="1" si="863"/>
        <v>0</v>
      </c>
      <c r="CZ157" s="108">
        <f t="shared" ca="1" si="863"/>
        <v>0</v>
      </c>
      <c r="DA157" s="108">
        <f t="shared" ca="1" si="863"/>
        <v>0</v>
      </c>
      <c r="DB157" s="108">
        <f t="shared" ca="1" si="863"/>
        <v>0</v>
      </c>
      <c r="DC157" s="108">
        <f t="shared" ca="1" si="863"/>
        <v>0</v>
      </c>
      <c r="DD157" s="108">
        <f t="shared" ca="1" si="863"/>
        <v>0</v>
      </c>
      <c r="DE157" s="108">
        <f t="shared" ca="1" si="863"/>
        <v>0</v>
      </c>
      <c r="DF157" s="108">
        <f t="shared" ca="1" si="863"/>
        <v>0</v>
      </c>
      <c r="DG157" s="108">
        <f t="shared" ca="1" si="863"/>
        <v>0</v>
      </c>
      <c r="DH157" s="108">
        <f t="shared" ca="1" si="863"/>
        <v>0</v>
      </c>
      <c r="DI157" s="108">
        <f t="shared" ca="1" si="863"/>
        <v>0</v>
      </c>
      <c r="DJ157" s="108">
        <f t="shared" ca="1" si="863"/>
        <v>0</v>
      </c>
      <c r="DK157" s="108">
        <f t="shared" ca="1" si="863"/>
        <v>0</v>
      </c>
      <c r="DL157" s="108">
        <f t="shared" ca="1" si="863"/>
        <v>0</v>
      </c>
      <c r="DM157" s="108">
        <f t="shared" ca="1" si="863"/>
        <v>0</v>
      </c>
      <c r="DN157" s="108">
        <f t="shared" ca="1" si="863"/>
        <v>0</v>
      </c>
      <c r="DO157" s="108">
        <f t="shared" ca="1" si="863"/>
        <v>0</v>
      </c>
      <c r="DP157" s="108">
        <f t="shared" ca="1" si="863"/>
        <v>0</v>
      </c>
      <c r="DQ157" s="108">
        <f t="shared" ca="1" si="863"/>
        <v>0</v>
      </c>
      <c r="DR157" s="108">
        <f t="shared" ca="1" si="863"/>
        <v>0</v>
      </c>
      <c r="DS157" s="108">
        <f t="shared" ca="1" si="863"/>
        <v>0</v>
      </c>
      <c r="DT157" s="108">
        <f t="shared" ca="1" si="863"/>
        <v>0</v>
      </c>
      <c r="DU157" s="108">
        <f t="shared" ca="1" si="863"/>
        <v>0</v>
      </c>
      <c r="DV157" s="108">
        <f t="shared" ca="1" si="863"/>
        <v>0</v>
      </c>
      <c r="DW157" s="108">
        <f t="shared" ca="1" si="863"/>
        <v>0</v>
      </c>
      <c r="DX157" s="108">
        <f t="shared" ca="1" si="863"/>
        <v>0</v>
      </c>
      <c r="DY157" s="108">
        <f t="shared" ca="1" si="863"/>
        <v>0</v>
      </c>
      <c r="DZ157" s="108">
        <f t="shared" ca="1" si="863"/>
        <v>0</v>
      </c>
      <c r="EA157" s="108">
        <f t="shared" ca="1" si="863"/>
        <v>0</v>
      </c>
      <c r="EB157" s="108">
        <f t="shared" ca="1" si="863"/>
        <v>0</v>
      </c>
      <c r="EC157" s="108">
        <f t="shared" ca="1" si="863"/>
        <v>0</v>
      </c>
      <c r="ED157" s="108">
        <f t="shared" ca="1" si="863"/>
        <v>0</v>
      </c>
      <c r="EE157" s="108">
        <f t="shared" ca="1" si="863"/>
        <v>0</v>
      </c>
      <c r="EF157" s="108">
        <f t="shared" ref="EF157:FA157" ca="1" si="864">EE160</f>
        <v>0</v>
      </c>
      <c r="EG157" s="108">
        <f t="shared" ca="1" si="864"/>
        <v>0</v>
      </c>
      <c r="EH157" s="108">
        <f t="shared" ca="1" si="864"/>
        <v>0</v>
      </c>
      <c r="EI157" s="108">
        <f t="shared" ca="1" si="864"/>
        <v>0</v>
      </c>
      <c r="EJ157" s="108">
        <f t="shared" ca="1" si="864"/>
        <v>0</v>
      </c>
      <c r="EK157" s="108">
        <f t="shared" ca="1" si="864"/>
        <v>0</v>
      </c>
      <c r="EL157" s="108">
        <f t="shared" ca="1" si="864"/>
        <v>0</v>
      </c>
      <c r="EM157" s="108">
        <f t="shared" ca="1" si="864"/>
        <v>0</v>
      </c>
      <c r="EN157" s="108">
        <f t="shared" ca="1" si="864"/>
        <v>0</v>
      </c>
      <c r="EO157" s="108">
        <f t="shared" ca="1" si="864"/>
        <v>0</v>
      </c>
      <c r="EP157" s="108">
        <f t="shared" ca="1" si="864"/>
        <v>0</v>
      </c>
      <c r="EQ157" s="108">
        <f t="shared" ca="1" si="864"/>
        <v>0</v>
      </c>
      <c r="ER157" s="108">
        <f t="shared" ca="1" si="864"/>
        <v>0</v>
      </c>
      <c r="ES157" s="108">
        <f t="shared" ca="1" si="864"/>
        <v>0</v>
      </c>
      <c r="ET157" s="108">
        <f t="shared" ca="1" si="864"/>
        <v>0</v>
      </c>
      <c r="EU157" s="108">
        <f t="shared" ca="1" si="864"/>
        <v>0</v>
      </c>
      <c r="EV157" s="108">
        <f t="shared" ca="1" si="864"/>
        <v>0</v>
      </c>
      <c r="EW157" s="108">
        <f t="shared" ca="1" si="864"/>
        <v>0</v>
      </c>
      <c r="EX157" s="108">
        <f t="shared" ca="1" si="864"/>
        <v>0</v>
      </c>
      <c r="EY157" s="108">
        <f t="shared" ca="1" si="864"/>
        <v>0</v>
      </c>
      <c r="EZ157" s="108">
        <f t="shared" ca="1" si="864"/>
        <v>0</v>
      </c>
      <c r="FA157" s="108">
        <f t="shared" ca="1" si="864"/>
        <v>0</v>
      </c>
    </row>
    <row r="158" spans="2:157" outlineLevel="1" x14ac:dyDescent="0.2">
      <c r="C158" s="70" t="s">
        <v>58</v>
      </c>
      <c r="D158" s="21" t="s">
        <v>126</v>
      </c>
      <c r="E158" s="5"/>
      <c r="F158" s="21"/>
      <c r="G158" s="109">
        <f ca="1">IF(G154&lt;=Debt_Refinance_Date,Constr_Phase_Model!G32,0)</f>
        <v>0</v>
      </c>
      <c r="H158" s="109">
        <f ca="1">IF(H154&lt;=Debt_Refinance_Date,Constr_Phase_Model!H32,0)</f>
        <v>0</v>
      </c>
      <c r="I158" s="109">
        <f ca="1">IF(I154&lt;=Debt_Refinance_Date,Constr_Phase_Model!I32,0)</f>
        <v>32.289679763149607</v>
      </c>
      <c r="J158" s="109">
        <f ca="1">IF(J154&lt;=Debt_Refinance_Date,Constr_Phase_Model!J32,0)</f>
        <v>46.845811272284706</v>
      </c>
      <c r="K158" s="109">
        <f ca="1">IF(K154&lt;=Debt_Refinance_Date,Constr_Phase_Model!K32,0)</f>
        <v>25.219599786662695</v>
      </c>
      <c r="L158" s="109">
        <f ca="1">IF(L154&lt;=Debt_Refinance_Date,Constr_Phase_Model!L32,0)</f>
        <v>98.337821479733648</v>
      </c>
      <c r="M158" s="109">
        <f ca="1">IF(M154&lt;=Debt_Refinance_Date,Constr_Phase_Model!M32,0)</f>
        <v>265.67864037424073</v>
      </c>
      <c r="N158" s="109">
        <f ca="1">IF(N154&lt;=Debt_Refinance_Date,Constr_Phase_Model!N32,0)</f>
        <v>160.57437569236356</v>
      </c>
      <c r="O158" s="109">
        <f ca="1">IF(O154&lt;=Debt_Refinance_Date,Constr_Phase_Model!O32,0)</f>
        <v>107.59603953451317</v>
      </c>
      <c r="P158" s="109">
        <f ca="1">IF(P154&lt;=Debt_Refinance_Date,Constr_Phase_Model!P32,0)</f>
        <v>297.4285241481262</v>
      </c>
      <c r="Q158" s="109">
        <f ca="1">IF(Q154&lt;=Debt_Refinance_Date,Constr_Phase_Model!Q32,0)</f>
        <v>303.60513362576501</v>
      </c>
      <c r="R158" s="109">
        <f ca="1">IF(R154&lt;=Debt_Refinance_Date,Constr_Phase_Model!R32,0)</f>
        <v>111.75365437866114</v>
      </c>
      <c r="S158" s="109">
        <f ca="1">IF(S154&lt;=Debt_Refinance_Date,Constr_Phase_Model!S32,0)</f>
        <v>26.128514235186415</v>
      </c>
      <c r="T158" s="109">
        <f ca="1">IF(T154&lt;=Debt_Refinance_Date,Constr_Phase_Model!T32,0)</f>
        <v>-25.48486237619333</v>
      </c>
      <c r="U158" s="109">
        <f ca="1">IF(U154&lt;=Debt_Refinance_Date,Constr_Phase_Model!U32,0)</f>
        <v>-18.111470412479182</v>
      </c>
      <c r="V158" s="109">
        <f ca="1">IF(V154&lt;=Debt_Refinance_Date,Constr_Phase_Model!V32,0)</f>
        <v>-14.202725796488345</v>
      </c>
      <c r="W158" s="109">
        <f ca="1">IF(W154&lt;=Debt_Refinance_Date,Constr_Phase_Model!W32,0)</f>
        <v>-36.414131360317633</v>
      </c>
      <c r="X158" s="109">
        <f>IF(X154&lt;=Debt_Refinance_Date,Constr_Phase_Model!X32,0)</f>
        <v>0</v>
      </c>
      <c r="Y158" s="109">
        <f>IF(Y154&lt;=Debt_Refinance_Date,Constr_Phase_Model!Y32,0)</f>
        <v>0</v>
      </c>
      <c r="Z158" s="109">
        <f>IF(Z154&lt;=Debt_Refinance_Date,Constr_Phase_Model!Z32,0)</f>
        <v>0</v>
      </c>
      <c r="AA158" s="109">
        <f>IF(AA154&lt;=Debt_Refinance_Date,Constr_Phase_Model!AA32,0)</f>
        <v>0</v>
      </c>
      <c r="AB158" s="109">
        <f>IF(AB154&lt;=Debt_Refinance_Date,Constr_Phase_Model!AB32,0)</f>
        <v>0</v>
      </c>
      <c r="AC158" s="109">
        <f>IF(AC154&lt;=Debt_Refinance_Date,Constr_Phase_Model!AC32,0)</f>
        <v>0</v>
      </c>
      <c r="AD158" s="109">
        <f>IF(AD154&lt;=Debt_Refinance_Date,Constr_Phase_Model!AD32,0)</f>
        <v>0</v>
      </c>
      <c r="AE158" s="109">
        <f>IF(AE154&lt;=Debt_Refinance_Date,Constr_Phase_Model!AE32,0)</f>
        <v>0</v>
      </c>
      <c r="AF158" s="109">
        <f>IF(AF154&lt;=Debt_Refinance_Date,Constr_Phase_Model!AF32,0)</f>
        <v>0</v>
      </c>
      <c r="AG158" s="109">
        <f>IF(AG154&lt;=Debt_Refinance_Date,Constr_Phase_Model!AG32,0)</f>
        <v>0</v>
      </c>
      <c r="AH158" s="109">
        <f>IF(AH154&lt;=Debt_Refinance_Date,Constr_Phase_Model!AH32,0)</f>
        <v>0</v>
      </c>
      <c r="AI158" s="109">
        <f>IF(AI154&lt;=Debt_Refinance_Date,Constr_Phase_Model!AI32,0)</f>
        <v>0</v>
      </c>
      <c r="AJ158" s="109">
        <f>IF(AJ154&lt;=Debt_Refinance_Date,Constr_Phase_Model!AJ32,0)</f>
        <v>0</v>
      </c>
      <c r="AK158" s="109">
        <f>IF(AK154&lt;=Debt_Refinance_Date,Constr_Phase_Model!AK32,0)</f>
        <v>0</v>
      </c>
      <c r="AL158" s="109">
        <f>IF(AL154&lt;=Debt_Refinance_Date,Constr_Phase_Model!AL32,0)</f>
        <v>0</v>
      </c>
      <c r="AM158" s="109">
        <f>IF(AM154&lt;=Debt_Refinance_Date,Constr_Phase_Model!AM32,0)</f>
        <v>0</v>
      </c>
      <c r="AN158" s="109">
        <f>IF(AN154&lt;=Debt_Refinance_Date,Constr_Phase_Model!AN32,0)</f>
        <v>0</v>
      </c>
      <c r="AO158" s="109">
        <f>IF(AO154&lt;=Debt_Refinance_Date,Constr_Phase_Model!AO32,0)</f>
        <v>0</v>
      </c>
      <c r="AP158" s="109">
        <f>IF(AP154&lt;=Debt_Refinance_Date,Constr_Phase_Model!AP32,0)</f>
        <v>0</v>
      </c>
      <c r="AQ158" s="109">
        <f>IF(AQ154&lt;=Debt_Refinance_Date,Constr_Phase_Model!AQ32,0)</f>
        <v>0</v>
      </c>
      <c r="AR158" s="109">
        <f>IF(AR154&lt;=Debt_Refinance_Date,Constr_Phase_Model!AR32,0)</f>
        <v>0</v>
      </c>
      <c r="AS158" s="109">
        <f>IF(AS154&lt;=Debt_Refinance_Date,Constr_Phase_Model!AS32,0)</f>
        <v>0</v>
      </c>
      <c r="AT158" s="109">
        <f>IF(AT154&lt;=Debt_Refinance_Date,Constr_Phase_Model!AT32,0)</f>
        <v>0</v>
      </c>
      <c r="AU158" s="109">
        <f>IF(AU154&lt;=Debt_Refinance_Date,Constr_Phase_Model!AU32,0)</f>
        <v>0</v>
      </c>
      <c r="AV158" s="109">
        <f>IF(AV154&lt;=Debt_Refinance_Date,Constr_Phase_Model!AV32,0)</f>
        <v>0</v>
      </c>
      <c r="AW158" s="109">
        <f>IF(AW154&lt;=Debt_Refinance_Date,Constr_Phase_Model!AW32,0)</f>
        <v>0</v>
      </c>
      <c r="AX158" s="109">
        <f>IF(AX154&lt;=Debt_Refinance_Date,Constr_Phase_Model!AX32,0)</f>
        <v>0</v>
      </c>
      <c r="AY158" s="109">
        <f>IF(AY154&lt;=Debt_Refinance_Date,Constr_Phase_Model!AY32,0)</f>
        <v>0</v>
      </c>
      <c r="AZ158" s="109">
        <f>IF(AZ154&lt;=Debt_Refinance_Date,Constr_Phase_Model!AZ32,0)</f>
        <v>0</v>
      </c>
      <c r="BA158" s="109">
        <f>IF(BA154&lt;=Debt_Refinance_Date,Constr_Phase_Model!BA32,0)</f>
        <v>0</v>
      </c>
      <c r="BB158" s="109">
        <f>IF(BB154&lt;=Debt_Refinance_Date,Constr_Phase_Model!BB32,0)</f>
        <v>0</v>
      </c>
      <c r="BC158" s="109">
        <f>IF(BC154&lt;=Debt_Refinance_Date,Constr_Phase_Model!BC32,0)</f>
        <v>0</v>
      </c>
      <c r="BD158" s="109">
        <f>IF(BD154&lt;=Debt_Refinance_Date,Constr_Phase_Model!BD32,0)</f>
        <v>0</v>
      </c>
      <c r="BE158" s="109">
        <f>IF(BE154&lt;=Debt_Refinance_Date,Constr_Phase_Model!BE32,0)</f>
        <v>0</v>
      </c>
      <c r="BF158" s="109">
        <f>IF(BF154&lt;=Debt_Refinance_Date,Constr_Phase_Model!BF32,0)</f>
        <v>0</v>
      </c>
      <c r="BG158" s="109">
        <f>IF(BG154&lt;=Debt_Refinance_Date,Constr_Phase_Model!BG32,0)</f>
        <v>0</v>
      </c>
      <c r="BH158" s="109">
        <f>IF(BH154&lt;=Debt_Refinance_Date,Constr_Phase_Model!BH32,0)</f>
        <v>0</v>
      </c>
      <c r="BI158" s="109">
        <f>IF(BI154&lt;=Debt_Refinance_Date,Constr_Phase_Model!BI32,0)</f>
        <v>0</v>
      </c>
      <c r="BJ158" s="109">
        <f>IF(BJ154&lt;=Debt_Refinance_Date,Constr_Phase_Model!BJ32,0)</f>
        <v>0</v>
      </c>
      <c r="BK158" s="109">
        <f>IF(BK154&lt;=Debt_Refinance_Date,Constr_Phase_Model!BK32,0)</f>
        <v>0</v>
      </c>
      <c r="BL158" s="109">
        <f>IF(BL154&lt;=Debt_Refinance_Date,Constr_Phase_Model!BL32,0)</f>
        <v>0</v>
      </c>
      <c r="BM158" s="109">
        <f>IF(BM154&lt;=Debt_Refinance_Date,Constr_Phase_Model!BM32,0)</f>
        <v>0</v>
      </c>
      <c r="BN158" s="109">
        <f>IF(BN154&lt;=Debt_Refinance_Date,Constr_Phase_Model!BN32,0)</f>
        <v>0</v>
      </c>
      <c r="BO158" s="109">
        <f>IF(BO154&lt;=Debt_Refinance_Date,Constr_Phase_Model!BO32,0)</f>
        <v>0</v>
      </c>
      <c r="BP158" s="109">
        <f>IF(BP154&lt;=Debt_Refinance_Date,Constr_Phase_Model!BP32,0)</f>
        <v>0</v>
      </c>
      <c r="BQ158" s="109">
        <f>IF(BQ154&lt;=Debt_Refinance_Date,Constr_Phase_Model!BQ32,0)</f>
        <v>0</v>
      </c>
      <c r="BR158" s="109">
        <f>IF(BR154&lt;=Debt_Refinance_Date,Constr_Phase_Model!BR32,0)</f>
        <v>0</v>
      </c>
      <c r="BS158" s="109">
        <f>IF(BS154&lt;=Debt_Refinance_Date,Constr_Phase_Model!BS32,0)</f>
        <v>0</v>
      </c>
      <c r="BT158" s="109">
        <f>IF(BT154&lt;=Debt_Refinance_Date,Constr_Phase_Model!BT32,0)</f>
        <v>0</v>
      </c>
      <c r="BU158" s="109">
        <f>IF(BU154&lt;=Debt_Refinance_Date,Constr_Phase_Model!BU32,0)</f>
        <v>0</v>
      </c>
      <c r="BV158" s="109">
        <f>IF(BV154&lt;=Debt_Refinance_Date,Constr_Phase_Model!BV32,0)</f>
        <v>0</v>
      </c>
      <c r="BW158" s="109">
        <f>IF(BW154&lt;=Debt_Refinance_Date,Constr_Phase_Model!BW32,0)</f>
        <v>0</v>
      </c>
      <c r="BX158" s="109">
        <f>IF(BX154&lt;=Debt_Refinance_Date,Constr_Phase_Model!BX32,0)</f>
        <v>0</v>
      </c>
      <c r="BY158" s="109">
        <f>IF(BY154&lt;=Debt_Refinance_Date,Constr_Phase_Model!BY32,0)</f>
        <v>0</v>
      </c>
      <c r="BZ158" s="109">
        <f>IF(BZ154&lt;=Debt_Refinance_Date,Constr_Phase_Model!BZ32,0)</f>
        <v>0</v>
      </c>
      <c r="CA158" s="109">
        <f>IF(CA154&lt;=Debt_Refinance_Date,Constr_Phase_Model!CA32,0)</f>
        <v>0</v>
      </c>
      <c r="CB158" s="109">
        <f>IF(CB154&lt;=Debt_Refinance_Date,Constr_Phase_Model!CB32,0)</f>
        <v>0</v>
      </c>
      <c r="CC158" s="109">
        <f>IF(CC154&lt;=Debt_Refinance_Date,Constr_Phase_Model!CC32,0)</f>
        <v>0</v>
      </c>
      <c r="CD158" s="109">
        <f>IF(CD154&lt;=Debt_Refinance_Date,Constr_Phase_Model!CD32,0)</f>
        <v>0</v>
      </c>
      <c r="CE158" s="109">
        <f>IF(CE154&lt;=Debt_Refinance_Date,Constr_Phase_Model!CE32,0)</f>
        <v>0</v>
      </c>
      <c r="CF158" s="109">
        <f>IF(CF154&lt;=Debt_Refinance_Date,Constr_Phase_Model!CF32,0)</f>
        <v>0</v>
      </c>
      <c r="CG158" s="109">
        <f>IF(CG154&lt;=Debt_Refinance_Date,Constr_Phase_Model!CG32,0)</f>
        <v>0</v>
      </c>
      <c r="CH158" s="109">
        <f>IF(CH154&lt;=Debt_Refinance_Date,Constr_Phase_Model!CH32,0)</f>
        <v>0</v>
      </c>
      <c r="CI158" s="109">
        <f>IF(CI154&lt;=Debt_Refinance_Date,Constr_Phase_Model!CI32,0)</f>
        <v>0</v>
      </c>
      <c r="CJ158" s="109">
        <f>IF(CJ154&lt;=Debt_Refinance_Date,Constr_Phase_Model!CJ32,0)</f>
        <v>0</v>
      </c>
      <c r="CK158" s="109">
        <f>IF(CK154&lt;=Debt_Refinance_Date,Constr_Phase_Model!CK32,0)</f>
        <v>0</v>
      </c>
      <c r="CL158" s="109">
        <f>IF(CL154&lt;=Debt_Refinance_Date,Constr_Phase_Model!CL32,0)</f>
        <v>0</v>
      </c>
      <c r="CM158" s="109">
        <f>IF(CM154&lt;=Debt_Refinance_Date,Constr_Phase_Model!CM32,0)</f>
        <v>0</v>
      </c>
      <c r="CN158" s="109">
        <f>IF(CN154&lt;=Debt_Refinance_Date,Constr_Phase_Model!CN32,0)</f>
        <v>0</v>
      </c>
      <c r="CO158" s="109">
        <f>IF(CO154&lt;=Debt_Refinance_Date,Constr_Phase_Model!CO32,0)</f>
        <v>0</v>
      </c>
      <c r="CP158" s="109">
        <f>IF(CP154&lt;=Debt_Refinance_Date,Constr_Phase_Model!CP32,0)</f>
        <v>0</v>
      </c>
      <c r="CQ158" s="109">
        <f>IF(CQ154&lt;=Debt_Refinance_Date,Constr_Phase_Model!CQ32,0)</f>
        <v>0</v>
      </c>
      <c r="CR158" s="109">
        <f>IF(CR154&lt;=Debt_Refinance_Date,Constr_Phase_Model!CR32,0)</f>
        <v>0</v>
      </c>
      <c r="CS158" s="109">
        <f>IF(CS154&lt;=Debt_Refinance_Date,Constr_Phase_Model!CS32,0)</f>
        <v>0</v>
      </c>
      <c r="CT158" s="109">
        <f>IF(CT154&lt;=Debt_Refinance_Date,Constr_Phase_Model!CT32,0)</f>
        <v>0</v>
      </c>
      <c r="CU158" s="257">
        <f>IF(CU154&lt;=Debt_Refinance_Date,Constr_Phase_Model!CU32,0)</f>
        <v>0</v>
      </c>
      <c r="CV158" s="109">
        <f>IF(CV154&lt;=Debt_Refinance_Date,Constr_Phase_Model!CV32,0)</f>
        <v>0</v>
      </c>
      <c r="CW158" s="109">
        <f>IF(CW154&lt;=Debt_Refinance_Date,Constr_Phase_Model!CW32,0)</f>
        <v>0</v>
      </c>
      <c r="CX158" s="109">
        <f>IF(CX154&lt;=Debt_Refinance_Date,Constr_Phase_Model!CX32,0)</f>
        <v>0</v>
      </c>
      <c r="CY158" s="109">
        <f>IF(CY154&lt;=Debt_Refinance_Date,Constr_Phase_Model!CY32,0)</f>
        <v>0</v>
      </c>
      <c r="CZ158" s="109">
        <f>IF(CZ154&lt;=Debt_Refinance_Date,Constr_Phase_Model!CZ32,0)</f>
        <v>0</v>
      </c>
      <c r="DA158" s="109">
        <f>IF(DA154&lt;=Debt_Refinance_Date,Constr_Phase_Model!DA32,0)</f>
        <v>0</v>
      </c>
      <c r="DB158" s="109">
        <f>IF(DB154&lt;=Debt_Refinance_Date,Constr_Phase_Model!DB32,0)</f>
        <v>0</v>
      </c>
      <c r="DC158" s="109">
        <f>IF(DC154&lt;=Debt_Refinance_Date,Constr_Phase_Model!DC32,0)</f>
        <v>0</v>
      </c>
      <c r="DD158" s="109">
        <f>IF(DD154&lt;=Debt_Refinance_Date,Constr_Phase_Model!DD32,0)</f>
        <v>0</v>
      </c>
      <c r="DE158" s="109">
        <f>IF(DE154&lt;=Debt_Refinance_Date,Constr_Phase_Model!DE32,0)</f>
        <v>0</v>
      </c>
      <c r="DF158" s="109">
        <f>IF(DF154&lt;=Debt_Refinance_Date,Constr_Phase_Model!DF32,0)</f>
        <v>0</v>
      </c>
      <c r="DG158" s="109">
        <f>IF(DG154&lt;=Debt_Refinance_Date,Constr_Phase_Model!DG32,0)</f>
        <v>0</v>
      </c>
      <c r="DH158" s="109">
        <f>IF(DH154&lt;=Debt_Refinance_Date,Constr_Phase_Model!DH32,0)</f>
        <v>0</v>
      </c>
      <c r="DI158" s="109">
        <f>IF(DI154&lt;=Debt_Refinance_Date,Constr_Phase_Model!DI32,0)</f>
        <v>0</v>
      </c>
      <c r="DJ158" s="109">
        <f>IF(DJ154&lt;=Debt_Refinance_Date,Constr_Phase_Model!DJ32,0)</f>
        <v>0</v>
      </c>
      <c r="DK158" s="109">
        <f>IF(DK154&lt;=Debt_Refinance_Date,Constr_Phase_Model!DK32,0)</f>
        <v>0</v>
      </c>
      <c r="DL158" s="109">
        <f>IF(DL154&lt;=Debt_Refinance_Date,Constr_Phase_Model!DL32,0)</f>
        <v>0</v>
      </c>
      <c r="DM158" s="109">
        <f>IF(DM154&lt;=Debt_Refinance_Date,Constr_Phase_Model!DM32,0)</f>
        <v>0</v>
      </c>
      <c r="DN158" s="109">
        <f>IF(DN154&lt;=Debt_Refinance_Date,Constr_Phase_Model!DN32,0)</f>
        <v>0</v>
      </c>
      <c r="DO158" s="109">
        <f>IF(DO154&lt;=Debt_Refinance_Date,Constr_Phase_Model!DO32,0)</f>
        <v>0</v>
      </c>
      <c r="DP158" s="109">
        <f>IF(DP154&lt;=Debt_Refinance_Date,Constr_Phase_Model!DP32,0)</f>
        <v>0</v>
      </c>
      <c r="DQ158" s="109">
        <f>IF(DQ154&lt;=Debt_Refinance_Date,Constr_Phase_Model!DQ32,0)</f>
        <v>0</v>
      </c>
      <c r="DR158" s="109">
        <f>IF(DR154&lt;=Debt_Refinance_Date,Constr_Phase_Model!DR32,0)</f>
        <v>0</v>
      </c>
      <c r="DS158" s="109">
        <f>IF(DS154&lt;=Debt_Refinance_Date,Constr_Phase_Model!DS32,0)</f>
        <v>0</v>
      </c>
      <c r="DT158" s="109">
        <f>IF(DT154&lt;=Debt_Refinance_Date,Constr_Phase_Model!DT32,0)</f>
        <v>0</v>
      </c>
      <c r="DU158" s="109">
        <f>IF(DU154&lt;=Debt_Refinance_Date,Constr_Phase_Model!DU32,0)</f>
        <v>0</v>
      </c>
      <c r="DV158" s="109">
        <f>IF(DV154&lt;=Debt_Refinance_Date,Constr_Phase_Model!DV32,0)</f>
        <v>0</v>
      </c>
      <c r="DW158" s="109">
        <f>IF(DW154&lt;=Debt_Refinance_Date,Constr_Phase_Model!DW32,0)</f>
        <v>0</v>
      </c>
      <c r="DX158" s="109">
        <f>IF(DX154&lt;=Debt_Refinance_Date,Constr_Phase_Model!DX32,0)</f>
        <v>0</v>
      </c>
      <c r="DY158" s="109">
        <f>IF(DY154&lt;=Debt_Refinance_Date,Constr_Phase_Model!DY32,0)</f>
        <v>0</v>
      </c>
      <c r="DZ158" s="109">
        <f>IF(DZ154&lt;=Debt_Refinance_Date,Constr_Phase_Model!DZ32,0)</f>
        <v>0</v>
      </c>
      <c r="EA158" s="109">
        <f>IF(EA154&lt;=Debt_Refinance_Date,Constr_Phase_Model!EA32,0)</f>
        <v>0</v>
      </c>
      <c r="EB158" s="109">
        <f>IF(EB154&lt;=Debt_Refinance_Date,Constr_Phase_Model!EB32,0)</f>
        <v>0</v>
      </c>
      <c r="EC158" s="109">
        <f>IF(EC154&lt;=Debt_Refinance_Date,Constr_Phase_Model!EC32,0)</f>
        <v>0</v>
      </c>
      <c r="ED158" s="109">
        <f>IF(ED154&lt;=Debt_Refinance_Date,Constr_Phase_Model!ED32,0)</f>
        <v>0</v>
      </c>
      <c r="EE158" s="109">
        <f>IF(EE154&lt;=Debt_Refinance_Date,Constr_Phase_Model!EE32,0)</f>
        <v>0</v>
      </c>
      <c r="EF158" s="109">
        <f>IF(EF154&lt;=Debt_Refinance_Date,Constr_Phase_Model!EF32,0)</f>
        <v>0</v>
      </c>
      <c r="EG158" s="109">
        <f>IF(EG154&lt;=Debt_Refinance_Date,Constr_Phase_Model!EG32,0)</f>
        <v>0</v>
      </c>
      <c r="EH158" s="109">
        <f>IF(EH154&lt;=Debt_Refinance_Date,Constr_Phase_Model!EH32,0)</f>
        <v>0</v>
      </c>
      <c r="EI158" s="109">
        <f>IF(EI154&lt;=Debt_Refinance_Date,Constr_Phase_Model!EI32,0)</f>
        <v>0</v>
      </c>
      <c r="EJ158" s="109">
        <f>IF(EJ154&lt;=Debt_Refinance_Date,Constr_Phase_Model!EJ32,0)</f>
        <v>0</v>
      </c>
      <c r="EK158" s="109">
        <f>IF(EK154&lt;=Debt_Refinance_Date,Constr_Phase_Model!EK32,0)</f>
        <v>0</v>
      </c>
      <c r="EL158" s="109">
        <f>IF(EL154&lt;=Debt_Refinance_Date,Constr_Phase_Model!EL32,0)</f>
        <v>0</v>
      </c>
      <c r="EM158" s="109">
        <f>IF(EM154&lt;=Debt_Refinance_Date,Constr_Phase_Model!EM32,0)</f>
        <v>0</v>
      </c>
      <c r="EN158" s="109">
        <f>IF(EN154&lt;=Debt_Refinance_Date,Constr_Phase_Model!EN32,0)</f>
        <v>0</v>
      </c>
      <c r="EO158" s="109">
        <f>IF(EO154&lt;=Debt_Refinance_Date,Constr_Phase_Model!EO32,0)</f>
        <v>0</v>
      </c>
      <c r="EP158" s="109">
        <f>IF(EP154&lt;=Debt_Refinance_Date,Constr_Phase_Model!EP32,0)</f>
        <v>0</v>
      </c>
      <c r="EQ158" s="109">
        <f>IF(EQ154&lt;=Debt_Refinance_Date,Constr_Phase_Model!EQ32,0)</f>
        <v>0</v>
      </c>
      <c r="ER158" s="109">
        <f>IF(ER154&lt;=Debt_Refinance_Date,Constr_Phase_Model!ER32,0)</f>
        <v>0</v>
      </c>
      <c r="ES158" s="109">
        <f>IF(ES154&lt;=Debt_Refinance_Date,Constr_Phase_Model!ES32,0)</f>
        <v>0</v>
      </c>
      <c r="ET158" s="109">
        <f>IF(ET154&lt;=Debt_Refinance_Date,Constr_Phase_Model!ET32,0)</f>
        <v>0</v>
      </c>
      <c r="EU158" s="109">
        <f>IF(EU154&lt;=Debt_Refinance_Date,Constr_Phase_Model!EU32,0)</f>
        <v>0</v>
      </c>
      <c r="EV158" s="109">
        <f>IF(EV154&lt;=Debt_Refinance_Date,Constr_Phase_Model!EV32,0)</f>
        <v>0</v>
      </c>
      <c r="EW158" s="109">
        <f>IF(EW154&lt;=Debt_Refinance_Date,Constr_Phase_Model!EW32,0)</f>
        <v>0</v>
      </c>
      <c r="EX158" s="109">
        <f>IF(EX154&lt;=Debt_Refinance_Date,Constr_Phase_Model!EX32,0)</f>
        <v>0</v>
      </c>
      <c r="EY158" s="109">
        <f>IF(EY154&lt;=Debt_Refinance_Date,Constr_Phase_Model!EY32,0)</f>
        <v>0</v>
      </c>
      <c r="EZ158" s="109">
        <f>IF(EZ154&lt;=Debt_Refinance_Date,Constr_Phase_Model!EZ32,0)</f>
        <v>0</v>
      </c>
      <c r="FA158" s="109">
        <f>IF(FA154&lt;=Debt_Refinance_Date,Constr_Phase_Model!FA32,0)</f>
        <v>0</v>
      </c>
    </row>
    <row r="159" spans="2:157" outlineLevel="1" x14ac:dyDescent="0.2">
      <c r="C159" s="71" t="s">
        <v>28</v>
      </c>
      <c r="D159" s="32" t="s">
        <v>126</v>
      </c>
      <c r="E159" s="43"/>
      <c r="F159" s="32"/>
      <c r="G159" s="112">
        <f t="shared" ref="G159:AL159" ca="1" si="865">-SUM(G157:G158)*G12</f>
        <v>0</v>
      </c>
      <c r="H159" s="112">
        <f t="shared" ca="1" si="865"/>
        <v>0</v>
      </c>
      <c r="I159" s="112">
        <f t="shared" ca="1" si="865"/>
        <v>0</v>
      </c>
      <c r="J159" s="112">
        <f t="shared" ca="1" si="865"/>
        <v>0</v>
      </c>
      <c r="K159" s="112">
        <f t="shared" ca="1" si="865"/>
        <v>0</v>
      </c>
      <c r="L159" s="112">
        <f t="shared" ca="1" si="865"/>
        <v>0</v>
      </c>
      <c r="M159" s="112">
        <f t="shared" ca="1" si="865"/>
        <v>0</v>
      </c>
      <c r="N159" s="112">
        <f t="shared" ca="1" si="865"/>
        <v>0</v>
      </c>
      <c r="O159" s="112">
        <f t="shared" ca="1" si="865"/>
        <v>0</v>
      </c>
      <c r="P159" s="112">
        <f t="shared" ca="1" si="865"/>
        <v>0</v>
      </c>
      <c r="Q159" s="112">
        <f t="shared" ca="1" si="865"/>
        <v>0</v>
      </c>
      <c r="R159" s="112">
        <f t="shared" ca="1" si="865"/>
        <v>0</v>
      </c>
      <c r="S159" s="112">
        <f t="shared" ca="1" si="865"/>
        <v>0</v>
      </c>
      <c r="T159" s="112">
        <f t="shared" ca="1" si="865"/>
        <v>0</v>
      </c>
      <c r="U159" s="112">
        <f t="shared" ca="1" si="865"/>
        <v>0</v>
      </c>
      <c r="V159" s="112">
        <f t="shared" ca="1" si="865"/>
        <v>0</v>
      </c>
      <c r="W159" s="112">
        <f t="shared" ca="1" si="865"/>
        <v>-1381.2446043452082</v>
      </c>
      <c r="X159" s="112">
        <f t="shared" ca="1" si="865"/>
        <v>0</v>
      </c>
      <c r="Y159" s="112">
        <f t="shared" ca="1" si="865"/>
        <v>0</v>
      </c>
      <c r="Z159" s="112">
        <f t="shared" ca="1" si="865"/>
        <v>0</v>
      </c>
      <c r="AA159" s="112">
        <f t="shared" ca="1" si="865"/>
        <v>0</v>
      </c>
      <c r="AB159" s="112">
        <f t="shared" ca="1" si="865"/>
        <v>0</v>
      </c>
      <c r="AC159" s="112">
        <f t="shared" ca="1" si="865"/>
        <v>0</v>
      </c>
      <c r="AD159" s="112">
        <f t="shared" ca="1" si="865"/>
        <v>0</v>
      </c>
      <c r="AE159" s="112">
        <f t="shared" ca="1" si="865"/>
        <v>0</v>
      </c>
      <c r="AF159" s="112">
        <f t="shared" ca="1" si="865"/>
        <v>0</v>
      </c>
      <c r="AG159" s="112">
        <f t="shared" ca="1" si="865"/>
        <v>0</v>
      </c>
      <c r="AH159" s="112">
        <f t="shared" ca="1" si="865"/>
        <v>0</v>
      </c>
      <c r="AI159" s="112">
        <f t="shared" ca="1" si="865"/>
        <v>0</v>
      </c>
      <c r="AJ159" s="112">
        <f t="shared" ca="1" si="865"/>
        <v>0</v>
      </c>
      <c r="AK159" s="112">
        <f t="shared" ca="1" si="865"/>
        <v>0</v>
      </c>
      <c r="AL159" s="112">
        <f t="shared" ca="1" si="865"/>
        <v>0</v>
      </c>
      <c r="AM159" s="112">
        <f t="shared" ref="AM159:BR159" ca="1" si="866">-SUM(AM157:AM158)*AM12</f>
        <v>0</v>
      </c>
      <c r="AN159" s="112">
        <f t="shared" ca="1" si="866"/>
        <v>0</v>
      </c>
      <c r="AO159" s="112">
        <f t="shared" ca="1" si="866"/>
        <v>0</v>
      </c>
      <c r="AP159" s="112">
        <f t="shared" ca="1" si="866"/>
        <v>0</v>
      </c>
      <c r="AQ159" s="112">
        <f t="shared" ca="1" si="866"/>
        <v>0</v>
      </c>
      <c r="AR159" s="112">
        <f t="shared" ca="1" si="866"/>
        <v>0</v>
      </c>
      <c r="AS159" s="112">
        <f t="shared" ca="1" si="866"/>
        <v>0</v>
      </c>
      <c r="AT159" s="112">
        <f t="shared" ca="1" si="866"/>
        <v>0</v>
      </c>
      <c r="AU159" s="112">
        <f t="shared" ca="1" si="866"/>
        <v>0</v>
      </c>
      <c r="AV159" s="112">
        <f t="shared" ca="1" si="866"/>
        <v>0</v>
      </c>
      <c r="AW159" s="112">
        <f t="shared" ca="1" si="866"/>
        <v>0</v>
      </c>
      <c r="AX159" s="112">
        <f t="shared" ca="1" si="866"/>
        <v>0</v>
      </c>
      <c r="AY159" s="112">
        <f t="shared" ca="1" si="866"/>
        <v>0</v>
      </c>
      <c r="AZ159" s="112">
        <f t="shared" ca="1" si="866"/>
        <v>0</v>
      </c>
      <c r="BA159" s="112">
        <f t="shared" ca="1" si="866"/>
        <v>0</v>
      </c>
      <c r="BB159" s="112">
        <f t="shared" ca="1" si="866"/>
        <v>0</v>
      </c>
      <c r="BC159" s="112">
        <f t="shared" ca="1" si="866"/>
        <v>0</v>
      </c>
      <c r="BD159" s="112">
        <f t="shared" ca="1" si="866"/>
        <v>0</v>
      </c>
      <c r="BE159" s="112">
        <f t="shared" ca="1" si="866"/>
        <v>0</v>
      </c>
      <c r="BF159" s="112">
        <f t="shared" ca="1" si="866"/>
        <v>0</v>
      </c>
      <c r="BG159" s="112">
        <f t="shared" ca="1" si="866"/>
        <v>0</v>
      </c>
      <c r="BH159" s="112">
        <f t="shared" ca="1" si="866"/>
        <v>0</v>
      </c>
      <c r="BI159" s="112">
        <f t="shared" ca="1" si="866"/>
        <v>0</v>
      </c>
      <c r="BJ159" s="112">
        <f t="shared" ca="1" si="866"/>
        <v>0</v>
      </c>
      <c r="BK159" s="112">
        <f t="shared" ca="1" si="866"/>
        <v>0</v>
      </c>
      <c r="BL159" s="112">
        <f t="shared" ca="1" si="866"/>
        <v>0</v>
      </c>
      <c r="BM159" s="112">
        <f t="shared" ca="1" si="866"/>
        <v>0</v>
      </c>
      <c r="BN159" s="112">
        <f t="shared" ca="1" si="866"/>
        <v>0</v>
      </c>
      <c r="BO159" s="112">
        <f t="shared" ca="1" si="866"/>
        <v>0</v>
      </c>
      <c r="BP159" s="112">
        <f t="shared" ca="1" si="866"/>
        <v>0</v>
      </c>
      <c r="BQ159" s="112">
        <f t="shared" ca="1" si="866"/>
        <v>0</v>
      </c>
      <c r="BR159" s="112">
        <f t="shared" ca="1" si="866"/>
        <v>0</v>
      </c>
      <c r="BS159" s="112">
        <f t="shared" ref="BS159:CX159" ca="1" si="867">-SUM(BS157:BS158)*BS12</f>
        <v>0</v>
      </c>
      <c r="BT159" s="112">
        <f t="shared" ca="1" si="867"/>
        <v>0</v>
      </c>
      <c r="BU159" s="112">
        <f t="shared" ca="1" si="867"/>
        <v>0</v>
      </c>
      <c r="BV159" s="112">
        <f t="shared" ca="1" si="867"/>
        <v>0</v>
      </c>
      <c r="BW159" s="112">
        <f t="shared" ca="1" si="867"/>
        <v>0</v>
      </c>
      <c r="BX159" s="112">
        <f t="shared" ca="1" si="867"/>
        <v>0</v>
      </c>
      <c r="BY159" s="112">
        <f t="shared" ca="1" si="867"/>
        <v>0</v>
      </c>
      <c r="BZ159" s="112">
        <f t="shared" ca="1" si="867"/>
        <v>0</v>
      </c>
      <c r="CA159" s="112">
        <f t="shared" ca="1" si="867"/>
        <v>0</v>
      </c>
      <c r="CB159" s="112">
        <f t="shared" ca="1" si="867"/>
        <v>0</v>
      </c>
      <c r="CC159" s="112">
        <f t="shared" ca="1" si="867"/>
        <v>0</v>
      </c>
      <c r="CD159" s="112">
        <f t="shared" ca="1" si="867"/>
        <v>0</v>
      </c>
      <c r="CE159" s="112">
        <f t="shared" ca="1" si="867"/>
        <v>0</v>
      </c>
      <c r="CF159" s="112">
        <f t="shared" ca="1" si="867"/>
        <v>0</v>
      </c>
      <c r="CG159" s="112">
        <f t="shared" ca="1" si="867"/>
        <v>0</v>
      </c>
      <c r="CH159" s="112">
        <f t="shared" ca="1" si="867"/>
        <v>0</v>
      </c>
      <c r="CI159" s="112">
        <f t="shared" ca="1" si="867"/>
        <v>0</v>
      </c>
      <c r="CJ159" s="112">
        <f t="shared" ca="1" si="867"/>
        <v>0</v>
      </c>
      <c r="CK159" s="112">
        <f t="shared" ca="1" si="867"/>
        <v>0</v>
      </c>
      <c r="CL159" s="112">
        <f t="shared" ca="1" si="867"/>
        <v>0</v>
      </c>
      <c r="CM159" s="112">
        <f t="shared" ca="1" si="867"/>
        <v>0</v>
      </c>
      <c r="CN159" s="112">
        <f t="shared" ca="1" si="867"/>
        <v>0</v>
      </c>
      <c r="CO159" s="112">
        <f t="shared" ca="1" si="867"/>
        <v>0</v>
      </c>
      <c r="CP159" s="112">
        <f t="shared" ca="1" si="867"/>
        <v>0</v>
      </c>
      <c r="CQ159" s="112">
        <f t="shared" ca="1" si="867"/>
        <v>0</v>
      </c>
      <c r="CR159" s="112">
        <f t="shared" ca="1" si="867"/>
        <v>0</v>
      </c>
      <c r="CS159" s="112">
        <f t="shared" ca="1" si="867"/>
        <v>0</v>
      </c>
      <c r="CT159" s="112">
        <f t="shared" ca="1" si="867"/>
        <v>0</v>
      </c>
      <c r="CU159" s="261">
        <f t="shared" ca="1" si="867"/>
        <v>0</v>
      </c>
      <c r="CV159" s="112">
        <f t="shared" ca="1" si="867"/>
        <v>0</v>
      </c>
      <c r="CW159" s="112">
        <f t="shared" ca="1" si="867"/>
        <v>0</v>
      </c>
      <c r="CX159" s="112">
        <f t="shared" ca="1" si="867"/>
        <v>0</v>
      </c>
      <c r="CY159" s="112">
        <f t="shared" ref="CY159:ED159" ca="1" si="868">-SUM(CY157:CY158)*CY12</f>
        <v>0</v>
      </c>
      <c r="CZ159" s="112">
        <f t="shared" ca="1" si="868"/>
        <v>0</v>
      </c>
      <c r="DA159" s="112">
        <f t="shared" ca="1" si="868"/>
        <v>0</v>
      </c>
      <c r="DB159" s="112">
        <f t="shared" ca="1" si="868"/>
        <v>0</v>
      </c>
      <c r="DC159" s="112">
        <f t="shared" ca="1" si="868"/>
        <v>0</v>
      </c>
      <c r="DD159" s="112">
        <f t="shared" ca="1" si="868"/>
        <v>0</v>
      </c>
      <c r="DE159" s="112">
        <f t="shared" ca="1" si="868"/>
        <v>0</v>
      </c>
      <c r="DF159" s="112">
        <f t="shared" ca="1" si="868"/>
        <v>0</v>
      </c>
      <c r="DG159" s="112">
        <f t="shared" ca="1" si="868"/>
        <v>0</v>
      </c>
      <c r="DH159" s="112">
        <f t="shared" ca="1" si="868"/>
        <v>0</v>
      </c>
      <c r="DI159" s="112">
        <f t="shared" ca="1" si="868"/>
        <v>0</v>
      </c>
      <c r="DJ159" s="112">
        <f t="shared" ca="1" si="868"/>
        <v>0</v>
      </c>
      <c r="DK159" s="112">
        <f t="shared" ca="1" si="868"/>
        <v>0</v>
      </c>
      <c r="DL159" s="112">
        <f t="shared" ca="1" si="868"/>
        <v>0</v>
      </c>
      <c r="DM159" s="112">
        <f t="shared" ca="1" si="868"/>
        <v>0</v>
      </c>
      <c r="DN159" s="112">
        <f t="shared" ca="1" si="868"/>
        <v>0</v>
      </c>
      <c r="DO159" s="112">
        <f t="shared" ca="1" si="868"/>
        <v>0</v>
      </c>
      <c r="DP159" s="112">
        <f t="shared" ca="1" si="868"/>
        <v>0</v>
      </c>
      <c r="DQ159" s="112">
        <f t="shared" ca="1" si="868"/>
        <v>0</v>
      </c>
      <c r="DR159" s="112">
        <f t="shared" ca="1" si="868"/>
        <v>0</v>
      </c>
      <c r="DS159" s="112">
        <f t="shared" ca="1" si="868"/>
        <v>0</v>
      </c>
      <c r="DT159" s="112">
        <f t="shared" ca="1" si="868"/>
        <v>0</v>
      </c>
      <c r="DU159" s="112">
        <f t="shared" ca="1" si="868"/>
        <v>0</v>
      </c>
      <c r="DV159" s="112">
        <f t="shared" ca="1" si="868"/>
        <v>0</v>
      </c>
      <c r="DW159" s="112">
        <f t="shared" ca="1" si="868"/>
        <v>0</v>
      </c>
      <c r="DX159" s="112">
        <f t="shared" ca="1" si="868"/>
        <v>0</v>
      </c>
      <c r="DY159" s="112">
        <f t="shared" ca="1" si="868"/>
        <v>0</v>
      </c>
      <c r="DZ159" s="112">
        <f t="shared" ca="1" si="868"/>
        <v>0</v>
      </c>
      <c r="EA159" s="112">
        <f t="shared" ca="1" si="868"/>
        <v>0</v>
      </c>
      <c r="EB159" s="112">
        <f t="shared" ca="1" si="868"/>
        <v>0</v>
      </c>
      <c r="EC159" s="112">
        <f t="shared" ca="1" si="868"/>
        <v>0</v>
      </c>
      <c r="ED159" s="112">
        <f t="shared" ca="1" si="868"/>
        <v>0</v>
      </c>
      <c r="EE159" s="112">
        <f t="shared" ref="EE159:FA159" ca="1" si="869">-SUM(EE157:EE158)*EE12</f>
        <v>0</v>
      </c>
      <c r="EF159" s="112">
        <f t="shared" ca="1" si="869"/>
        <v>0</v>
      </c>
      <c r="EG159" s="112">
        <f t="shared" ca="1" si="869"/>
        <v>0</v>
      </c>
      <c r="EH159" s="112">
        <f t="shared" ca="1" si="869"/>
        <v>0</v>
      </c>
      <c r="EI159" s="112">
        <f t="shared" ca="1" si="869"/>
        <v>0</v>
      </c>
      <c r="EJ159" s="112">
        <f t="shared" ca="1" si="869"/>
        <v>0</v>
      </c>
      <c r="EK159" s="112">
        <f t="shared" ca="1" si="869"/>
        <v>0</v>
      </c>
      <c r="EL159" s="112">
        <f t="shared" ca="1" si="869"/>
        <v>0</v>
      </c>
      <c r="EM159" s="112">
        <f t="shared" ca="1" si="869"/>
        <v>0</v>
      </c>
      <c r="EN159" s="112">
        <f t="shared" ca="1" si="869"/>
        <v>0</v>
      </c>
      <c r="EO159" s="112">
        <f t="shared" ca="1" si="869"/>
        <v>0</v>
      </c>
      <c r="EP159" s="112">
        <f t="shared" ca="1" si="869"/>
        <v>0</v>
      </c>
      <c r="EQ159" s="112">
        <f t="shared" ca="1" si="869"/>
        <v>0</v>
      </c>
      <c r="ER159" s="112">
        <f t="shared" ca="1" si="869"/>
        <v>0</v>
      </c>
      <c r="ES159" s="112">
        <f t="shared" ca="1" si="869"/>
        <v>0</v>
      </c>
      <c r="ET159" s="112">
        <f t="shared" ca="1" si="869"/>
        <v>0</v>
      </c>
      <c r="EU159" s="112">
        <f t="shared" ca="1" si="869"/>
        <v>0</v>
      </c>
      <c r="EV159" s="112">
        <f t="shared" ca="1" si="869"/>
        <v>0</v>
      </c>
      <c r="EW159" s="112">
        <f t="shared" ca="1" si="869"/>
        <v>0</v>
      </c>
      <c r="EX159" s="112">
        <f t="shared" ca="1" si="869"/>
        <v>0</v>
      </c>
      <c r="EY159" s="112">
        <f t="shared" ca="1" si="869"/>
        <v>0</v>
      </c>
      <c r="EZ159" s="112">
        <f t="shared" ca="1" si="869"/>
        <v>0</v>
      </c>
      <c r="FA159" s="112">
        <f t="shared" ca="1" si="869"/>
        <v>0</v>
      </c>
    </row>
    <row r="160" spans="2:157" outlineLevel="1" x14ac:dyDescent="0.2">
      <c r="C160" s="56" t="s">
        <v>19</v>
      </c>
      <c r="D160" s="21" t="s">
        <v>126</v>
      </c>
      <c r="E160" s="5"/>
      <c r="F160" s="122">
        <v>0</v>
      </c>
      <c r="G160" s="106">
        <f ca="1">SUM(G157:G159)</f>
        <v>0</v>
      </c>
      <c r="H160" s="106">
        <f t="shared" ref="H160:BS160" ca="1" si="870">SUM(H157:H159)</f>
        <v>0</v>
      </c>
      <c r="I160" s="106">
        <f t="shared" ca="1" si="870"/>
        <v>32.289679763149607</v>
      </c>
      <c r="J160" s="106">
        <f t="shared" ca="1" si="870"/>
        <v>79.135491035434313</v>
      </c>
      <c r="K160" s="106">
        <f t="shared" ca="1" si="870"/>
        <v>104.35509082209701</v>
      </c>
      <c r="L160" s="106">
        <f t="shared" ca="1" si="870"/>
        <v>202.69291230183066</v>
      </c>
      <c r="M160" s="106">
        <f t="shared" ca="1" si="870"/>
        <v>468.37155267607136</v>
      </c>
      <c r="N160" s="106">
        <f t="shared" ca="1" si="870"/>
        <v>628.94592836843492</v>
      </c>
      <c r="O160" s="106">
        <f t="shared" ca="1" si="870"/>
        <v>736.54196790294804</v>
      </c>
      <c r="P160" s="106">
        <f t="shared" ca="1" si="870"/>
        <v>1033.9704920510742</v>
      </c>
      <c r="Q160" s="106">
        <f t="shared" ca="1" si="870"/>
        <v>1337.5756256768391</v>
      </c>
      <c r="R160" s="106">
        <f t="shared" ca="1" si="870"/>
        <v>1449.3292800555002</v>
      </c>
      <c r="S160" s="106">
        <f t="shared" ca="1" si="870"/>
        <v>1475.4577942906867</v>
      </c>
      <c r="T160" s="106">
        <f t="shared" ca="1" si="870"/>
        <v>1449.9729319144933</v>
      </c>
      <c r="U160" s="106">
        <f t="shared" ca="1" si="870"/>
        <v>1431.8614615020142</v>
      </c>
      <c r="V160" s="106">
        <f t="shared" ca="1" si="870"/>
        <v>1417.6587357055259</v>
      </c>
      <c r="W160" s="106">
        <f t="shared" ca="1" si="870"/>
        <v>0</v>
      </c>
      <c r="X160" s="106">
        <f t="shared" ca="1" si="870"/>
        <v>0</v>
      </c>
      <c r="Y160" s="106">
        <f t="shared" ca="1" si="870"/>
        <v>0</v>
      </c>
      <c r="Z160" s="106">
        <f t="shared" ca="1" si="870"/>
        <v>0</v>
      </c>
      <c r="AA160" s="106">
        <f t="shared" ca="1" si="870"/>
        <v>0</v>
      </c>
      <c r="AB160" s="106">
        <f t="shared" ca="1" si="870"/>
        <v>0</v>
      </c>
      <c r="AC160" s="106">
        <f t="shared" ca="1" si="870"/>
        <v>0</v>
      </c>
      <c r="AD160" s="106">
        <f t="shared" ca="1" si="870"/>
        <v>0</v>
      </c>
      <c r="AE160" s="106">
        <f t="shared" ca="1" si="870"/>
        <v>0</v>
      </c>
      <c r="AF160" s="106">
        <f t="shared" ca="1" si="870"/>
        <v>0</v>
      </c>
      <c r="AG160" s="106">
        <f t="shared" ca="1" si="870"/>
        <v>0</v>
      </c>
      <c r="AH160" s="106">
        <f t="shared" ca="1" si="870"/>
        <v>0</v>
      </c>
      <c r="AI160" s="106">
        <f t="shared" ca="1" si="870"/>
        <v>0</v>
      </c>
      <c r="AJ160" s="106">
        <f t="shared" ca="1" si="870"/>
        <v>0</v>
      </c>
      <c r="AK160" s="106">
        <f t="shared" ca="1" si="870"/>
        <v>0</v>
      </c>
      <c r="AL160" s="106">
        <f t="shared" ca="1" si="870"/>
        <v>0</v>
      </c>
      <c r="AM160" s="106">
        <f t="shared" ca="1" si="870"/>
        <v>0</v>
      </c>
      <c r="AN160" s="106">
        <f t="shared" ca="1" si="870"/>
        <v>0</v>
      </c>
      <c r="AO160" s="106">
        <f t="shared" ca="1" si="870"/>
        <v>0</v>
      </c>
      <c r="AP160" s="106">
        <f t="shared" ca="1" si="870"/>
        <v>0</v>
      </c>
      <c r="AQ160" s="106">
        <f t="shared" ca="1" si="870"/>
        <v>0</v>
      </c>
      <c r="AR160" s="106">
        <f t="shared" ca="1" si="870"/>
        <v>0</v>
      </c>
      <c r="AS160" s="106">
        <f t="shared" ca="1" si="870"/>
        <v>0</v>
      </c>
      <c r="AT160" s="106">
        <f t="shared" ca="1" si="870"/>
        <v>0</v>
      </c>
      <c r="AU160" s="106">
        <f t="shared" ca="1" si="870"/>
        <v>0</v>
      </c>
      <c r="AV160" s="106">
        <f t="shared" ca="1" si="870"/>
        <v>0</v>
      </c>
      <c r="AW160" s="106">
        <f t="shared" ca="1" si="870"/>
        <v>0</v>
      </c>
      <c r="AX160" s="106">
        <f t="shared" ca="1" si="870"/>
        <v>0</v>
      </c>
      <c r="AY160" s="106">
        <f t="shared" ca="1" si="870"/>
        <v>0</v>
      </c>
      <c r="AZ160" s="106">
        <f t="shared" ca="1" si="870"/>
        <v>0</v>
      </c>
      <c r="BA160" s="106">
        <f t="shared" ca="1" si="870"/>
        <v>0</v>
      </c>
      <c r="BB160" s="106">
        <f t="shared" ca="1" si="870"/>
        <v>0</v>
      </c>
      <c r="BC160" s="106">
        <f t="shared" ca="1" si="870"/>
        <v>0</v>
      </c>
      <c r="BD160" s="106">
        <f t="shared" ca="1" si="870"/>
        <v>0</v>
      </c>
      <c r="BE160" s="106">
        <f t="shared" ca="1" si="870"/>
        <v>0</v>
      </c>
      <c r="BF160" s="106">
        <f t="shared" ca="1" si="870"/>
        <v>0</v>
      </c>
      <c r="BG160" s="106">
        <f t="shared" ca="1" si="870"/>
        <v>0</v>
      </c>
      <c r="BH160" s="106">
        <f t="shared" ca="1" si="870"/>
        <v>0</v>
      </c>
      <c r="BI160" s="106">
        <f t="shared" ca="1" si="870"/>
        <v>0</v>
      </c>
      <c r="BJ160" s="106">
        <f t="shared" ca="1" si="870"/>
        <v>0</v>
      </c>
      <c r="BK160" s="106">
        <f t="shared" ca="1" si="870"/>
        <v>0</v>
      </c>
      <c r="BL160" s="106">
        <f t="shared" ca="1" si="870"/>
        <v>0</v>
      </c>
      <c r="BM160" s="106">
        <f t="shared" ca="1" si="870"/>
        <v>0</v>
      </c>
      <c r="BN160" s="106">
        <f t="shared" ca="1" si="870"/>
        <v>0</v>
      </c>
      <c r="BO160" s="106">
        <f t="shared" ca="1" si="870"/>
        <v>0</v>
      </c>
      <c r="BP160" s="106">
        <f t="shared" ca="1" si="870"/>
        <v>0</v>
      </c>
      <c r="BQ160" s="106">
        <f t="shared" ca="1" si="870"/>
        <v>0</v>
      </c>
      <c r="BR160" s="106">
        <f t="shared" ca="1" si="870"/>
        <v>0</v>
      </c>
      <c r="BS160" s="106">
        <f t="shared" ca="1" si="870"/>
        <v>0</v>
      </c>
      <c r="BT160" s="106">
        <f t="shared" ref="BT160:EE160" ca="1" si="871">SUM(BT157:BT159)</f>
        <v>0</v>
      </c>
      <c r="BU160" s="106">
        <f t="shared" ca="1" si="871"/>
        <v>0</v>
      </c>
      <c r="BV160" s="106">
        <f t="shared" ca="1" si="871"/>
        <v>0</v>
      </c>
      <c r="BW160" s="106">
        <f t="shared" ca="1" si="871"/>
        <v>0</v>
      </c>
      <c r="BX160" s="106">
        <f t="shared" ca="1" si="871"/>
        <v>0</v>
      </c>
      <c r="BY160" s="106">
        <f t="shared" ca="1" si="871"/>
        <v>0</v>
      </c>
      <c r="BZ160" s="106">
        <f t="shared" ca="1" si="871"/>
        <v>0</v>
      </c>
      <c r="CA160" s="106">
        <f t="shared" ca="1" si="871"/>
        <v>0</v>
      </c>
      <c r="CB160" s="106">
        <f t="shared" ca="1" si="871"/>
        <v>0</v>
      </c>
      <c r="CC160" s="106">
        <f t="shared" ca="1" si="871"/>
        <v>0</v>
      </c>
      <c r="CD160" s="106">
        <f t="shared" ca="1" si="871"/>
        <v>0</v>
      </c>
      <c r="CE160" s="106">
        <f t="shared" ca="1" si="871"/>
        <v>0</v>
      </c>
      <c r="CF160" s="106">
        <f t="shared" ca="1" si="871"/>
        <v>0</v>
      </c>
      <c r="CG160" s="106">
        <f t="shared" ca="1" si="871"/>
        <v>0</v>
      </c>
      <c r="CH160" s="106">
        <f t="shared" ca="1" si="871"/>
        <v>0</v>
      </c>
      <c r="CI160" s="106">
        <f t="shared" ca="1" si="871"/>
        <v>0</v>
      </c>
      <c r="CJ160" s="106">
        <f t="shared" ca="1" si="871"/>
        <v>0</v>
      </c>
      <c r="CK160" s="106">
        <f t="shared" ca="1" si="871"/>
        <v>0</v>
      </c>
      <c r="CL160" s="106">
        <f t="shared" ca="1" si="871"/>
        <v>0</v>
      </c>
      <c r="CM160" s="106">
        <f t="shared" ca="1" si="871"/>
        <v>0</v>
      </c>
      <c r="CN160" s="106">
        <f t="shared" ca="1" si="871"/>
        <v>0</v>
      </c>
      <c r="CO160" s="106">
        <f t="shared" ca="1" si="871"/>
        <v>0</v>
      </c>
      <c r="CP160" s="106">
        <f t="shared" ca="1" si="871"/>
        <v>0</v>
      </c>
      <c r="CQ160" s="106">
        <f t="shared" ca="1" si="871"/>
        <v>0</v>
      </c>
      <c r="CR160" s="106">
        <f t="shared" ca="1" si="871"/>
        <v>0</v>
      </c>
      <c r="CS160" s="106">
        <f t="shared" ca="1" si="871"/>
        <v>0</v>
      </c>
      <c r="CT160" s="106">
        <f t="shared" ca="1" si="871"/>
        <v>0</v>
      </c>
      <c r="CU160" s="259">
        <f t="shared" ca="1" si="871"/>
        <v>0</v>
      </c>
      <c r="CV160" s="106">
        <f t="shared" ca="1" si="871"/>
        <v>0</v>
      </c>
      <c r="CW160" s="106">
        <f t="shared" ca="1" si="871"/>
        <v>0</v>
      </c>
      <c r="CX160" s="106">
        <f t="shared" ca="1" si="871"/>
        <v>0</v>
      </c>
      <c r="CY160" s="106">
        <f t="shared" ca="1" si="871"/>
        <v>0</v>
      </c>
      <c r="CZ160" s="106">
        <f t="shared" ca="1" si="871"/>
        <v>0</v>
      </c>
      <c r="DA160" s="106">
        <f t="shared" ca="1" si="871"/>
        <v>0</v>
      </c>
      <c r="DB160" s="106">
        <f t="shared" ca="1" si="871"/>
        <v>0</v>
      </c>
      <c r="DC160" s="106">
        <f t="shared" ca="1" si="871"/>
        <v>0</v>
      </c>
      <c r="DD160" s="106">
        <f t="shared" ca="1" si="871"/>
        <v>0</v>
      </c>
      <c r="DE160" s="106">
        <f t="shared" ca="1" si="871"/>
        <v>0</v>
      </c>
      <c r="DF160" s="106">
        <f t="shared" ca="1" si="871"/>
        <v>0</v>
      </c>
      <c r="DG160" s="106">
        <f t="shared" ca="1" si="871"/>
        <v>0</v>
      </c>
      <c r="DH160" s="106">
        <f t="shared" ca="1" si="871"/>
        <v>0</v>
      </c>
      <c r="DI160" s="106">
        <f t="shared" ca="1" si="871"/>
        <v>0</v>
      </c>
      <c r="DJ160" s="106">
        <f t="shared" ca="1" si="871"/>
        <v>0</v>
      </c>
      <c r="DK160" s="106">
        <f t="shared" ca="1" si="871"/>
        <v>0</v>
      </c>
      <c r="DL160" s="106">
        <f t="shared" ca="1" si="871"/>
        <v>0</v>
      </c>
      <c r="DM160" s="106">
        <f t="shared" ca="1" si="871"/>
        <v>0</v>
      </c>
      <c r="DN160" s="106">
        <f t="shared" ca="1" si="871"/>
        <v>0</v>
      </c>
      <c r="DO160" s="106">
        <f t="shared" ca="1" si="871"/>
        <v>0</v>
      </c>
      <c r="DP160" s="106">
        <f t="shared" ca="1" si="871"/>
        <v>0</v>
      </c>
      <c r="DQ160" s="106">
        <f t="shared" ca="1" si="871"/>
        <v>0</v>
      </c>
      <c r="DR160" s="106">
        <f t="shared" ca="1" si="871"/>
        <v>0</v>
      </c>
      <c r="DS160" s="106">
        <f t="shared" ca="1" si="871"/>
        <v>0</v>
      </c>
      <c r="DT160" s="106">
        <f t="shared" ca="1" si="871"/>
        <v>0</v>
      </c>
      <c r="DU160" s="106">
        <f t="shared" ca="1" si="871"/>
        <v>0</v>
      </c>
      <c r="DV160" s="106">
        <f t="shared" ca="1" si="871"/>
        <v>0</v>
      </c>
      <c r="DW160" s="106">
        <f t="shared" ca="1" si="871"/>
        <v>0</v>
      </c>
      <c r="DX160" s="106">
        <f t="shared" ca="1" si="871"/>
        <v>0</v>
      </c>
      <c r="DY160" s="106">
        <f t="shared" ca="1" si="871"/>
        <v>0</v>
      </c>
      <c r="DZ160" s="106">
        <f t="shared" ca="1" si="871"/>
        <v>0</v>
      </c>
      <c r="EA160" s="106">
        <f t="shared" ca="1" si="871"/>
        <v>0</v>
      </c>
      <c r="EB160" s="106">
        <f t="shared" ca="1" si="871"/>
        <v>0</v>
      </c>
      <c r="EC160" s="106">
        <f t="shared" ca="1" si="871"/>
        <v>0</v>
      </c>
      <c r="ED160" s="106">
        <f t="shared" ca="1" si="871"/>
        <v>0</v>
      </c>
      <c r="EE160" s="106">
        <f t="shared" ca="1" si="871"/>
        <v>0</v>
      </c>
      <c r="EF160" s="106">
        <f t="shared" ref="EF160:FA160" ca="1" si="872">SUM(EF157:EF159)</f>
        <v>0</v>
      </c>
      <c r="EG160" s="106">
        <f t="shared" ca="1" si="872"/>
        <v>0</v>
      </c>
      <c r="EH160" s="106">
        <f t="shared" ca="1" si="872"/>
        <v>0</v>
      </c>
      <c r="EI160" s="106">
        <f t="shared" ca="1" si="872"/>
        <v>0</v>
      </c>
      <c r="EJ160" s="106">
        <f t="shared" ca="1" si="872"/>
        <v>0</v>
      </c>
      <c r="EK160" s="106">
        <f t="shared" ca="1" si="872"/>
        <v>0</v>
      </c>
      <c r="EL160" s="106">
        <f t="shared" ca="1" si="872"/>
        <v>0</v>
      </c>
      <c r="EM160" s="106">
        <f t="shared" ca="1" si="872"/>
        <v>0</v>
      </c>
      <c r="EN160" s="106">
        <f t="shared" ca="1" si="872"/>
        <v>0</v>
      </c>
      <c r="EO160" s="106">
        <f t="shared" ca="1" si="872"/>
        <v>0</v>
      </c>
      <c r="EP160" s="106">
        <f t="shared" ca="1" si="872"/>
        <v>0</v>
      </c>
      <c r="EQ160" s="106">
        <f t="shared" ca="1" si="872"/>
        <v>0</v>
      </c>
      <c r="ER160" s="106">
        <f t="shared" ca="1" si="872"/>
        <v>0</v>
      </c>
      <c r="ES160" s="106">
        <f t="shared" ca="1" si="872"/>
        <v>0</v>
      </c>
      <c r="ET160" s="106">
        <f t="shared" ca="1" si="872"/>
        <v>0</v>
      </c>
      <c r="EU160" s="106">
        <f t="shared" ca="1" si="872"/>
        <v>0</v>
      </c>
      <c r="EV160" s="106">
        <f t="shared" ca="1" si="872"/>
        <v>0</v>
      </c>
      <c r="EW160" s="106">
        <f t="shared" ca="1" si="872"/>
        <v>0</v>
      </c>
      <c r="EX160" s="106">
        <f t="shared" ca="1" si="872"/>
        <v>0</v>
      </c>
      <c r="EY160" s="106">
        <f t="shared" ca="1" si="872"/>
        <v>0</v>
      </c>
      <c r="EZ160" s="106">
        <f t="shared" ca="1" si="872"/>
        <v>0</v>
      </c>
      <c r="FA160" s="106">
        <f t="shared" ca="1" si="872"/>
        <v>0</v>
      </c>
    </row>
    <row r="161" spans="3:157" outlineLevel="1" x14ac:dyDescent="0.2"/>
    <row r="162" spans="3:157" outlineLevel="1" x14ac:dyDescent="0.2">
      <c r="C162" s="10" t="s">
        <v>83</v>
      </c>
      <c r="D162" s="36"/>
      <c r="E162" s="21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269"/>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row>
    <row r="163" spans="3:157" outlineLevel="1" x14ac:dyDescent="0.2">
      <c r="C163" s="9" t="s">
        <v>18</v>
      </c>
      <c r="D163" s="21" t="s">
        <v>126</v>
      </c>
      <c r="E163" s="5"/>
      <c r="F163" s="21"/>
      <c r="G163" s="107">
        <f>F166</f>
        <v>0</v>
      </c>
      <c r="H163" s="107">
        <f t="shared" ref="H163:BS163" ca="1" si="873">G166</f>
        <v>0</v>
      </c>
      <c r="I163" s="107">
        <f t="shared" ca="1" si="873"/>
        <v>0</v>
      </c>
      <c r="J163" s="107">
        <f t="shared" ca="1" si="873"/>
        <v>0</v>
      </c>
      <c r="K163" s="107">
        <f t="shared" ca="1" si="873"/>
        <v>0</v>
      </c>
      <c r="L163" s="107">
        <f t="shared" ca="1" si="873"/>
        <v>0</v>
      </c>
      <c r="M163" s="107">
        <f t="shared" ca="1" si="873"/>
        <v>0</v>
      </c>
      <c r="N163" s="107">
        <f t="shared" ca="1" si="873"/>
        <v>0</v>
      </c>
      <c r="O163" s="107">
        <f t="shared" ca="1" si="873"/>
        <v>0</v>
      </c>
      <c r="P163" s="107">
        <f t="shared" ca="1" si="873"/>
        <v>0</v>
      </c>
      <c r="Q163" s="107">
        <f t="shared" ca="1" si="873"/>
        <v>0</v>
      </c>
      <c r="R163" s="107">
        <f t="shared" ca="1" si="873"/>
        <v>0</v>
      </c>
      <c r="S163" s="107">
        <f t="shared" ca="1" si="873"/>
        <v>0</v>
      </c>
      <c r="T163" s="107">
        <f t="shared" ca="1" si="873"/>
        <v>0</v>
      </c>
      <c r="U163" s="107">
        <f t="shared" ca="1" si="873"/>
        <v>0</v>
      </c>
      <c r="V163" s="107">
        <f t="shared" ca="1" si="873"/>
        <v>0</v>
      </c>
      <c r="W163" s="107">
        <f t="shared" ca="1" si="873"/>
        <v>0</v>
      </c>
      <c r="X163" s="107">
        <f t="shared" ca="1" si="873"/>
        <v>1178.747201511213</v>
      </c>
      <c r="Y163" s="107">
        <f t="shared" ca="1" si="873"/>
        <v>1177.5835673441579</v>
      </c>
      <c r="Z163" s="107">
        <f t="shared" ca="1" si="873"/>
        <v>1177.5835673441579</v>
      </c>
      <c r="AA163" s="107">
        <f t="shared" ca="1" si="873"/>
        <v>1167.4655546562992</v>
      </c>
      <c r="AB163" s="107">
        <f t="shared" ca="1" si="873"/>
        <v>1153.8410181815073</v>
      </c>
      <c r="AC163" s="107">
        <f t="shared" ca="1" si="873"/>
        <v>1151.9525957907786</v>
      </c>
      <c r="AD163" s="107">
        <f t="shared" ca="1" si="873"/>
        <v>1151.9525957907786</v>
      </c>
      <c r="AE163" s="107">
        <f t="shared" ca="1" si="873"/>
        <v>1140.8949324173796</v>
      </c>
      <c r="AF163" s="107">
        <f t="shared" ca="1" si="873"/>
        <v>1126.2404211926446</v>
      </c>
      <c r="AG163" s="107">
        <f t="shared" ca="1" si="873"/>
        <v>1123.5813788557682</v>
      </c>
      <c r="AH163" s="107">
        <f t="shared" ca="1" si="873"/>
        <v>1123.5813788557682</v>
      </c>
      <c r="AI163" s="107">
        <f t="shared" ca="1" si="873"/>
        <v>1111.5329005183085</v>
      </c>
      <c r="AJ163" s="107">
        <f t="shared" ca="1" si="873"/>
        <v>1096.1378419070993</v>
      </c>
      <c r="AK163" s="107">
        <f t="shared" ca="1" si="873"/>
        <v>1093.0015563411951</v>
      </c>
      <c r="AL163" s="107">
        <f t="shared" ca="1" si="873"/>
        <v>1093.0015563411951</v>
      </c>
      <c r="AM163" s="107">
        <f t="shared" ca="1" si="873"/>
        <v>1080.3550658698409</v>
      </c>
      <c r="AN163" s="107">
        <f t="shared" ca="1" si="873"/>
        <v>1063.9678034258695</v>
      </c>
      <c r="AO163" s="107">
        <f t="shared" ca="1" si="873"/>
        <v>1059.9884270777611</v>
      </c>
      <c r="AP163" s="107">
        <f t="shared" ca="1" si="873"/>
        <v>1059.7450403623563</v>
      </c>
      <c r="AQ163" s="107">
        <f t="shared" ca="1" si="873"/>
        <v>1046.0233347949677</v>
      </c>
      <c r="AR163" s="107">
        <f t="shared" ca="1" si="873"/>
        <v>1028.6900490399426</v>
      </c>
      <c r="AS163" s="107">
        <f t="shared" ca="1" si="873"/>
        <v>1024.0372772932449</v>
      </c>
      <c r="AT163" s="107">
        <f t="shared" ca="1" si="873"/>
        <v>1023.1735432272957</v>
      </c>
      <c r="AU163" s="107">
        <f t="shared" ca="1" si="873"/>
        <v>1008.6042278153491</v>
      </c>
      <c r="AV163" s="107">
        <f t="shared" ca="1" si="873"/>
        <v>990.12691041397284</v>
      </c>
      <c r="AW163" s="107">
        <f t="shared" ca="1" si="873"/>
        <v>984.52948695159648</v>
      </c>
      <c r="AX163" s="107">
        <f t="shared" ca="1" si="873"/>
        <v>982.79637530494449</v>
      </c>
      <c r="AY163" s="107">
        <f t="shared" ca="1" si="873"/>
        <v>967.031289113414</v>
      </c>
      <c r="AZ163" s="107">
        <f t="shared" ca="1" si="873"/>
        <v>947.25649397855511</v>
      </c>
      <c r="BA163" s="107">
        <f t="shared" ca="1" si="873"/>
        <v>940.64499743091324</v>
      </c>
      <c r="BB163" s="107">
        <f t="shared" ca="1" si="873"/>
        <v>937.97413668522745</v>
      </c>
      <c r="BC163" s="107">
        <f t="shared" ca="1" si="873"/>
        <v>920.93673007872474</v>
      </c>
      <c r="BD163" s="107">
        <f t="shared" ca="1" si="873"/>
        <v>900.35756507594351</v>
      </c>
      <c r="BE163" s="107">
        <f t="shared" ca="1" si="873"/>
        <v>893.22826324933192</v>
      </c>
      <c r="BF163" s="107">
        <f t="shared" ca="1" si="873"/>
        <v>890.062613644777</v>
      </c>
      <c r="BG163" s="107">
        <f t="shared" ca="1" si="873"/>
        <v>872.42432827767038</v>
      </c>
      <c r="BH163" s="107">
        <f t="shared" ca="1" si="873"/>
        <v>850.63771940991762</v>
      </c>
      <c r="BI163" s="107">
        <f t="shared" ca="1" si="873"/>
        <v>842.39351150141476</v>
      </c>
      <c r="BJ163" s="107">
        <f t="shared" ca="1" si="873"/>
        <v>838.1906354964691</v>
      </c>
      <c r="BK163" s="107">
        <f t="shared" ca="1" si="873"/>
        <v>819.16950189606348</v>
      </c>
      <c r="BL163" s="107">
        <f t="shared" ca="1" si="873"/>
        <v>795.89117452075425</v>
      </c>
      <c r="BM163" s="107">
        <f t="shared" ca="1" si="873"/>
        <v>786.45218580757103</v>
      </c>
      <c r="BN163" s="107">
        <f t="shared" ca="1" si="873"/>
        <v>781.13322023588773</v>
      </c>
      <c r="BO163" s="107">
        <f t="shared" ca="1" si="873"/>
        <v>760.6416609767042</v>
      </c>
      <c r="BP163" s="107">
        <f t="shared" ca="1" si="873"/>
        <v>735.78074565283532</v>
      </c>
      <c r="BQ163" s="107">
        <f t="shared" ca="1" si="873"/>
        <v>725.06211660572296</v>
      </c>
      <c r="BR163" s="107">
        <f t="shared" ca="1" si="873"/>
        <v>718.54319156418558</v>
      </c>
      <c r="BS163" s="107">
        <f t="shared" ca="1" si="873"/>
        <v>696.48837669695467</v>
      </c>
      <c r="BT163" s="107">
        <f t="shared" ref="BT163:EE163" ca="1" si="874">BS166</f>
        <v>669.94862945460375</v>
      </c>
      <c r="BU163" s="107">
        <f t="shared" ca="1" si="874"/>
        <v>657.86021682140802</v>
      </c>
      <c r="BV163" s="107">
        <f t="shared" ca="1" si="874"/>
        <v>650.05215359673866</v>
      </c>
      <c r="BW163" s="107">
        <f t="shared" ca="1" si="874"/>
        <v>626.33569024231429</v>
      </c>
      <c r="BX163" s="107">
        <f t="shared" ca="1" si="874"/>
        <v>598.01517664586595</v>
      </c>
      <c r="BY163" s="107">
        <f t="shared" ca="1" si="874"/>
        <v>584.46123682873508</v>
      </c>
      <c r="BZ163" s="107">
        <f t="shared" ca="1" si="874"/>
        <v>575.26922788901845</v>
      </c>
      <c r="CA163" s="107">
        <f t="shared" ca="1" si="874"/>
        <v>549.78683154743305</v>
      </c>
      <c r="CB163" s="107">
        <f t="shared" ca="1" si="874"/>
        <v>519.57759218619151</v>
      </c>
      <c r="CC163" s="107">
        <f t="shared" ca="1" si="874"/>
        <v>504.45644586727929</v>
      </c>
      <c r="CD163" s="107">
        <f t="shared" ca="1" si="874"/>
        <v>493.77971585878151</v>
      </c>
      <c r="CE163" s="107">
        <f t="shared" ca="1" si="874"/>
        <v>466.42086235644689</v>
      </c>
      <c r="CF163" s="107">
        <f t="shared" ca="1" si="874"/>
        <v>435.09115925203656</v>
      </c>
      <c r="CG163" s="107">
        <f t="shared" ca="1" si="874"/>
        <v>419.17337276250925</v>
      </c>
      <c r="CH163" s="107">
        <f t="shared" ca="1" si="874"/>
        <v>407.69960694119465</v>
      </c>
      <c r="CI163" s="107">
        <f t="shared" ca="1" si="874"/>
        <v>379.50703095668803</v>
      </c>
      <c r="CJ163" s="107">
        <f t="shared" ca="1" si="874"/>
        <v>346.44448865329377</v>
      </c>
      <c r="CK163" s="107">
        <f t="shared" ca="1" si="874"/>
        <v>328.8160418162833</v>
      </c>
      <c r="CL163" s="107">
        <f t="shared" ca="1" si="874"/>
        <v>315.71472634793412</v>
      </c>
      <c r="CM163" s="107">
        <f t="shared" ca="1" si="874"/>
        <v>285.49175566031886</v>
      </c>
      <c r="CN163" s="107">
        <f t="shared" ca="1" si="874"/>
        <v>250.26763192100046</v>
      </c>
      <c r="CO163" s="107">
        <f t="shared" ca="1" si="874"/>
        <v>230.81211858077558</v>
      </c>
      <c r="CP163" s="107">
        <f t="shared" ca="1" si="874"/>
        <v>215.96765619770295</v>
      </c>
      <c r="CQ163" s="107">
        <f t="shared" ca="1" si="874"/>
        <v>183.58833399069499</v>
      </c>
      <c r="CR163" s="107">
        <f t="shared" ca="1" si="874"/>
        <v>146.07253103041765</v>
      </c>
      <c r="CS163" s="107">
        <f t="shared" ca="1" si="874"/>
        <v>124.66638407782699</v>
      </c>
      <c r="CT163" s="107">
        <f t="shared" ca="1" si="874"/>
        <v>107.95597074179429</v>
      </c>
      <c r="CU163" s="263">
        <f t="shared" ca="1" si="874"/>
        <v>73.286830369429381</v>
      </c>
      <c r="CV163" s="314">
        <v>0</v>
      </c>
      <c r="CW163" s="107">
        <f t="shared" ca="1" si="874"/>
        <v>0</v>
      </c>
      <c r="CX163" s="107">
        <f t="shared" ca="1" si="874"/>
        <v>0</v>
      </c>
      <c r="CY163" s="107">
        <f t="shared" ca="1" si="874"/>
        <v>0</v>
      </c>
      <c r="CZ163" s="107">
        <f t="shared" ca="1" si="874"/>
        <v>0</v>
      </c>
      <c r="DA163" s="107">
        <f t="shared" ca="1" si="874"/>
        <v>0</v>
      </c>
      <c r="DB163" s="107">
        <f t="shared" ca="1" si="874"/>
        <v>0</v>
      </c>
      <c r="DC163" s="107">
        <f t="shared" ca="1" si="874"/>
        <v>0</v>
      </c>
      <c r="DD163" s="107">
        <f t="shared" ca="1" si="874"/>
        <v>0</v>
      </c>
      <c r="DE163" s="107">
        <f t="shared" ca="1" si="874"/>
        <v>0</v>
      </c>
      <c r="DF163" s="107">
        <f t="shared" ca="1" si="874"/>
        <v>0</v>
      </c>
      <c r="DG163" s="107">
        <f t="shared" ca="1" si="874"/>
        <v>0</v>
      </c>
      <c r="DH163" s="107">
        <f t="shared" ca="1" si="874"/>
        <v>0</v>
      </c>
      <c r="DI163" s="107">
        <f t="shared" ca="1" si="874"/>
        <v>0</v>
      </c>
      <c r="DJ163" s="107">
        <f t="shared" ca="1" si="874"/>
        <v>0</v>
      </c>
      <c r="DK163" s="107">
        <f t="shared" ca="1" si="874"/>
        <v>0</v>
      </c>
      <c r="DL163" s="107">
        <f t="shared" ca="1" si="874"/>
        <v>0</v>
      </c>
      <c r="DM163" s="107">
        <f t="shared" ca="1" si="874"/>
        <v>0</v>
      </c>
      <c r="DN163" s="107">
        <f t="shared" ca="1" si="874"/>
        <v>0</v>
      </c>
      <c r="DO163" s="107">
        <f t="shared" ca="1" si="874"/>
        <v>0</v>
      </c>
      <c r="DP163" s="107">
        <f t="shared" ca="1" si="874"/>
        <v>0</v>
      </c>
      <c r="DQ163" s="107">
        <f t="shared" ca="1" si="874"/>
        <v>0</v>
      </c>
      <c r="DR163" s="107">
        <f t="shared" ca="1" si="874"/>
        <v>0</v>
      </c>
      <c r="DS163" s="107">
        <f t="shared" ca="1" si="874"/>
        <v>0</v>
      </c>
      <c r="DT163" s="107">
        <f t="shared" ca="1" si="874"/>
        <v>0</v>
      </c>
      <c r="DU163" s="107">
        <f t="shared" ca="1" si="874"/>
        <v>0</v>
      </c>
      <c r="DV163" s="107">
        <f t="shared" ca="1" si="874"/>
        <v>0</v>
      </c>
      <c r="DW163" s="107">
        <f t="shared" ca="1" si="874"/>
        <v>0</v>
      </c>
      <c r="DX163" s="107">
        <f t="shared" ca="1" si="874"/>
        <v>0</v>
      </c>
      <c r="DY163" s="107">
        <f t="shared" ca="1" si="874"/>
        <v>0</v>
      </c>
      <c r="DZ163" s="107">
        <f t="shared" ca="1" si="874"/>
        <v>0</v>
      </c>
      <c r="EA163" s="107">
        <f t="shared" ca="1" si="874"/>
        <v>0</v>
      </c>
      <c r="EB163" s="107">
        <f t="shared" ca="1" si="874"/>
        <v>0</v>
      </c>
      <c r="EC163" s="107">
        <f t="shared" ca="1" si="874"/>
        <v>0</v>
      </c>
      <c r="ED163" s="107">
        <f t="shared" ca="1" si="874"/>
        <v>0</v>
      </c>
      <c r="EE163" s="107">
        <f t="shared" ca="1" si="874"/>
        <v>0</v>
      </c>
      <c r="EF163" s="107">
        <f t="shared" ref="EF163:FA163" ca="1" si="875">EE166</f>
        <v>0</v>
      </c>
      <c r="EG163" s="107">
        <f t="shared" ca="1" si="875"/>
        <v>0</v>
      </c>
      <c r="EH163" s="107">
        <f t="shared" ca="1" si="875"/>
        <v>0</v>
      </c>
      <c r="EI163" s="107">
        <f t="shared" ca="1" si="875"/>
        <v>0</v>
      </c>
      <c r="EJ163" s="107">
        <f t="shared" ca="1" si="875"/>
        <v>0</v>
      </c>
      <c r="EK163" s="107">
        <f t="shared" ca="1" si="875"/>
        <v>0</v>
      </c>
      <c r="EL163" s="107">
        <f t="shared" ca="1" si="875"/>
        <v>0</v>
      </c>
      <c r="EM163" s="107">
        <f t="shared" ca="1" si="875"/>
        <v>0</v>
      </c>
      <c r="EN163" s="107">
        <f t="shared" ca="1" si="875"/>
        <v>0</v>
      </c>
      <c r="EO163" s="107">
        <f t="shared" ca="1" si="875"/>
        <v>0</v>
      </c>
      <c r="EP163" s="107">
        <f t="shared" ca="1" si="875"/>
        <v>0</v>
      </c>
      <c r="EQ163" s="107">
        <f t="shared" ca="1" si="875"/>
        <v>0</v>
      </c>
      <c r="ER163" s="107">
        <f t="shared" ca="1" si="875"/>
        <v>0</v>
      </c>
      <c r="ES163" s="107">
        <f t="shared" ca="1" si="875"/>
        <v>0</v>
      </c>
      <c r="ET163" s="107">
        <f t="shared" ca="1" si="875"/>
        <v>0</v>
      </c>
      <c r="EU163" s="107">
        <f t="shared" ca="1" si="875"/>
        <v>0</v>
      </c>
      <c r="EV163" s="107">
        <f t="shared" ca="1" si="875"/>
        <v>0</v>
      </c>
      <c r="EW163" s="107">
        <f t="shared" ca="1" si="875"/>
        <v>0</v>
      </c>
      <c r="EX163" s="107">
        <f t="shared" ca="1" si="875"/>
        <v>0</v>
      </c>
      <c r="EY163" s="107">
        <f t="shared" ca="1" si="875"/>
        <v>0</v>
      </c>
      <c r="EZ163" s="107">
        <f t="shared" ca="1" si="875"/>
        <v>0</v>
      </c>
      <c r="FA163" s="107">
        <f t="shared" ca="1" si="875"/>
        <v>0</v>
      </c>
    </row>
    <row r="164" spans="3:157" outlineLevel="1" x14ac:dyDescent="0.2">
      <c r="C164" s="70" t="s">
        <v>131</v>
      </c>
      <c r="D164" s="21" t="s">
        <v>126</v>
      </c>
      <c r="E164" s="5"/>
      <c r="F164" s="21"/>
      <c r="G164" s="107">
        <f t="shared" ref="G164:AL164" ca="1" si="876">$E$175*G12</f>
        <v>0</v>
      </c>
      <c r="H164" s="107">
        <f t="shared" ca="1" si="876"/>
        <v>0</v>
      </c>
      <c r="I164" s="107">
        <f t="shared" ca="1" si="876"/>
        <v>0</v>
      </c>
      <c r="J164" s="107">
        <f t="shared" ca="1" si="876"/>
        <v>0</v>
      </c>
      <c r="K164" s="107">
        <f t="shared" ca="1" si="876"/>
        <v>0</v>
      </c>
      <c r="L164" s="107">
        <f t="shared" ca="1" si="876"/>
        <v>0</v>
      </c>
      <c r="M164" s="107">
        <f t="shared" ca="1" si="876"/>
        <v>0</v>
      </c>
      <c r="N164" s="107">
        <f t="shared" ca="1" si="876"/>
        <v>0</v>
      </c>
      <c r="O164" s="107">
        <f t="shared" ca="1" si="876"/>
        <v>0</v>
      </c>
      <c r="P164" s="107">
        <f t="shared" ca="1" si="876"/>
        <v>0</v>
      </c>
      <c r="Q164" s="107">
        <f t="shared" ca="1" si="876"/>
        <v>0</v>
      </c>
      <c r="R164" s="107">
        <f t="shared" ca="1" si="876"/>
        <v>0</v>
      </c>
      <c r="S164" s="107">
        <f t="shared" ca="1" si="876"/>
        <v>0</v>
      </c>
      <c r="T164" s="107">
        <f t="shared" ca="1" si="876"/>
        <v>0</v>
      </c>
      <c r="U164" s="107">
        <f t="shared" ca="1" si="876"/>
        <v>0</v>
      </c>
      <c r="V164" s="107">
        <f t="shared" ca="1" si="876"/>
        <v>0</v>
      </c>
      <c r="W164" s="107">
        <f t="shared" ca="1" si="876"/>
        <v>1178.747201511213</v>
      </c>
      <c r="X164" s="107">
        <f t="shared" ca="1" si="876"/>
        <v>0</v>
      </c>
      <c r="Y164" s="107">
        <f t="shared" ca="1" si="876"/>
        <v>0</v>
      </c>
      <c r="Z164" s="107">
        <f t="shared" ca="1" si="876"/>
        <v>0</v>
      </c>
      <c r="AA164" s="107">
        <f t="shared" ca="1" si="876"/>
        <v>0</v>
      </c>
      <c r="AB164" s="107">
        <f t="shared" ca="1" si="876"/>
        <v>0</v>
      </c>
      <c r="AC164" s="107">
        <f t="shared" ca="1" si="876"/>
        <v>0</v>
      </c>
      <c r="AD164" s="107">
        <f t="shared" ca="1" si="876"/>
        <v>0</v>
      </c>
      <c r="AE164" s="107">
        <f t="shared" ca="1" si="876"/>
        <v>0</v>
      </c>
      <c r="AF164" s="107">
        <f t="shared" ca="1" si="876"/>
        <v>0</v>
      </c>
      <c r="AG164" s="107">
        <f t="shared" ca="1" si="876"/>
        <v>0</v>
      </c>
      <c r="AH164" s="107">
        <f t="shared" ca="1" si="876"/>
        <v>0</v>
      </c>
      <c r="AI164" s="107">
        <f t="shared" ca="1" si="876"/>
        <v>0</v>
      </c>
      <c r="AJ164" s="107">
        <f t="shared" ca="1" si="876"/>
        <v>0</v>
      </c>
      <c r="AK164" s="107">
        <f t="shared" ca="1" si="876"/>
        <v>0</v>
      </c>
      <c r="AL164" s="107">
        <f t="shared" ca="1" si="876"/>
        <v>0</v>
      </c>
      <c r="AM164" s="107">
        <f t="shared" ref="AM164:BR164" ca="1" si="877">$E$175*AM12</f>
        <v>0</v>
      </c>
      <c r="AN164" s="107">
        <f t="shared" ca="1" si="877"/>
        <v>0</v>
      </c>
      <c r="AO164" s="107">
        <f t="shared" ca="1" si="877"/>
        <v>0</v>
      </c>
      <c r="AP164" s="107">
        <f t="shared" ca="1" si="877"/>
        <v>0</v>
      </c>
      <c r="AQ164" s="107">
        <f t="shared" ca="1" si="877"/>
        <v>0</v>
      </c>
      <c r="AR164" s="107">
        <f t="shared" ca="1" si="877"/>
        <v>0</v>
      </c>
      <c r="AS164" s="107">
        <f t="shared" ca="1" si="877"/>
        <v>0</v>
      </c>
      <c r="AT164" s="107">
        <f t="shared" ca="1" si="877"/>
        <v>0</v>
      </c>
      <c r="AU164" s="107">
        <f t="shared" ca="1" si="877"/>
        <v>0</v>
      </c>
      <c r="AV164" s="107">
        <f t="shared" ca="1" si="877"/>
        <v>0</v>
      </c>
      <c r="AW164" s="107">
        <f t="shared" ca="1" si="877"/>
        <v>0</v>
      </c>
      <c r="AX164" s="107">
        <f t="shared" ca="1" si="877"/>
        <v>0</v>
      </c>
      <c r="AY164" s="107">
        <f t="shared" ca="1" si="877"/>
        <v>0</v>
      </c>
      <c r="AZ164" s="107">
        <f t="shared" ca="1" si="877"/>
        <v>0</v>
      </c>
      <c r="BA164" s="107">
        <f t="shared" ca="1" si="877"/>
        <v>0</v>
      </c>
      <c r="BB164" s="107">
        <f t="shared" ca="1" si="877"/>
        <v>0</v>
      </c>
      <c r="BC164" s="107">
        <f t="shared" ca="1" si="877"/>
        <v>0</v>
      </c>
      <c r="BD164" s="107">
        <f t="shared" ca="1" si="877"/>
        <v>0</v>
      </c>
      <c r="BE164" s="107">
        <f t="shared" ca="1" si="877"/>
        <v>0</v>
      </c>
      <c r="BF164" s="107">
        <f t="shared" ca="1" si="877"/>
        <v>0</v>
      </c>
      <c r="BG164" s="107">
        <f t="shared" ca="1" si="877"/>
        <v>0</v>
      </c>
      <c r="BH164" s="107">
        <f t="shared" ca="1" si="877"/>
        <v>0</v>
      </c>
      <c r="BI164" s="107">
        <f t="shared" ca="1" si="877"/>
        <v>0</v>
      </c>
      <c r="BJ164" s="107">
        <f t="shared" ca="1" si="877"/>
        <v>0</v>
      </c>
      <c r="BK164" s="107">
        <f t="shared" ca="1" si="877"/>
        <v>0</v>
      </c>
      <c r="BL164" s="107">
        <f t="shared" ca="1" si="877"/>
        <v>0</v>
      </c>
      <c r="BM164" s="107">
        <f t="shared" ca="1" si="877"/>
        <v>0</v>
      </c>
      <c r="BN164" s="107">
        <f t="shared" ca="1" si="877"/>
        <v>0</v>
      </c>
      <c r="BO164" s="107">
        <f t="shared" ca="1" si="877"/>
        <v>0</v>
      </c>
      <c r="BP164" s="107">
        <f t="shared" ca="1" si="877"/>
        <v>0</v>
      </c>
      <c r="BQ164" s="107">
        <f t="shared" ca="1" si="877"/>
        <v>0</v>
      </c>
      <c r="BR164" s="107">
        <f t="shared" ca="1" si="877"/>
        <v>0</v>
      </c>
      <c r="BS164" s="107">
        <f t="shared" ref="BS164:CX164" ca="1" si="878">$E$175*BS12</f>
        <v>0</v>
      </c>
      <c r="BT164" s="107">
        <f t="shared" ca="1" si="878"/>
        <v>0</v>
      </c>
      <c r="BU164" s="107">
        <f t="shared" ca="1" si="878"/>
        <v>0</v>
      </c>
      <c r="BV164" s="107">
        <f t="shared" ca="1" si="878"/>
        <v>0</v>
      </c>
      <c r="BW164" s="107">
        <f t="shared" ca="1" si="878"/>
        <v>0</v>
      </c>
      <c r="BX164" s="107">
        <f t="shared" ca="1" si="878"/>
        <v>0</v>
      </c>
      <c r="BY164" s="107">
        <f t="shared" ca="1" si="878"/>
        <v>0</v>
      </c>
      <c r="BZ164" s="107">
        <f t="shared" ca="1" si="878"/>
        <v>0</v>
      </c>
      <c r="CA164" s="107">
        <f t="shared" ca="1" si="878"/>
        <v>0</v>
      </c>
      <c r="CB164" s="107">
        <f t="shared" ca="1" si="878"/>
        <v>0</v>
      </c>
      <c r="CC164" s="107">
        <f t="shared" ca="1" si="878"/>
        <v>0</v>
      </c>
      <c r="CD164" s="107">
        <f t="shared" ca="1" si="878"/>
        <v>0</v>
      </c>
      <c r="CE164" s="107">
        <f t="shared" ca="1" si="878"/>
        <v>0</v>
      </c>
      <c r="CF164" s="107">
        <f t="shared" ca="1" si="878"/>
        <v>0</v>
      </c>
      <c r="CG164" s="107">
        <f t="shared" ca="1" si="878"/>
        <v>0</v>
      </c>
      <c r="CH164" s="107">
        <f t="shared" ca="1" si="878"/>
        <v>0</v>
      </c>
      <c r="CI164" s="107">
        <f t="shared" ca="1" si="878"/>
        <v>0</v>
      </c>
      <c r="CJ164" s="107">
        <f t="shared" ca="1" si="878"/>
        <v>0</v>
      </c>
      <c r="CK164" s="107">
        <f t="shared" ca="1" si="878"/>
        <v>0</v>
      </c>
      <c r="CL164" s="107">
        <f t="shared" ca="1" si="878"/>
        <v>0</v>
      </c>
      <c r="CM164" s="107">
        <f t="shared" ca="1" si="878"/>
        <v>0</v>
      </c>
      <c r="CN164" s="107">
        <f t="shared" ca="1" si="878"/>
        <v>0</v>
      </c>
      <c r="CO164" s="107">
        <f t="shared" ca="1" si="878"/>
        <v>0</v>
      </c>
      <c r="CP164" s="107">
        <f t="shared" ca="1" si="878"/>
        <v>0</v>
      </c>
      <c r="CQ164" s="107">
        <f t="shared" ca="1" si="878"/>
        <v>0</v>
      </c>
      <c r="CR164" s="107">
        <f t="shared" ca="1" si="878"/>
        <v>0</v>
      </c>
      <c r="CS164" s="107">
        <f t="shared" ca="1" si="878"/>
        <v>0</v>
      </c>
      <c r="CT164" s="107">
        <f t="shared" ca="1" si="878"/>
        <v>0</v>
      </c>
      <c r="CU164" s="263">
        <f t="shared" ca="1" si="878"/>
        <v>0</v>
      </c>
      <c r="CV164" s="107">
        <f t="shared" ca="1" si="878"/>
        <v>0</v>
      </c>
      <c r="CW164" s="107">
        <f t="shared" ca="1" si="878"/>
        <v>0</v>
      </c>
      <c r="CX164" s="107">
        <f t="shared" ca="1" si="878"/>
        <v>0</v>
      </c>
      <c r="CY164" s="107">
        <f t="shared" ref="CY164:ED164" ca="1" si="879">$E$175*CY12</f>
        <v>0</v>
      </c>
      <c r="CZ164" s="107">
        <f t="shared" ca="1" si="879"/>
        <v>0</v>
      </c>
      <c r="DA164" s="107">
        <f t="shared" ca="1" si="879"/>
        <v>0</v>
      </c>
      <c r="DB164" s="107">
        <f t="shared" ca="1" si="879"/>
        <v>0</v>
      </c>
      <c r="DC164" s="107">
        <f t="shared" ca="1" si="879"/>
        <v>0</v>
      </c>
      <c r="DD164" s="107">
        <f t="shared" ca="1" si="879"/>
        <v>0</v>
      </c>
      <c r="DE164" s="107">
        <f t="shared" ca="1" si="879"/>
        <v>0</v>
      </c>
      <c r="DF164" s="107">
        <f t="shared" ca="1" si="879"/>
        <v>0</v>
      </c>
      <c r="DG164" s="107">
        <f t="shared" ca="1" si="879"/>
        <v>0</v>
      </c>
      <c r="DH164" s="107">
        <f t="shared" ca="1" si="879"/>
        <v>0</v>
      </c>
      <c r="DI164" s="107">
        <f t="shared" ca="1" si="879"/>
        <v>0</v>
      </c>
      <c r="DJ164" s="107">
        <f t="shared" ca="1" si="879"/>
        <v>0</v>
      </c>
      <c r="DK164" s="107">
        <f t="shared" ca="1" si="879"/>
        <v>0</v>
      </c>
      <c r="DL164" s="107">
        <f t="shared" ca="1" si="879"/>
        <v>0</v>
      </c>
      <c r="DM164" s="107">
        <f t="shared" ca="1" si="879"/>
        <v>0</v>
      </c>
      <c r="DN164" s="107">
        <f t="shared" ca="1" si="879"/>
        <v>0</v>
      </c>
      <c r="DO164" s="107">
        <f t="shared" ca="1" si="879"/>
        <v>0</v>
      </c>
      <c r="DP164" s="107">
        <f t="shared" ca="1" si="879"/>
        <v>0</v>
      </c>
      <c r="DQ164" s="107">
        <f t="shared" ca="1" si="879"/>
        <v>0</v>
      </c>
      <c r="DR164" s="107">
        <f t="shared" ca="1" si="879"/>
        <v>0</v>
      </c>
      <c r="DS164" s="107">
        <f t="shared" ca="1" si="879"/>
        <v>0</v>
      </c>
      <c r="DT164" s="107">
        <f t="shared" ca="1" si="879"/>
        <v>0</v>
      </c>
      <c r="DU164" s="107">
        <f t="shared" ca="1" si="879"/>
        <v>0</v>
      </c>
      <c r="DV164" s="107">
        <f t="shared" ca="1" si="879"/>
        <v>0</v>
      </c>
      <c r="DW164" s="107">
        <f t="shared" ca="1" si="879"/>
        <v>0</v>
      </c>
      <c r="DX164" s="107">
        <f t="shared" ca="1" si="879"/>
        <v>0</v>
      </c>
      <c r="DY164" s="107">
        <f t="shared" ca="1" si="879"/>
        <v>0</v>
      </c>
      <c r="DZ164" s="107">
        <f t="shared" ca="1" si="879"/>
        <v>0</v>
      </c>
      <c r="EA164" s="107">
        <f t="shared" ca="1" si="879"/>
        <v>0</v>
      </c>
      <c r="EB164" s="107">
        <f t="shared" ca="1" si="879"/>
        <v>0</v>
      </c>
      <c r="EC164" s="107">
        <f t="shared" ca="1" si="879"/>
        <v>0</v>
      </c>
      <c r="ED164" s="107">
        <f t="shared" ca="1" si="879"/>
        <v>0</v>
      </c>
      <c r="EE164" s="107">
        <f t="shared" ref="EE164:FA164" ca="1" si="880">$E$175*EE12</f>
        <v>0</v>
      </c>
      <c r="EF164" s="107">
        <f t="shared" ca="1" si="880"/>
        <v>0</v>
      </c>
      <c r="EG164" s="107">
        <f t="shared" ca="1" si="880"/>
        <v>0</v>
      </c>
      <c r="EH164" s="107">
        <f t="shared" ca="1" si="880"/>
        <v>0</v>
      </c>
      <c r="EI164" s="107">
        <f t="shared" ca="1" si="880"/>
        <v>0</v>
      </c>
      <c r="EJ164" s="107">
        <f t="shared" ca="1" si="880"/>
        <v>0</v>
      </c>
      <c r="EK164" s="107">
        <f t="shared" ca="1" si="880"/>
        <v>0</v>
      </c>
      <c r="EL164" s="107">
        <f t="shared" ca="1" si="880"/>
        <v>0</v>
      </c>
      <c r="EM164" s="107">
        <f t="shared" ca="1" si="880"/>
        <v>0</v>
      </c>
      <c r="EN164" s="107">
        <f t="shared" ca="1" si="880"/>
        <v>0</v>
      </c>
      <c r="EO164" s="107">
        <f t="shared" ca="1" si="880"/>
        <v>0</v>
      </c>
      <c r="EP164" s="107">
        <f t="shared" ca="1" si="880"/>
        <v>0</v>
      </c>
      <c r="EQ164" s="107">
        <f t="shared" ca="1" si="880"/>
        <v>0</v>
      </c>
      <c r="ER164" s="107">
        <f t="shared" ca="1" si="880"/>
        <v>0</v>
      </c>
      <c r="ES164" s="107">
        <f t="shared" ca="1" si="880"/>
        <v>0</v>
      </c>
      <c r="ET164" s="107">
        <f t="shared" ca="1" si="880"/>
        <v>0</v>
      </c>
      <c r="EU164" s="107">
        <f t="shared" ca="1" si="880"/>
        <v>0</v>
      </c>
      <c r="EV164" s="107">
        <f t="shared" ca="1" si="880"/>
        <v>0</v>
      </c>
      <c r="EW164" s="107">
        <f t="shared" ca="1" si="880"/>
        <v>0</v>
      </c>
      <c r="EX164" s="107">
        <f t="shared" ca="1" si="880"/>
        <v>0</v>
      </c>
      <c r="EY164" s="107">
        <f t="shared" ca="1" si="880"/>
        <v>0</v>
      </c>
      <c r="EZ164" s="107">
        <f t="shared" ca="1" si="880"/>
        <v>0</v>
      </c>
      <c r="FA164" s="107">
        <f t="shared" ca="1" si="880"/>
        <v>0</v>
      </c>
    </row>
    <row r="165" spans="3:157" outlineLevel="1" x14ac:dyDescent="0.2">
      <c r="C165" s="83" t="s">
        <v>35</v>
      </c>
      <c r="D165" s="87" t="s">
        <v>126</v>
      </c>
      <c r="E165" s="212"/>
      <c r="F165" s="87"/>
      <c r="G165" s="117">
        <f t="shared" ref="G165:AL165" ca="1" si="881">-MIN(G163,G181)</f>
        <v>0</v>
      </c>
      <c r="H165" s="117">
        <f t="shared" ca="1" si="881"/>
        <v>0</v>
      </c>
      <c r="I165" s="117">
        <f t="shared" ca="1" si="881"/>
        <v>0</v>
      </c>
      <c r="J165" s="117">
        <f t="shared" ca="1" si="881"/>
        <v>0</v>
      </c>
      <c r="K165" s="117">
        <f t="shared" ca="1" si="881"/>
        <v>0</v>
      </c>
      <c r="L165" s="117">
        <f t="shared" ca="1" si="881"/>
        <v>0</v>
      </c>
      <c r="M165" s="117">
        <f t="shared" ca="1" si="881"/>
        <v>0</v>
      </c>
      <c r="N165" s="117">
        <f t="shared" ca="1" si="881"/>
        <v>0</v>
      </c>
      <c r="O165" s="117">
        <f t="shared" ca="1" si="881"/>
        <v>0</v>
      </c>
      <c r="P165" s="117">
        <f t="shared" ca="1" si="881"/>
        <v>0</v>
      </c>
      <c r="Q165" s="117">
        <f t="shared" ca="1" si="881"/>
        <v>0</v>
      </c>
      <c r="R165" s="117">
        <f t="shared" ca="1" si="881"/>
        <v>0</v>
      </c>
      <c r="S165" s="117">
        <f t="shared" ca="1" si="881"/>
        <v>0</v>
      </c>
      <c r="T165" s="117">
        <f t="shared" ca="1" si="881"/>
        <v>0</v>
      </c>
      <c r="U165" s="117">
        <f t="shared" ca="1" si="881"/>
        <v>0</v>
      </c>
      <c r="V165" s="117">
        <f t="shared" ca="1" si="881"/>
        <v>0</v>
      </c>
      <c r="W165" s="117">
        <f t="shared" ca="1" si="881"/>
        <v>0</v>
      </c>
      <c r="X165" s="117">
        <f t="shared" ca="1" si="881"/>
        <v>-1.1636341670550436</v>
      </c>
      <c r="Y165" s="117">
        <f t="shared" ca="1" si="881"/>
        <v>0</v>
      </c>
      <c r="Z165" s="117">
        <f t="shared" ca="1" si="881"/>
        <v>-10.118012687858762</v>
      </c>
      <c r="AA165" s="117">
        <f t="shared" ca="1" si="881"/>
        <v>-13.624536474791931</v>
      </c>
      <c r="AB165" s="117">
        <f t="shared" ca="1" si="881"/>
        <v>-1.8884223907286959</v>
      </c>
      <c r="AC165" s="117">
        <f t="shared" ca="1" si="881"/>
        <v>0</v>
      </c>
      <c r="AD165" s="117">
        <f t="shared" ca="1" si="881"/>
        <v>-11.057663373399038</v>
      </c>
      <c r="AE165" s="117">
        <f t="shared" ca="1" si="881"/>
        <v>-14.654511224734872</v>
      </c>
      <c r="AF165" s="117">
        <f t="shared" ca="1" si="881"/>
        <v>-2.6590423368764213</v>
      </c>
      <c r="AG165" s="117">
        <f t="shared" ca="1" si="881"/>
        <v>0</v>
      </c>
      <c r="AH165" s="117">
        <f t="shared" ca="1" si="881"/>
        <v>-12.048478337459805</v>
      </c>
      <c r="AI165" s="117">
        <f t="shared" ca="1" si="881"/>
        <v>-15.395058611209191</v>
      </c>
      <c r="AJ165" s="117">
        <f t="shared" ca="1" si="881"/>
        <v>-3.1362855659042861</v>
      </c>
      <c r="AK165" s="117">
        <f t="shared" ca="1" si="881"/>
        <v>0</v>
      </c>
      <c r="AL165" s="117">
        <f t="shared" ca="1" si="881"/>
        <v>-12.646490471354129</v>
      </c>
      <c r="AM165" s="117">
        <f t="shared" ref="AM165:BR165" ca="1" si="882">-MIN(AM163,AM181)</f>
        <v>-16.387262443971419</v>
      </c>
      <c r="AN165" s="117">
        <f t="shared" ca="1" si="882"/>
        <v>-3.9793763481083424</v>
      </c>
      <c r="AO165" s="117">
        <f t="shared" ca="1" si="882"/>
        <v>-0.24338671540478884</v>
      </c>
      <c r="AP165" s="117">
        <f t="shared" ca="1" si="882"/>
        <v>-13.721705567388707</v>
      </c>
      <c r="AQ165" s="117">
        <f t="shared" ca="1" si="882"/>
        <v>-17.333285755025184</v>
      </c>
      <c r="AR165" s="117">
        <f t="shared" ca="1" si="882"/>
        <v>-4.652771746697633</v>
      </c>
      <c r="AS165" s="117">
        <f t="shared" ca="1" si="882"/>
        <v>-0.86373406594914037</v>
      </c>
      <c r="AT165" s="117">
        <f t="shared" ca="1" si="882"/>
        <v>-14.569315411946581</v>
      </c>
      <c r="AU165" s="117">
        <f t="shared" ca="1" si="882"/>
        <v>-18.477317401376197</v>
      </c>
      <c r="AV165" s="117">
        <f t="shared" ca="1" si="882"/>
        <v>-5.5974234623763657</v>
      </c>
      <c r="AW165" s="117">
        <f t="shared" ca="1" si="882"/>
        <v>-1.7331116466519561</v>
      </c>
      <c r="AX165" s="117">
        <f t="shared" ca="1" si="882"/>
        <v>-15.765086191530431</v>
      </c>
      <c r="AY165" s="117">
        <f t="shared" ca="1" si="882"/>
        <v>-19.774795134858863</v>
      </c>
      <c r="AZ165" s="117">
        <f t="shared" ca="1" si="882"/>
        <v>-6.6114965476418703</v>
      </c>
      <c r="BA165" s="117">
        <f t="shared" ca="1" si="882"/>
        <v>-2.670860745685772</v>
      </c>
      <c r="BB165" s="117">
        <f t="shared" ca="1" si="882"/>
        <v>-17.037406606502763</v>
      </c>
      <c r="BC165" s="117">
        <f t="shared" ca="1" si="882"/>
        <v>-20.579165002781238</v>
      </c>
      <c r="BD165" s="117">
        <f t="shared" ca="1" si="882"/>
        <v>-7.1293018266115844</v>
      </c>
      <c r="BE165" s="117">
        <f t="shared" ca="1" si="882"/>
        <v>-3.1656496045548952</v>
      </c>
      <c r="BF165" s="117">
        <f t="shared" ca="1" si="882"/>
        <v>-17.63828536710659</v>
      </c>
      <c r="BG165" s="117">
        <f t="shared" ca="1" si="882"/>
        <v>-21.786608867752737</v>
      </c>
      <c r="BH165" s="117">
        <f t="shared" ca="1" si="882"/>
        <v>-8.2442079085028173</v>
      </c>
      <c r="BI165" s="117">
        <f t="shared" ca="1" si="882"/>
        <v>-4.2028760049456153</v>
      </c>
      <c r="BJ165" s="117">
        <f t="shared" ca="1" si="882"/>
        <v>-19.021133600405612</v>
      </c>
      <c r="BK165" s="117">
        <f t="shared" ca="1" si="882"/>
        <v>-23.278327375309274</v>
      </c>
      <c r="BL165" s="117">
        <f t="shared" ca="1" si="882"/>
        <v>-9.4389887131832637</v>
      </c>
      <c r="BM165" s="117">
        <f t="shared" ca="1" si="882"/>
        <v>-5.3189655716833002</v>
      </c>
      <c r="BN165" s="117">
        <f t="shared" ca="1" si="882"/>
        <v>-20.491559259183539</v>
      </c>
      <c r="BO165" s="117">
        <f t="shared" ca="1" si="882"/>
        <v>-24.860915323868852</v>
      </c>
      <c r="BP165" s="117">
        <f t="shared" ca="1" si="882"/>
        <v>-10.71862904711236</v>
      </c>
      <c r="BQ165" s="117">
        <f t="shared" ca="1" si="882"/>
        <v>-6.5189250415373756</v>
      </c>
      <c r="BR165" s="117">
        <f t="shared" ca="1" si="882"/>
        <v>-22.054814867230931</v>
      </c>
      <c r="BS165" s="117">
        <f t="shared" ref="BS165:CX165" ca="1" si="883">-MIN(BS163,BS181)</f>
        <v>-26.539747242350952</v>
      </c>
      <c r="BT165" s="117">
        <f t="shared" ca="1" si="883"/>
        <v>-12.088412633195732</v>
      </c>
      <c r="BU165" s="117">
        <f t="shared" ca="1" si="883"/>
        <v>-7.8080632246693913</v>
      </c>
      <c r="BV165" s="117">
        <f t="shared" ca="1" si="883"/>
        <v>-23.716463354424413</v>
      </c>
      <c r="BW165" s="117">
        <f t="shared" ca="1" si="883"/>
        <v>-28.320513596448308</v>
      </c>
      <c r="BX165" s="117">
        <f t="shared" ca="1" si="883"/>
        <v>-13.553939817130905</v>
      </c>
      <c r="BY165" s="117">
        <f t="shared" ca="1" si="883"/>
        <v>-9.1920089397166702</v>
      </c>
      <c r="BZ165" s="117">
        <f t="shared" ca="1" si="883"/>
        <v>-25.482396341585421</v>
      </c>
      <c r="CA165" s="117">
        <f t="shared" ca="1" si="883"/>
        <v>-30.209239361241575</v>
      </c>
      <c r="CB165" s="117">
        <f t="shared" ca="1" si="883"/>
        <v>-15.121146318912198</v>
      </c>
      <c r="CC165" s="117">
        <f t="shared" ca="1" si="883"/>
        <v>-10.676730008497765</v>
      </c>
      <c r="CD165" s="117">
        <f t="shared" ca="1" si="883"/>
        <v>-27.358853502334625</v>
      </c>
      <c r="CE165" s="117">
        <f t="shared" ca="1" si="883"/>
        <v>-31.329703104410349</v>
      </c>
      <c r="CF165" s="117">
        <f t="shared" ca="1" si="883"/>
        <v>-15.917786489527334</v>
      </c>
      <c r="CG165" s="117">
        <f t="shared" ca="1" si="883"/>
        <v>-11.473765821314622</v>
      </c>
      <c r="CH165" s="117">
        <f t="shared" ca="1" si="883"/>
        <v>-28.192575984506647</v>
      </c>
      <c r="CI165" s="117">
        <f t="shared" ca="1" si="883"/>
        <v>-33.062542303394224</v>
      </c>
      <c r="CJ165" s="117">
        <f t="shared" ca="1" si="883"/>
        <v>-17.628446837010465</v>
      </c>
      <c r="CK165" s="117">
        <f t="shared" ca="1" si="883"/>
        <v>-13.10131546834916</v>
      </c>
      <c r="CL165" s="117">
        <f t="shared" ca="1" si="883"/>
        <v>-30.22297068761527</v>
      </c>
      <c r="CM165" s="117">
        <f t="shared" ca="1" si="883"/>
        <v>-35.224123739318401</v>
      </c>
      <c r="CN165" s="117">
        <f t="shared" ca="1" si="883"/>
        <v>-19.45551334022489</v>
      </c>
      <c r="CO165" s="117">
        <f t="shared" ca="1" si="883"/>
        <v>-14.844462383072635</v>
      </c>
      <c r="CP165" s="117">
        <f t="shared" ca="1" si="883"/>
        <v>-32.379322207007945</v>
      </c>
      <c r="CQ165" s="117">
        <f t="shared" ca="1" si="883"/>
        <v>-37.515802960277341</v>
      </c>
      <c r="CR165" s="117">
        <f t="shared" ca="1" si="883"/>
        <v>-21.40614695259066</v>
      </c>
      <c r="CS165" s="117">
        <f t="shared" ca="1" si="883"/>
        <v>-16.710413336032698</v>
      </c>
      <c r="CT165" s="117">
        <f t="shared" ca="1" si="883"/>
        <v>-34.669140372364907</v>
      </c>
      <c r="CU165" s="270">
        <f t="shared" ca="1" si="883"/>
        <v>-39.945251078411857</v>
      </c>
      <c r="CV165" s="117">
        <f t="shared" ca="1" si="883"/>
        <v>0</v>
      </c>
      <c r="CW165" s="117">
        <f t="shared" ca="1" si="883"/>
        <v>0</v>
      </c>
      <c r="CX165" s="117">
        <f t="shared" ca="1" si="883"/>
        <v>0</v>
      </c>
      <c r="CY165" s="117">
        <f t="shared" ref="CY165:ED165" ca="1" si="884">-MIN(CY163,CY181)</f>
        <v>0</v>
      </c>
      <c r="CZ165" s="117">
        <f t="shared" ca="1" si="884"/>
        <v>0</v>
      </c>
      <c r="DA165" s="117">
        <f t="shared" ca="1" si="884"/>
        <v>0</v>
      </c>
      <c r="DB165" s="117">
        <f t="shared" ca="1" si="884"/>
        <v>0</v>
      </c>
      <c r="DC165" s="117">
        <f t="shared" ca="1" si="884"/>
        <v>0</v>
      </c>
      <c r="DD165" s="117">
        <f t="shared" ca="1" si="884"/>
        <v>0</v>
      </c>
      <c r="DE165" s="117">
        <f t="shared" ca="1" si="884"/>
        <v>0</v>
      </c>
      <c r="DF165" s="117">
        <f t="shared" ca="1" si="884"/>
        <v>0</v>
      </c>
      <c r="DG165" s="117">
        <f t="shared" ca="1" si="884"/>
        <v>0</v>
      </c>
      <c r="DH165" s="117">
        <f t="shared" ca="1" si="884"/>
        <v>0</v>
      </c>
      <c r="DI165" s="117">
        <f t="shared" ca="1" si="884"/>
        <v>0</v>
      </c>
      <c r="DJ165" s="117">
        <f t="shared" ca="1" si="884"/>
        <v>0</v>
      </c>
      <c r="DK165" s="117">
        <f t="shared" ca="1" si="884"/>
        <v>0</v>
      </c>
      <c r="DL165" s="117">
        <f t="shared" ca="1" si="884"/>
        <v>0</v>
      </c>
      <c r="DM165" s="117">
        <f t="shared" ca="1" si="884"/>
        <v>0</v>
      </c>
      <c r="DN165" s="117">
        <f t="shared" ca="1" si="884"/>
        <v>0</v>
      </c>
      <c r="DO165" s="117">
        <f t="shared" ca="1" si="884"/>
        <v>0</v>
      </c>
      <c r="DP165" s="117">
        <f t="shared" ca="1" si="884"/>
        <v>0</v>
      </c>
      <c r="DQ165" s="117">
        <f t="shared" ca="1" si="884"/>
        <v>0</v>
      </c>
      <c r="DR165" s="117">
        <f t="shared" ca="1" si="884"/>
        <v>0</v>
      </c>
      <c r="DS165" s="117">
        <f t="shared" ca="1" si="884"/>
        <v>0</v>
      </c>
      <c r="DT165" s="117">
        <f t="shared" ca="1" si="884"/>
        <v>0</v>
      </c>
      <c r="DU165" s="117">
        <f t="shared" ca="1" si="884"/>
        <v>0</v>
      </c>
      <c r="DV165" s="117">
        <f t="shared" ca="1" si="884"/>
        <v>0</v>
      </c>
      <c r="DW165" s="117">
        <f t="shared" ca="1" si="884"/>
        <v>0</v>
      </c>
      <c r="DX165" s="117">
        <f t="shared" ca="1" si="884"/>
        <v>0</v>
      </c>
      <c r="DY165" s="117">
        <f t="shared" ca="1" si="884"/>
        <v>0</v>
      </c>
      <c r="DZ165" s="117">
        <f t="shared" ca="1" si="884"/>
        <v>0</v>
      </c>
      <c r="EA165" s="117">
        <f t="shared" ca="1" si="884"/>
        <v>0</v>
      </c>
      <c r="EB165" s="117">
        <f t="shared" ca="1" si="884"/>
        <v>0</v>
      </c>
      <c r="EC165" s="117">
        <f t="shared" ca="1" si="884"/>
        <v>0</v>
      </c>
      <c r="ED165" s="117">
        <f t="shared" ca="1" si="884"/>
        <v>0</v>
      </c>
      <c r="EE165" s="117">
        <f t="shared" ref="EE165:FA165" ca="1" si="885">-MIN(EE163,EE181)</f>
        <v>0</v>
      </c>
      <c r="EF165" s="117">
        <f t="shared" ca="1" si="885"/>
        <v>0</v>
      </c>
      <c r="EG165" s="117">
        <f t="shared" ca="1" si="885"/>
        <v>0</v>
      </c>
      <c r="EH165" s="117">
        <f t="shared" ca="1" si="885"/>
        <v>0</v>
      </c>
      <c r="EI165" s="117">
        <f t="shared" ca="1" si="885"/>
        <v>0</v>
      </c>
      <c r="EJ165" s="117">
        <f t="shared" ca="1" si="885"/>
        <v>0</v>
      </c>
      <c r="EK165" s="117">
        <f t="shared" ca="1" si="885"/>
        <v>0</v>
      </c>
      <c r="EL165" s="117">
        <f t="shared" ca="1" si="885"/>
        <v>0</v>
      </c>
      <c r="EM165" s="117">
        <f t="shared" ca="1" si="885"/>
        <v>0</v>
      </c>
      <c r="EN165" s="117">
        <f t="shared" ca="1" si="885"/>
        <v>0</v>
      </c>
      <c r="EO165" s="117">
        <f t="shared" ca="1" si="885"/>
        <v>0</v>
      </c>
      <c r="EP165" s="117">
        <f t="shared" ca="1" si="885"/>
        <v>0</v>
      </c>
      <c r="EQ165" s="117">
        <f t="shared" ca="1" si="885"/>
        <v>0</v>
      </c>
      <c r="ER165" s="117">
        <f t="shared" ca="1" si="885"/>
        <v>0</v>
      </c>
      <c r="ES165" s="117">
        <f t="shared" ca="1" si="885"/>
        <v>0</v>
      </c>
      <c r="ET165" s="117">
        <f t="shared" ca="1" si="885"/>
        <v>0</v>
      </c>
      <c r="EU165" s="117">
        <f t="shared" ca="1" si="885"/>
        <v>0</v>
      </c>
      <c r="EV165" s="117">
        <f t="shared" ca="1" si="885"/>
        <v>0</v>
      </c>
      <c r="EW165" s="117">
        <f t="shared" ca="1" si="885"/>
        <v>0</v>
      </c>
      <c r="EX165" s="117">
        <f t="shared" ca="1" si="885"/>
        <v>0</v>
      </c>
      <c r="EY165" s="117">
        <f t="shared" ca="1" si="885"/>
        <v>0</v>
      </c>
      <c r="EZ165" s="117">
        <f t="shared" ca="1" si="885"/>
        <v>0</v>
      </c>
      <c r="FA165" s="117">
        <f t="shared" ca="1" si="885"/>
        <v>0</v>
      </c>
    </row>
    <row r="166" spans="3:157" s="2" customFormat="1" outlineLevel="1" x14ac:dyDescent="0.2">
      <c r="C166" s="56" t="s">
        <v>19</v>
      </c>
      <c r="D166" s="21" t="s">
        <v>126</v>
      </c>
      <c r="E166" s="5"/>
      <c r="F166" s="122">
        <v>0</v>
      </c>
      <c r="G166" s="106">
        <f t="shared" ref="G166:V166" ca="1" si="886">SUM(G163:G165)</f>
        <v>0</v>
      </c>
      <c r="H166" s="106">
        <f t="shared" ca="1" si="886"/>
        <v>0</v>
      </c>
      <c r="I166" s="106">
        <f t="shared" ca="1" si="886"/>
        <v>0</v>
      </c>
      <c r="J166" s="106">
        <f t="shared" ca="1" si="886"/>
        <v>0</v>
      </c>
      <c r="K166" s="106">
        <f t="shared" ca="1" si="886"/>
        <v>0</v>
      </c>
      <c r="L166" s="106">
        <f t="shared" ca="1" si="886"/>
        <v>0</v>
      </c>
      <c r="M166" s="106">
        <f t="shared" ca="1" si="886"/>
        <v>0</v>
      </c>
      <c r="N166" s="106">
        <f t="shared" ca="1" si="886"/>
        <v>0</v>
      </c>
      <c r="O166" s="106">
        <f t="shared" ca="1" si="886"/>
        <v>0</v>
      </c>
      <c r="P166" s="106">
        <f t="shared" ca="1" si="886"/>
        <v>0</v>
      </c>
      <c r="Q166" s="106">
        <f t="shared" ca="1" si="886"/>
        <v>0</v>
      </c>
      <c r="R166" s="106">
        <f t="shared" ca="1" si="886"/>
        <v>0</v>
      </c>
      <c r="S166" s="106">
        <f t="shared" ca="1" si="886"/>
        <v>0</v>
      </c>
      <c r="T166" s="106">
        <f t="shared" ca="1" si="886"/>
        <v>0</v>
      </c>
      <c r="U166" s="106">
        <f t="shared" ca="1" si="886"/>
        <v>0</v>
      </c>
      <c r="V166" s="106">
        <f t="shared" ca="1" si="886"/>
        <v>0</v>
      </c>
      <c r="W166" s="106">
        <f ca="1">SUM(W163:W165)</f>
        <v>1178.747201511213</v>
      </c>
      <c r="X166" s="106">
        <f t="shared" ref="X166:CI166" ca="1" si="887">SUM(X163:X165)</f>
        <v>1177.5835673441579</v>
      </c>
      <c r="Y166" s="106">
        <f t="shared" ca="1" si="887"/>
        <v>1177.5835673441579</v>
      </c>
      <c r="Z166" s="106">
        <f t="shared" ca="1" si="887"/>
        <v>1167.4655546562992</v>
      </c>
      <c r="AA166" s="106">
        <f t="shared" ca="1" si="887"/>
        <v>1153.8410181815073</v>
      </c>
      <c r="AB166" s="106">
        <f t="shared" ca="1" si="887"/>
        <v>1151.9525957907786</v>
      </c>
      <c r="AC166" s="106">
        <f t="shared" ca="1" si="887"/>
        <v>1151.9525957907786</v>
      </c>
      <c r="AD166" s="106">
        <f t="shared" ca="1" si="887"/>
        <v>1140.8949324173796</v>
      </c>
      <c r="AE166" s="106">
        <f t="shared" ca="1" si="887"/>
        <v>1126.2404211926446</v>
      </c>
      <c r="AF166" s="106">
        <f t="shared" ca="1" si="887"/>
        <v>1123.5813788557682</v>
      </c>
      <c r="AG166" s="106">
        <f t="shared" ca="1" si="887"/>
        <v>1123.5813788557682</v>
      </c>
      <c r="AH166" s="106">
        <f t="shared" ca="1" si="887"/>
        <v>1111.5329005183085</v>
      </c>
      <c r="AI166" s="106">
        <f t="shared" ca="1" si="887"/>
        <v>1096.1378419070993</v>
      </c>
      <c r="AJ166" s="106">
        <f t="shared" ca="1" si="887"/>
        <v>1093.0015563411951</v>
      </c>
      <c r="AK166" s="106">
        <f t="shared" ca="1" si="887"/>
        <v>1093.0015563411951</v>
      </c>
      <c r="AL166" s="106">
        <f t="shared" ca="1" si="887"/>
        <v>1080.3550658698409</v>
      </c>
      <c r="AM166" s="106">
        <f t="shared" ca="1" si="887"/>
        <v>1063.9678034258695</v>
      </c>
      <c r="AN166" s="106">
        <f t="shared" ca="1" si="887"/>
        <v>1059.9884270777611</v>
      </c>
      <c r="AO166" s="106">
        <f t="shared" ca="1" si="887"/>
        <v>1059.7450403623563</v>
      </c>
      <c r="AP166" s="106">
        <f t="shared" ca="1" si="887"/>
        <v>1046.0233347949677</v>
      </c>
      <c r="AQ166" s="106">
        <f t="shared" ca="1" si="887"/>
        <v>1028.6900490399426</v>
      </c>
      <c r="AR166" s="106">
        <f t="shared" ca="1" si="887"/>
        <v>1024.0372772932449</v>
      </c>
      <c r="AS166" s="106">
        <f t="shared" ca="1" si="887"/>
        <v>1023.1735432272957</v>
      </c>
      <c r="AT166" s="106">
        <f t="shared" ca="1" si="887"/>
        <v>1008.6042278153491</v>
      </c>
      <c r="AU166" s="106">
        <f t="shared" ca="1" si="887"/>
        <v>990.12691041397284</v>
      </c>
      <c r="AV166" s="106">
        <f t="shared" ca="1" si="887"/>
        <v>984.52948695159648</v>
      </c>
      <c r="AW166" s="106">
        <f t="shared" ca="1" si="887"/>
        <v>982.79637530494449</v>
      </c>
      <c r="AX166" s="106">
        <f t="shared" ca="1" si="887"/>
        <v>967.031289113414</v>
      </c>
      <c r="AY166" s="106">
        <f t="shared" ca="1" si="887"/>
        <v>947.25649397855511</v>
      </c>
      <c r="AZ166" s="106">
        <f t="shared" ca="1" si="887"/>
        <v>940.64499743091324</v>
      </c>
      <c r="BA166" s="106">
        <f t="shared" ca="1" si="887"/>
        <v>937.97413668522745</v>
      </c>
      <c r="BB166" s="106">
        <f t="shared" ca="1" si="887"/>
        <v>920.93673007872474</v>
      </c>
      <c r="BC166" s="106">
        <f t="shared" ca="1" si="887"/>
        <v>900.35756507594351</v>
      </c>
      <c r="BD166" s="106">
        <f t="shared" ca="1" si="887"/>
        <v>893.22826324933192</v>
      </c>
      <c r="BE166" s="106">
        <f t="shared" ca="1" si="887"/>
        <v>890.062613644777</v>
      </c>
      <c r="BF166" s="106">
        <f t="shared" ca="1" si="887"/>
        <v>872.42432827767038</v>
      </c>
      <c r="BG166" s="106">
        <f t="shared" ca="1" si="887"/>
        <v>850.63771940991762</v>
      </c>
      <c r="BH166" s="106">
        <f t="shared" ca="1" si="887"/>
        <v>842.39351150141476</v>
      </c>
      <c r="BI166" s="106">
        <f t="shared" ca="1" si="887"/>
        <v>838.1906354964691</v>
      </c>
      <c r="BJ166" s="106">
        <f t="shared" ca="1" si="887"/>
        <v>819.16950189606348</v>
      </c>
      <c r="BK166" s="106">
        <f t="shared" ca="1" si="887"/>
        <v>795.89117452075425</v>
      </c>
      <c r="BL166" s="106">
        <f t="shared" ca="1" si="887"/>
        <v>786.45218580757103</v>
      </c>
      <c r="BM166" s="106">
        <f t="shared" ca="1" si="887"/>
        <v>781.13322023588773</v>
      </c>
      <c r="BN166" s="106">
        <f t="shared" ca="1" si="887"/>
        <v>760.6416609767042</v>
      </c>
      <c r="BO166" s="106">
        <f t="shared" ca="1" si="887"/>
        <v>735.78074565283532</v>
      </c>
      <c r="BP166" s="106">
        <f t="shared" ca="1" si="887"/>
        <v>725.06211660572296</v>
      </c>
      <c r="BQ166" s="106">
        <f t="shared" ca="1" si="887"/>
        <v>718.54319156418558</v>
      </c>
      <c r="BR166" s="106">
        <f t="shared" ca="1" si="887"/>
        <v>696.48837669695467</v>
      </c>
      <c r="BS166" s="106">
        <f t="shared" ca="1" si="887"/>
        <v>669.94862945460375</v>
      </c>
      <c r="BT166" s="106">
        <f t="shared" ca="1" si="887"/>
        <v>657.86021682140802</v>
      </c>
      <c r="BU166" s="106">
        <f t="shared" ca="1" si="887"/>
        <v>650.05215359673866</v>
      </c>
      <c r="BV166" s="106">
        <f t="shared" ca="1" si="887"/>
        <v>626.33569024231429</v>
      </c>
      <c r="BW166" s="106">
        <f t="shared" ca="1" si="887"/>
        <v>598.01517664586595</v>
      </c>
      <c r="BX166" s="106">
        <f t="shared" ca="1" si="887"/>
        <v>584.46123682873508</v>
      </c>
      <c r="BY166" s="106">
        <f t="shared" ca="1" si="887"/>
        <v>575.26922788901845</v>
      </c>
      <c r="BZ166" s="106">
        <f t="shared" ca="1" si="887"/>
        <v>549.78683154743305</v>
      </c>
      <c r="CA166" s="106">
        <f t="shared" ca="1" si="887"/>
        <v>519.57759218619151</v>
      </c>
      <c r="CB166" s="106">
        <f t="shared" ca="1" si="887"/>
        <v>504.45644586727929</v>
      </c>
      <c r="CC166" s="106">
        <f t="shared" ca="1" si="887"/>
        <v>493.77971585878151</v>
      </c>
      <c r="CD166" s="106">
        <f t="shared" ca="1" si="887"/>
        <v>466.42086235644689</v>
      </c>
      <c r="CE166" s="106">
        <f t="shared" ca="1" si="887"/>
        <v>435.09115925203656</v>
      </c>
      <c r="CF166" s="106">
        <f t="shared" ca="1" si="887"/>
        <v>419.17337276250925</v>
      </c>
      <c r="CG166" s="106">
        <f t="shared" ca="1" si="887"/>
        <v>407.69960694119465</v>
      </c>
      <c r="CH166" s="106">
        <f t="shared" ca="1" si="887"/>
        <v>379.50703095668803</v>
      </c>
      <c r="CI166" s="106">
        <f t="shared" ca="1" si="887"/>
        <v>346.44448865329377</v>
      </c>
      <c r="CJ166" s="106">
        <f t="shared" ref="CJ166:EU166" ca="1" si="888">SUM(CJ163:CJ165)</f>
        <v>328.8160418162833</v>
      </c>
      <c r="CK166" s="106">
        <f t="shared" ca="1" si="888"/>
        <v>315.71472634793412</v>
      </c>
      <c r="CL166" s="106">
        <f t="shared" ca="1" si="888"/>
        <v>285.49175566031886</v>
      </c>
      <c r="CM166" s="106">
        <f t="shared" ca="1" si="888"/>
        <v>250.26763192100046</v>
      </c>
      <c r="CN166" s="106">
        <f t="shared" ca="1" si="888"/>
        <v>230.81211858077558</v>
      </c>
      <c r="CO166" s="106">
        <f t="shared" ca="1" si="888"/>
        <v>215.96765619770295</v>
      </c>
      <c r="CP166" s="106">
        <f t="shared" ca="1" si="888"/>
        <v>183.58833399069499</v>
      </c>
      <c r="CQ166" s="106">
        <f t="shared" ca="1" si="888"/>
        <v>146.07253103041765</v>
      </c>
      <c r="CR166" s="106">
        <f t="shared" ca="1" si="888"/>
        <v>124.66638407782699</v>
      </c>
      <c r="CS166" s="106">
        <f t="shared" ca="1" si="888"/>
        <v>107.95597074179429</v>
      </c>
      <c r="CT166" s="106">
        <f t="shared" ca="1" si="888"/>
        <v>73.286830369429381</v>
      </c>
      <c r="CU166" s="259">
        <f t="shared" ca="1" si="888"/>
        <v>33.341579291017524</v>
      </c>
      <c r="CV166" s="106">
        <f t="shared" ca="1" si="888"/>
        <v>0</v>
      </c>
      <c r="CW166" s="106">
        <f t="shared" ca="1" si="888"/>
        <v>0</v>
      </c>
      <c r="CX166" s="106">
        <f t="shared" ca="1" si="888"/>
        <v>0</v>
      </c>
      <c r="CY166" s="106">
        <f t="shared" ca="1" si="888"/>
        <v>0</v>
      </c>
      <c r="CZ166" s="106">
        <f t="shared" ca="1" si="888"/>
        <v>0</v>
      </c>
      <c r="DA166" s="106">
        <f t="shared" ca="1" si="888"/>
        <v>0</v>
      </c>
      <c r="DB166" s="106">
        <f t="shared" ca="1" si="888"/>
        <v>0</v>
      </c>
      <c r="DC166" s="106">
        <f t="shared" ca="1" si="888"/>
        <v>0</v>
      </c>
      <c r="DD166" s="106">
        <f t="shared" ca="1" si="888"/>
        <v>0</v>
      </c>
      <c r="DE166" s="106">
        <f t="shared" ca="1" si="888"/>
        <v>0</v>
      </c>
      <c r="DF166" s="106">
        <f t="shared" ca="1" si="888"/>
        <v>0</v>
      </c>
      <c r="DG166" s="106">
        <f t="shared" ca="1" si="888"/>
        <v>0</v>
      </c>
      <c r="DH166" s="106">
        <f t="shared" ca="1" si="888"/>
        <v>0</v>
      </c>
      <c r="DI166" s="106">
        <f t="shared" ca="1" si="888"/>
        <v>0</v>
      </c>
      <c r="DJ166" s="106">
        <f t="shared" ca="1" si="888"/>
        <v>0</v>
      </c>
      <c r="DK166" s="106">
        <f t="shared" ca="1" si="888"/>
        <v>0</v>
      </c>
      <c r="DL166" s="106">
        <f t="shared" ca="1" si="888"/>
        <v>0</v>
      </c>
      <c r="DM166" s="106">
        <f t="shared" ca="1" si="888"/>
        <v>0</v>
      </c>
      <c r="DN166" s="106">
        <f t="shared" ca="1" si="888"/>
        <v>0</v>
      </c>
      <c r="DO166" s="106">
        <f t="shared" ca="1" si="888"/>
        <v>0</v>
      </c>
      <c r="DP166" s="106">
        <f t="shared" ca="1" si="888"/>
        <v>0</v>
      </c>
      <c r="DQ166" s="106">
        <f t="shared" ca="1" si="888"/>
        <v>0</v>
      </c>
      <c r="DR166" s="106">
        <f t="shared" ca="1" si="888"/>
        <v>0</v>
      </c>
      <c r="DS166" s="106">
        <f t="shared" ca="1" si="888"/>
        <v>0</v>
      </c>
      <c r="DT166" s="106">
        <f t="shared" ca="1" si="888"/>
        <v>0</v>
      </c>
      <c r="DU166" s="106">
        <f t="shared" ca="1" si="888"/>
        <v>0</v>
      </c>
      <c r="DV166" s="106">
        <f t="shared" ca="1" si="888"/>
        <v>0</v>
      </c>
      <c r="DW166" s="106">
        <f t="shared" ca="1" si="888"/>
        <v>0</v>
      </c>
      <c r="DX166" s="106">
        <f t="shared" ca="1" si="888"/>
        <v>0</v>
      </c>
      <c r="DY166" s="106">
        <f t="shared" ca="1" si="888"/>
        <v>0</v>
      </c>
      <c r="DZ166" s="106">
        <f t="shared" ca="1" si="888"/>
        <v>0</v>
      </c>
      <c r="EA166" s="106">
        <f t="shared" ca="1" si="888"/>
        <v>0</v>
      </c>
      <c r="EB166" s="106">
        <f t="shared" ca="1" si="888"/>
        <v>0</v>
      </c>
      <c r="EC166" s="106">
        <f t="shared" ca="1" si="888"/>
        <v>0</v>
      </c>
      <c r="ED166" s="106">
        <f t="shared" ca="1" si="888"/>
        <v>0</v>
      </c>
      <c r="EE166" s="106">
        <f t="shared" ca="1" si="888"/>
        <v>0</v>
      </c>
      <c r="EF166" s="106">
        <f t="shared" ca="1" si="888"/>
        <v>0</v>
      </c>
      <c r="EG166" s="106">
        <f t="shared" ca="1" si="888"/>
        <v>0</v>
      </c>
      <c r="EH166" s="106">
        <f t="shared" ca="1" si="888"/>
        <v>0</v>
      </c>
      <c r="EI166" s="106">
        <f t="shared" ca="1" si="888"/>
        <v>0</v>
      </c>
      <c r="EJ166" s="106">
        <f t="shared" ca="1" si="888"/>
        <v>0</v>
      </c>
      <c r="EK166" s="106">
        <f t="shared" ca="1" si="888"/>
        <v>0</v>
      </c>
      <c r="EL166" s="106">
        <f t="shared" ca="1" si="888"/>
        <v>0</v>
      </c>
      <c r="EM166" s="106">
        <f t="shared" ca="1" si="888"/>
        <v>0</v>
      </c>
      <c r="EN166" s="106">
        <f t="shared" ca="1" si="888"/>
        <v>0</v>
      </c>
      <c r="EO166" s="106">
        <f t="shared" ca="1" si="888"/>
        <v>0</v>
      </c>
      <c r="EP166" s="106">
        <f t="shared" ca="1" si="888"/>
        <v>0</v>
      </c>
      <c r="EQ166" s="106">
        <f t="shared" ca="1" si="888"/>
        <v>0</v>
      </c>
      <c r="ER166" s="106">
        <f t="shared" ca="1" si="888"/>
        <v>0</v>
      </c>
      <c r="ES166" s="106">
        <f t="shared" ca="1" si="888"/>
        <v>0</v>
      </c>
      <c r="ET166" s="106">
        <f t="shared" ca="1" si="888"/>
        <v>0</v>
      </c>
      <c r="EU166" s="106">
        <f t="shared" ca="1" si="888"/>
        <v>0</v>
      </c>
      <c r="EV166" s="106">
        <f t="shared" ref="EV166:FA166" ca="1" si="889">SUM(EV163:EV165)</f>
        <v>0</v>
      </c>
      <c r="EW166" s="106">
        <f t="shared" ca="1" si="889"/>
        <v>0</v>
      </c>
      <c r="EX166" s="106">
        <f t="shared" ca="1" si="889"/>
        <v>0</v>
      </c>
      <c r="EY166" s="106">
        <f t="shared" ca="1" si="889"/>
        <v>0</v>
      </c>
      <c r="EZ166" s="106">
        <f t="shared" ca="1" si="889"/>
        <v>0</v>
      </c>
      <c r="FA166" s="106">
        <f t="shared" ca="1" si="889"/>
        <v>0</v>
      </c>
    </row>
    <row r="167" spans="3:157" outlineLevel="1" x14ac:dyDescent="0.2"/>
    <row r="168" spans="3:157" outlineLevel="1" x14ac:dyDescent="0.2">
      <c r="C168" s="10" t="s">
        <v>84</v>
      </c>
      <c r="D168" s="36"/>
      <c r="E168" s="21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269"/>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row>
    <row r="169" spans="3:157" outlineLevel="1" x14ac:dyDescent="0.2">
      <c r="C169" s="9" t="s">
        <v>18</v>
      </c>
      <c r="D169" s="21" t="s">
        <v>126</v>
      </c>
      <c r="E169" s="5"/>
      <c r="F169" s="21"/>
      <c r="G169" s="107">
        <f>F172</f>
        <v>0</v>
      </c>
      <c r="H169" s="107">
        <f t="shared" ref="H169:BS169" ca="1" si="890">G172</f>
        <v>0</v>
      </c>
      <c r="I169" s="107">
        <f t="shared" ca="1" si="890"/>
        <v>0</v>
      </c>
      <c r="J169" s="107">
        <f t="shared" ca="1" si="890"/>
        <v>0</v>
      </c>
      <c r="K169" s="107">
        <f t="shared" ca="1" si="890"/>
        <v>0</v>
      </c>
      <c r="L169" s="107">
        <f t="shared" ca="1" si="890"/>
        <v>0</v>
      </c>
      <c r="M169" s="107">
        <f t="shared" ca="1" si="890"/>
        <v>0</v>
      </c>
      <c r="N169" s="107">
        <f t="shared" ca="1" si="890"/>
        <v>0</v>
      </c>
      <c r="O169" s="107">
        <f t="shared" ca="1" si="890"/>
        <v>0</v>
      </c>
      <c r="P169" s="107">
        <f t="shared" ca="1" si="890"/>
        <v>0</v>
      </c>
      <c r="Q169" s="107">
        <f t="shared" ca="1" si="890"/>
        <v>0</v>
      </c>
      <c r="R169" s="107">
        <f t="shared" ca="1" si="890"/>
        <v>0</v>
      </c>
      <c r="S169" s="107">
        <f t="shared" ca="1" si="890"/>
        <v>0</v>
      </c>
      <c r="T169" s="107">
        <f t="shared" ca="1" si="890"/>
        <v>0</v>
      </c>
      <c r="U169" s="107">
        <f t="shared" ca="1" si="890"/>
        <v>0</v>
      </c>
      <c r="V169" s="107">
        <f t="shared" ca="1" si="890"/>
        <v>0</v>
      </c>
      <c r="W169" s="107">
        <f t="shared" ca="1" si="890"/>
        <v>0</v>
      </c>
      <c r="X169" s="107">
        <f t="shared" ca="1" si="890"/>
        <v>785.831467674142</v>
      </c>
      <c r="Y169" s="107">
        <f t="shared" ca="1" si="890"/>
        <v>785.70575023312574</v>
      </c>
      <c r="Z169" s="107">
        <f t="shared" ca="1" si="890"/>
        <v>785.70575023312574</v>
      </c>
      <c r="AA169" s="107">
        <f t="shared" ca="1" si="890"/>
        <v>779.29313413703858</v>
      </c>
      <c r="AB169" s="107">
        <f t="shared" ca="1" si="890"/>
        <v>770.41415833782742</v>
      </c>
      <c r="AC169" s="107">
        <f t="shared" ca="1" si="890"/>
        <v>769.78325512047957</v>
      </c>
      <c r="AD169" s="107">
        <f t="shared" ca="1" si="890"/>
        <v>769.78325512047957</v>
      </c>
      <c r="AE169" s="107">
        <f t="shared" ca="1" si="890"/>
        <v>762.71358270482517</v>
      </c>
      <c r="AF169" s="107">
        <f t="shared" ca="1" si="890"/>
        <v>753.11298975027944</v>
      </c>
      <c r="AG169" s="107">
        <f t="shared" ca="1" si="890"/>
        <v>751.94167834507095</v>
      </c>
      <c r="AH169" s="107">
        <f t="shared" ca="1" si="890"/>
        <v>751.94167834507095</v>
      </c>
      <c r="AI169" s="107">
        <f t="shared" ca="1" si="890"/>
        <v>744.17587525300996</v>
      </c>
      <c r="AJ169" s="107">
        <f t="shared" ca="1" si="890"/>
        <v>734.05398350716564</v>
      </c>
      <c r="AK169" s="107">
        <f t="shared" ca="1" si="890"/>
        <v>732.54564814938306</v>
      </c>
      <c r="AL169" s="107">
        <f t="shared" ca="1" si="890"/>
        <v>732.54564814938306</v>
      </c>
      <c r="AM169" s="107">
        <f t="shared" ca="1" si="890"/>
        <v>724.35731267584424</v>
      </c>
      <c r="AN169" s="107">
        <f t="shared" ca="1" si="890"/>
        <v>713.5349588289132</v>
      </c>
      <c r="AO169" s="107">
        <f t="shared" ca="1" si="890"/>
        <v>711.42980610872382</v>
      </c>
      <c r="AP169" s="107">
        <f t="shared" ca="1" si="890"/>
        <v>711.42980610872382</v>
      </c>
      <c r="AQ169" s="107">
        <f t="shared" ca="1" si="890"/>
        <v>702.48283961844163</v>
      </c>
      <c r="AR169" s="107">
        <f t="shared" ca="1" si="890"/>
        <v>690.99139661301308</v>
      </c>
      <c r="AS169" s="107">
        <f t="shared" ca="1" si="890"/>
        <v>688.40769122413894</v>
      </c>
      <c r="AT169" s="107">
        <f t="shared" ca="1" si="890"/>
        <v>688.40769122413894</v>
      </c>
      <c r="AU169" s="107">
        <f t="shared" ca="1" si="890"/>
        <v>678.86508905437518</v>
      </c>
      <c r="AV169" s="107">
        <f t="shared" ca="1" si="890"/>
        <v>666.56857743217017</v>
      </c>
      <c r="AW169" s="107">
        <f t="shared" ca="1" si="890"/>
        <v>663.31865187237725</v>
      </c>
      <c r="AX169" s="107">
        <f t="shared" ca="1" si="890"/>
        <v>662.79056548062545</v>
      </c>
      <c r="AY169" s="107">
        <f t="shared" ca="1" si="890"/>
        <v>652.40433372333973</v>
      </c>
      <c r="AZ169" s="107">
        <f t="shared" ca="1" si="890"/>
        <v>639.19122188297149</v>
      </c>
      <c r="BA169" s="107">
        <f t="shared" ca="1" si="890"/>
        <v>635.22239152686836</v>
      </c>
      <c r="BB169" s="107">
        <f t="shared" ca="1" si="890"/>
        <v>634.02778501213209</v>
      </c>
      <c r="BC169" s="107">
        <f t="shared" ca="1" si="890"/>
        <v>622.73854682513775</v>
      </c>
      <c r="BD169" s="107">
        <f t="shared" ca="1" si="890"/>
        <v>608.94985954914443</v>
      </c>
      <c r="BE169" s="107">
        <f t="shared" ca="1" si="890"/>
        <v>604.60585884154648</v>
      </c>
      <c r="BF169" s="107">
        <f t="shared" ca="1" si="890"/>
        <v>603.05148014412566</v>
      </c>
      <c r="BG169" s="107">
        <f t="shared" ca="1" si="890"/>
        <v>591.3270952591339</v>
      </c>
      <c r="BH169" s="107">
        <f t="shared" ca="1" si="890"/>
        <v>576.67581731627251</v>
      </c>
      <c r="BI169" s="107">
        <f t="shared" ca="1" si="890"/>
        <v>571.53266055694883</v>
      </c>
      <c r="BJ169" s="107">
        <f t="shared" ca="1" si="890"/>
        <v>569.23219470086917</v>
      </c>
      <c r="BK169" s="107">
        <f t="shared" ca="1" si="890"/>
        <v>556.51719382879025</v>
      </c>
      <c r="BL169" s="107">
        <f t="shared" ca="1" si="890"/>
        <v>540.79682347067467</v>
      </c>
      <c r="BM169" s="107">
        <f t="shared" ca="1" si="890"/>
        <v>534.79130156213409</v>
      </c>
      <c r="BN169" s="107">
        <f t="shared" ca="1" si="890"/>
        <v>531.6820434331529</v>
      </c>
      <c r="BO169" s="107">
        <f t="shared" ca="1" si="890"/>
        <v>517.90738413638144</v>
      </c>
      <c r="BP169" s="107">
        <f t="shared" ca="1" si="890"/>
        <v>501.04634088190261</v>
      </c>
      <c r="BQ169" s="107">
        <f t="shared" ca="1" si="890"/>
        <v>494.11086891480636</v>
      </c>
      <c r="BR169" s="107">
        <f t="shared" ca="1" si="890"/>
        <v>490.12570228281504</v>
      </c>
      <c r="BS169" s="107">
        <f t="shared" ca="1" si="890"/>
        <v>475.21773794264095</v>
      </c>
      <c r="BT169" s="107">
        <f t="shared" ref="BT169:EE169" ca="1" si="891">BS172</f>
        <v>457.13973049246522</v>
      </c>
      <c r="BU169" s="107">
        <f t="shared" ca="1" si="891"/>
        <v>449.20205527093043</v>
      </c>
      <c r="BV169" s="107">
        <f t="shared" ca="1" si="891"/>
        <v>444.26915641859023</v>
      </c>
      <c r="BW169" s="107">
        <f t="shared" ca="1" si="891"/>
        <v>428.14933229688165</v>
      </c>
      <c r="BX169" s="107">
        <f t="shared" ca="1" si="891"/>
        <v>408.77304896124167</v>
      </c>
      <c r="BY169" s="107">
        <f t="shared" ca="1" si="891"/>
        <v>399.75593716888801</v>
      </c>
      <c r="BZ169" s="107">
        <f t="shared" ca="1" si="891"/>
        <v>393.79845886807141</v>
      </c>
      <c r="CA169" s="107">
        <f t="shared" ca="1" si="891"/>
        <v>376.38298813631707</v>
      </c>
      <c r="CB169" s="107">
        <f t="shared" ca="1" si="891"/>
        <v>355.62176689075028</v>
      </c>
      <c r="CC169" s="107">
        <f t="shared" ca="1" si="891"/>
        <v>345.44267261928968</v>
      </c>
      <c r="CD169" s="107">
        <f t="shared" ca="1" si="891"/>
        <v>338.37840715697951</v>
      </c>
      <c r="CE169" s="107">
        <f t="shared" ca="1" si="891"/>
        <v>319.57792557196842</v>
      </c>
      <c r="CF169" s="107">
        <f t="shared" ca="1" si="891"/>
        <v>297.96004377398538</v>
      </c>
      <c r="CG169" s="107">
        <f t="shared" ca="1" si="891"/>
        <v>287.14957549769724</v>
      </c>
      <c r="CH169" s="107">
        <f t="shared" ca="1" si="891"/>
        <v>279.45157458333125</v>
      </c>
      <c r="CI169" s="107">
        <f t="shared" ca="1" si="891"/>
        <v>259.98944236748503</v>
      </c>
      <c r="CJ169" s="107">
        <f t="shared" ca="1" si="891"/>
        <v>237.07545998652188</v>
      </c>
      <c r="CK169" s="107">
        <f t="shared" ca="1" si="891"/>
        <v>224.98120010376252</v>
      </c>
      <c r="CL169" s="107">
        <f t="shared" ca="1" si="891"/>
        <v>216.05453673972042</v>
      </c>
      <c r="CM169" s="107">
        <f t="shared" ca="1" si="891"/>
        <v>195.07719334233045</v>
      </c>
      <c r="CN169" s="107">
        <f t="shared" ca="1" si="891"/>
        <v>170.55195378191885</v>
      </c>
      <c r="CO169" s="107">
        <f t="shared" ca="1" si="891"/>
        <v>157.07765496051462</v>
      </c>
      <c r="CP169" s="107">
        <f t="shared" ca="1" si="891"/>
        <v>146.82628194959085</v>
      </c>
      <c r="CQ169" s="107">
        <f t="shared" ca="1" si="891"/>
        <v>124.23002171931117</v>
      </c>
      <c r="CR169" s="107">
        <f t="shared" ca="1" si="891"/>
        <v>97.986515555526779</v>
      </c>
      <c r="CS169" s="107">
        <f t="shared" ca="1" si="891"/>
        <v>83.029357678032568</v>
      </c>
      <c r="CT169" s="107">
        <f t="shared" ca="1" si="891"/>
        <v>71.35058963913076</v>
      </c>
      <c r="CU169" s="263">
        <f t="shared" ca="1" si="891"/>
        <v>47.024821862206572</v>
      </c>
      <c r="CV169" s="314">
        <v>0</v>
      </c>
      <c r="CW169" s="107">
        <f t="shared" ca="1" si="891"/>
        <v>0</v>
      </c>
      <c r="CX169" s="107">
        <f t="shared" ca="1" si="891"/>
        <v>0</v>
      </c>
      <c r="CY169" s="107">
        <f t="shared" ca="1" si="891"/>
        <v>0</v>
      </c>
      <c r="CZ169" s="107">
        <f t="shared" ca="1" si="891"/>
        <v>0</v>
      </c>
      <c r="DA169" s="107">
        <f t="shared" ca="1" si="891"/>
        <v>0</v>
      </c>
      <c r="DB169" s="107">
        <f t="shared" ca="1" si="891"/>
        <v>0</v>
      </c>
      <c r="DC169" s="107">
        <f t="shared" ca="1" si="891"/>
        <v>0</v>
      </c>
      <c r="DD169" s="107">
        <f t="shared" ca="1" si="891"/>
        <v>0</v>
      </c>
      <c r="DE169" s="107">
        <f t="shared" ca="1" si="891"/>
        <v>0</v>
      </c>
      <c r="DF169" s="107">
        <f t="shared" ca="1" si="891"/>
        <v>0</v>
      </c>
      <c r="DG169" s="107">
        <f t="shared" ca="1" si="891"/>
        <v>0</v>
      </c>
      <c r="DH169" s="107">
        <f t="shared" ca="1" si="891"/>
        <v>0</v>
      </c>
      <c r="DI169" s="107">
        <f t="shared" ca="1" si="891"/>
        <v>0</v>
      </c>
      <c r="DJ169" s="107">
        <f t="shared" ca="1" si="891"/>
        <v>0</v>
      </c>
      <c r="DK169" s="107">
        <f t="shared" ca="1" si="891"/>
        <v>0</v>
      </c>
      <c r="DL169" s="107">
        <f t="shared" ca="1" si="891"/>
        <v>0</v>
      </c>
      <c r="DM169" s="107">
        <f t="shared" ca="1" si="891"/>
        <v>0</v>
      </c>
      <c r="DN169" s="107">
        <f t="shared" ca="1" si="891"/>
        <v>0</v>
      </c>
      <c r="DO169" s="107">
        <f t="shared" ca="1" si="891"/>
        <v>0</v>
      </c>
      <c r="DP169" s="107">
        <f t="shared" ca="1" si="891"/>
        <v>0</v>
      </c>
      <c r="DQ169" s="107">
        <f t="shared" ca="1" si="891"/>
        <v>0</v>
      </c>
      <c r="DR169" s="107">
        <f t="shared" ca="1" si="891"/>
        <v>0</v>
      </c>
      <c r="DS169" s="107">
        <f t="shared" ca="1" si="891"/>
        <v>0</v>
      </c>
      <c r="DT169" s="107">
        <f t="shared" ca="1" si="891"/>
        <v>0</v>
      </c>
      <c r="DU169" s="107">
        <f t="shared" ca="1" si="891"/>
        <v>0</v>
      </c>
      <c r="DV169" s="107">
        <f t="shared" ca="1" si="891"/>
        <v>0</v>
      </c>
      <c r="DW169" s="107">
        <f t="shared" ca="1" si="891"/>
        <v>0</v>
      </c>
      <c r="DX169" s="107">
        <f t="shared" ca="1" si="891"/>
        <v>0</v>
      </c>
      <c r="DY169" s="107">
        <f t="shared" ca="1" si="891"/>
        <v>0</v>
      </c>
      <c r="DZ169" s="107">
        <f t="shared" ca="1" si="891"/>
        <v>0</v>
      </c>
      <c r="EA169" s="107">
        <f t="shared" ca="1" si="891"/>
        <v>0</v>
      </c>
      <c r="EB169" s="107">
        <f t="shared" ca="1" si="891"/>
        <v>0</v>
      </c>
      <c r="EC169" s="107">
        <f t="shared" ca="1" si="891"/>
        <v>0</v>
      </c>
      <c r="ED169" s="107">
        <f t="shared" ca="1" si="891"/>
        <v>0</v>
      </c>
      <c r="EE169" s="107">
        <f t="shared" ca="1" si="891"/>
        <v>0</v>
      </c>
      <c r="EF169" s="107">
        <f t="shared" ref="EF169:FA169" ca="1" si="892">EE172</f>
        <v>0</v>
      </c>
      <c r="EG169" s="107">
        <f t="shared" ca="1" si="892"/>
        <v>0</v>
      </c>
      <c r="EH169" s="107">
        <f t="shared" ca="1" si="892"/>
        <v>0</v>
      </c>
      <c r="EI169" s="107">
        <f t="shared" ca="1" si="892"/>
        <v>0</v>
      </c>
      <c r="EJ169" s="107">
        <f t="shared" ca="1" si="892"/>
        <v>0</v>
      </c>
      <c r="EK169" s="107">
        <f t="shared" ca="1" si="892"/>
        <v>0</v>
      </c>
      <c r="EL169" s="107">
        <f t="shared" ca="1" si="892"/>
        <v>0</v>
      </c>
      <c r="EM169" s="107">
        <f t="shared" ca="1" si="892"/>
        <v>0</v>
      </c>
      <c r="EN169" s="107">
        <f t="shared" ca="1" si="892"/>
        <v>0</v>
      </c>
      <c r="EO169" s="107">
        <f t="shared" ca="1" si="892"/>
        <v>0</v>
      </c>
      <c r="EP169" s="107">
        <f t="shared" ca="1" si="892"/>
        <v>0</v>
      </c>
      <c r="EQ169" s="107">
        <f t="shared" ca="1" si="892"/>
        <v>0</v>
      </c>
      <c r="ER169" s="107">
        <f t="shared" ca="1" si="892"/>
        <v>0</v>
      </c>
      <c r="ES169" s="107">
        <f t="shared" ca="1" si="892"/>
        <v>0</v>
      </c>
      <c r="ET169" s="107">
        <f t="shared" ca="1" si="892"/>
        <v>0</v>
      </c>
      <c r="EU169" s="107">
        <f t="shared" ca="1" si="892"/>
        <v>0</v>
      </c>
      <c r="EV169" s="107">
        <f t="shared" ca="1" si="892"/>
        <v>0</v>
      </c>
      <c r="EW169" s="107">
        <f t="shared" ca="1" si="892"/>
        <v>0</v>
      </c>
      <c r="EX169" s="107">
        <f t="shared" ca="1" si="892"/>
        <v>0</v>
      </c>
      <c r="EY169" s="107">
        <f t="shared" ca="1" si="892"/>
        <v>0</v>
      </c>
      <c r="EZ169" s="107">
        <f t="shared" ca="1" si="892"/>
        <v>0</v>
      </c>
      <c r="FA169" s="107">
        <f t="shared" ca="1" si="892"/>
        <v>0</v>
      </c>
    </row>
    <row r="170" spans="3:157" outlineLevel="1" x14ac:dyDescent="0.2">
      <c r="C170" s="70" t="s">
        <v>131</v>
      </c>
      <c r="D170" s="21" t="s">
        <v>126</v>
      </c>
      <c r="E170" s="5"/>
      <c r="F170" s="21"/>
      <c r="G170" s="107">
        <f ca="1">$E$176*G12</f>
        <v>0</v>
      </c>
      <c r="H170" s="107">
        <f t="shared" ref="H170:BS170" ca="1" si="893">$E$176*H12</f>
        <v>0</v>
      </c>
      <c r="I170" s="107">
        <f t="shared" ca="1" si="893"/>
        <v>0</v>
      </c>
      <c r="J170" s="107">
        <f t="shared" ca="1" si="893"/>
        <v>0</v>
      </c>
      <c r="K170" s="107">
        <f t="shared" ca="1" si="893"/>
        <v>0</v>
      </c>
      <c r="L170" s="107">
        <f t="shared" ca="1" si="893"/>
        <v>0</v>
      </c>
      <c r="M170" s="107">
        <f t="shared" ca="1" si="893"/>
        <v>0</v>
      </c>
      <c r="N170" s="107">
        <f t="shared" ca="1" si="893"/>
        <v>0</v>
      </c>
      <c r="O170" s="107">
        <f t="shared" ca="1" si="893"/>
        <v>0</v>
      </c>
      <c r="P170" s="107">
        <f t="shared" ca="1" si="893"/>
        <v>0</v>
      </c>
      <c r="Q170" s="107">
        <f t="shared" ca="1" si="893"/>
        <v>0</v>
      </c>
      <c r="R170" s="107">
        <f t="shared" ca="1" si="893"/>
        <v>0</v>
      </c>
      <c r="S170" s="107">
        <f t="shared" ca="1" si="893"/>
        <v>0</v>
      </c>
      <c r="T170" s="107">
        <f t="shared" ca="1" si="893"/>
        <v>0</v>
      </c>
      <c r="U170" s="107">
        <f t="shared" ca="1" si="893"/>
        <v>0</v>
      </c>
      <c r="V170" s="107">
        <f t="shared" ca="1" si="893"/>
        <v>0</v>
      </c>
      <c r="W170" s="107">
        <f t="shared" ca="1" si="893"/>
        <v>785.831467674142</v>
      </c>
      <c r="X170" s="107">
        <f t="shared" ca="1" si="893"/>
        <v>0</v>
      </c>
      <c r="Y170" s="107">
        <f t="shared" ca="1" si="893"/>
        <v>0</v>
      </c>
      <c r="Z170" s="107">
        <f t="shared" ca="1" si="893"/>
        <v>0</v>
      </c>
      <c r="AA170" s="107">
        <f t="shared" ca="1" si="893"/>
        <v>0</v>
      </c>
      <c r="AB170" s="107">
        <f t="shared" ca="1" si="893"/>
        <v>0</v>
      </c>
      <c r="AC170" s="107">
        <f t="shared" ca="1" si="893"/>
        <v>0</v>
      </c>
      <c r="AD170" s="107">
        <f t="shared" ca="1" si="893"/>
        <v>0</v>
      </c>
      <c r="AE170" s="107">
        <f t="shared" ca="1" si="893"/>
        <v>0</v>
      </c>
      <c r="AF170" s="107">
        <f t="shared" ca="1" si="893"/>
        <v>0</v>
      </c>
      <c r="AG170" s="107">
        <f t="shared" ca="1" si="893"/>
        <v>0</v>
      </c>
      <c r="AH170" s="107">
        <f t="shared" ca="1" si="893"/>
        <v>0</v>
      </c>
      <c r="AI170" s="107">
        <f t="shared" ca="1" si="893"/>
        <v>0</v>
      </c>
      <c r="AJ170" s="107">
        <f t="shared" ca="1" si="893"/>
        <v>0</v>
      </c>
      <c r="AK170" s="107">
        <f t="shared" ca="1" si="893"/>
        <v>0</v>
      </c>
      <c r="AL170" s="107">
        <f t="shared" ca="1" si="893"/>
        <v>0</v>
      </c>
      <c r="AM170" s="107">
        <f t="shared" ca="1" si="893"/>
        <v>0</v>
      </c>
      <c r="AN170" s="107">
        <f t="shared" ca="1" si="893"/>
        <v>0</v>
      </c>
      <c r="AO170" s="107">
        <f t="shared" ca="1" si="893"/>
        <v>0</v>
      </c>
      <c r="AP170" s="107">
        <f t="shared" ca="1" si="893"/>
        <v>0</v>
      </c>
      <c r="AQ170" s="107">
        <f t="shared" ca="1" si="893"/>
        <v>0</v>
      </c>
      <c r="AR170" s="107">
        <f t="shared" ca="1" si="893"/>
        <v>0</v>
      </c>
      <c r="AS170" s="107">
        <f t="shared" ca="1" si="893"/>
        <v>0</v>
      </c>
      <c r="AT170" s="107">
        <f t="shared" ca="1" si="893"/>
        <v>0</v>
      </c>
      <c r="AU170" s="107">
        <f t="shared" ca="1" si="893"/>
        <v>0</v>
      </c>
      <c r="AV170" s="107">
        <f t="shared" ca="1" si="893"/>
        <v>0</v>
      </c>
      <c r="AW170" s="107">
        <f t="shared" ca="1" si="893"/>
        <v>0</v>
      </c>
      <c r="AX170" s="107">
        <f t="shared" ca="1" si="893"/>
        <v>0</v>
      </c>
      <c r="AY170" s="107">
        <f t="shared" ca="1" si="893"/>
        <v>0</v>
      </c>
      <c r="AZ170" s="107">
        <f t="shared" ca="1" si="893"/>
        <v>0</v>
      </c>
      <c r="BA170" s="107">
        <f t="shared" ca="1" si="893"/>
        <v>0</v>
      </c>
      <c r="BB170" s="107">
        <f t="shared" ca="1" si="893"/>
        <v>0</v>
      </c>
      <c r="BC170" s="107">
        <f t="shared" ca="1" si="893"/>
        <v>0</v>
      </c>
      <c r="BD170" s="107">
        <f t="shared" ca="1" si="893"/>
        <v>0</v>
      </c>
      <c r="BE170" s="107">
        <f t="shared" ca="1" si="893"/>
        <v>0</v>
      </c>
      <c r="BF170" s="107">
        <f t="shared" ca="1" si="893"/>
        <v>0</v>
      </c>
      <c r="BG170" s="107">
        <f t="shared" ca="1" si="893"/>
        <v>0</v>
      </c>
      <c r="BH170" s="107">
        <f t="shared" ca="1" si="893"/>
        <v>0</v>
      </c>
      <c r="BI170" s="107">
        <f t="shared" ca="1" si="893"/>
        <v>0</v>
      </c>
      <c r="BJ170" s="107">
        <f t="shared" ca="1" si="893"/>
        <v>0</v>
      </c>
      <c r="BK170" s="107">
        <f t="shared" ca="1" si="893"/>
        <v>0</v>
      </c>
      <c r="BL170" s="107">
        <f t="shared" ca="1" si="893"/>
        <v>0</v>
      </c>
      <c r="BM170" s="107">
        <f t="shared" ca="1" si="893"/>
        <v>0</v>
      </c>
      <c r="BN170" s="107">
        <f t="shared" ca="1" si="893"/>
        <v>0</v>
      </c>
      <c r="BO170" s="107">
        <f t="shared" ca="1" si="893"/>
        <v>0</v>
      </c>
      <c r="BP170" s="107">
        <f t="shared" ca="1" si="893"/>
        <v>0</v>
      </c>
      <c r="BQ170" s="107">
        <f t="shared" ca="1" si="893"/>
        <v>0</v>
      </c>
      <c r="BR170" s="107">
        <f t="shared" ca="1" si="893"/>
        <v>0</v>
      </c>
      <c r="BS170" s="107">
        <f t="shared" ca="1" si="893"/>
        <v>0</v>
      </c>
      <c r="BT170" s="107">
        <f t="shared" ref="BT170:EE170" ca="1" si="894">$E$176*BT12</f>
        <v>0</v>
      </c>
      <c r="BU170" s="107">
        <f t="shared" ca="1" si="894"/>
        <v>0</v>
      </c>
      <c r="BV170" s="107">
        <f t="shared" ca="1" si="894"/>
        <v>0</v>
      </c>
      <c r="BW170" s="107">
        <f t="shared" ca="1" si="894"/>
        <v>0</v>
      </c>
      <c r="BX170" s="107">
        <f t="shared" ca="1" si="894"/>
        <v>0</v>
      </c>
      <c r="BY170" s="107">
        <f t="shared" ca="1" si="894"/>
        <v>0</v>
      </c>
      <c r="BZ170" s="107">
        <f t="shared" ca="1" si="894"/>
        <v>0</v>
      </c>
      <c r="CA170" s="107">
        <f t="shared" ca="1" si="894"/>
        <v>0</v>
      </c>
      <c r="CB170" s="107">
        <f t="shared" ca="1" si="894"/>
        <v>0</v>
      </c>
      <c r="CC170" s="107">
        <f t="shared" ca="1" si="894"/>
        <v>0</v>
      </c>
      <c r="CD170" s="107">
        <f t="shared" ca="1" si="894"/>
        <v>0</v>
      </c>
      <c r="CE170" s="107">
        <f t="shared" ca="1" si="894"/>
        <v>0</v>
      </c>
      <c r="CF170" s="107">
        <f t="shared" ca="1" si="894"/>
        <v>0</v>
      </c>
      <c r="CG170" s="107">
        <f t="shared" ca="1" si="894"/>
        <v>0</v>
      </c>
      <c r="CH170" s="107">
        <f t="shared" ca="1" si="894"/>
        <v>0</v>
      </c>
      <c r="CI170" s="107">
        <f t="shared" ca="1" si="894"/>
        <v>0</v>
      </c>
      <c r="CJ170" s="107">
        <f t="shared" ca="1" si="894"/>
        <v>0</v>
      </c>
      <c r="CK170" s="107">
        <f t="shared" ca="1" si="894"/>
        <v>0</v>
      </c>
      <c r="CL170" s="107">
        <f t="shared" ca="1" si="894"/>
        <v>0</v>
      </c>
      <c r="CM170" s="107">
        <f t="shared" ca="1" si="894"/>
        <v>0</v>
      </c>
      <c r="CN170" s="107">
        <f t="shared" ca="1" si="894"/>
        <v>0</v>
      </c>
      <c r="CO170" s="107">
        <f t="shared" ca="1" si="894"/>
        <v>0</v>
      </c>
      <c r="CP170" s="107">
        <f t="shared" ca="1" si="894"/>
        <v>0</v>
      </c>
      <c r="CQ170" s="107">
        <f t="shared" ca="1" si="894"/>
        <v>0</v>
      </c>
      <c r="CR170" s="107">
        <f t="shared" ca="1" si="894"/>
        <v>0</v>
      </c>
      <c r="CS170" s="107">
        <f t="shared" ca="1" si="894"/>
        <v>0</v>
      </c>
      <c r="CT170" s="107">
        <f t="shared" ca="1" si="894"/>
        <v>0</v>
      </c>
      <c r="CU170" s="263">
        <f t="shared" ca="1" si="894"/>
        <v>0</v>
      </c>
      <c r="CV170" s="107">
        <f t="shared" ca="1" si="894"/>
        <v>0</v>
      </c>
      <c r="CW170" s="107">
        <f t="shared" ca="1" si="894"/>
        <v>0</v>
      </c>
      <c r="CX170" s="107">
        <f t="shared" ca="1" si="894"/>
        <v>0</v>
      </c>
      <c r="CY170" s="107">
        <f t="shared" ca="1" si="894"/>
        <v>0</v>
      </c>
      <c r="CZ170" s="107">
        <f t="shared" ca="1" si="894"/>
        <v>0</v>
      </c>
      <c r="DA170" s="107">
        <f t="shared" ca="1" si="894"/>
        <v>0</v>
      </c>
      <c r="DB170" s="107">
        <f t="shared" ca="1" si="894"/>
        <v>0</v>
      </c>
      <c r="DC170" s="107">
        <f t="shared" ca="1" si="894"/>
        <v>0</v>
      </c>
      <c r="DD170" s="107">
        <f t="shared" ca="1" si="894"/>
        <v>0</v>
      </c>
      <c r="DE170" s="107">
        <f t="shared" ca="1" si="894"/>
        <v>0</v>
      </c>
      <c r="DF170" s="107">
        <f t="shared" ca="1" si="894"/>
        <v>0</v>
      </c>
      <c r="DG170" s="107">
        <f t="shared" ca="1" si="894"/>
        <v>0</v>
      </c>
      <c r="DH170" s="107">
        <f t="shared" ca="1" si="894"/>
        <v>0</v>
      </c>
      <c r="DI170" s="107">
        <f t="shared" ca="1" si="894"/>
        <v>0</v>
      </c>
      <c r="DJ170" s="107">
        <f t="shared" ca="1" si="894"/>
        <v>0</v>
      </c>
      <c r="DK170" s="107">
        <f t="shared" ca="1" si="894"/>
        <v>0</v>
      </c>
      <c r="DL170" s="107">
        <f t="shared" ca="1" si="894"/>
        <v>0</v>
      </c>
      <c r="DM170" s="107">
        <f t="shared" ca="1" si="894"/>
        <v>0</v>
      </c>
      <c r="DN170" s="107">
        <f t="shared" ca="1" si="894"/>
        <v>0</v>
      </c>
      <c r="DO170" s="107">
        <f t="shared" ca="1" si="894"/>
        <v>0</v>
      </c>
      <c r="DP170" s="107">
        <f t="shared" ca="1" si="894"/>
        <v>0</v>
      </c>
      <c r="DQ170" s="107">
        <f t="shared" ca="1" si="894"/>
        <v>0</v>
      </c>
      <c r="DR170" s="107">
        <f t="shared" ca="1" si="894"/>
        <v>0</v>
      </c>
      <c r="DS170" s="107">
        <f t="shared" ca="1" si="894"/>
        <v>0</v>
      </c>
      <c r="DT170" s="107">
        <f t="shared" ca="1" si="894"/>
        <v>0</v>
      </c>
      <c r="DU170" s="107">
        <f t="shared" ca="1" si="894"/>
        <v>0</v>
      </c>
      <c r="DV170" s="107">
        <f t="shared" ca="1" si="894"/>
        <v>0</v>
      </c>
      <c r="DW170" s="107">
        <f t="shared" ca="1" si="894"/>
        <v>0</v>
      </c>
      <c r="DX170" s="107">
        <f t="shared" ca="1" si="894"/>
        <v>0</v>
      </c>
      <c r="DY170" s="107">
        <f t="shared" ca="1" si="894"/>
        <v>0</v>
      </c>
      <c r="DZ170" s="107">
        <f t="shared" ca="1" si="894"/>
        <v>0</v>
      </c>
      <c r="EA170" s="107">
        <f t="shared" ca="1" si="894"/>
        <v>0</v>
      </c>
      <c r="EB170" s="107">
        <f t="shared" ca="1" si="894"/>
        <v>0</v>
      </c>
      <c r="EC170" s="107">
        <f t="shared" ca="1" si="894"/>
        <v>0</v>
      </c>
      <c r="ED170" s="107">
        <f t="shared" ca="1" si="894"/>
        <v>0</v>
      </c>
      <c r="EE170" s="107">
        <f t="shared" ca="1" si="894"/>
        <v>0</v>
      </c>
      <c r="EF170" s="107">
        <f t="shared" ref="EF170:FA170" ca="1" si="895">$E$176*EF12</f>
        <v>0</v>
      </c>
      <c r="EG170" s="107">
        <f t="shared" ca="1" si="895"/>
        <v>0</v>
      </c>
      <c r="EH170" s="107">
        <f t="shared" ca="1" si="895"/>
        <v>0</v>
      </c>
      <c r="EI170" s="107">
        <f t="shared" ca="1" si="895"/>
        <v>0</v>
      </c>
      <c r="EJ170" s="107">
        <f t="shared" ca="1" si="895"/>
        <v>0</v>
      </c>
      <c r="EK170" s="107">
        <f t="shared" ca="1" si="895"/>
        <v>0</v>
      </c>
      <c r="EL170" s="107">
        <f t="shared" ca="1" si="895"/>
        <v>0</v>
      </c>
      <c r="EM170" s="107">
        <f t="shared" ca="1" si="895"/>
        <v>0</v>
      </c>
      <c r="EN170" s="107">
        <f t="shared" ca="1" si="895"/>
        <v>0</v>
      </c>
      <c r="EO170" s="107">
        <f t="shared" ca="1" si="895"/>
        <v>0</v>
      </c>
      <c r="EP170" s="107">
        <f t="shared" ca="1" si="895"/>
        <v>0</v>
      </c>
      <c r="EQ170" s="107">
        <f t="shared" ca="1" si="895"/>
        <v>0</v>
      </c>
      <c r="ER170" s="107">
        <f t="shared" ca="1" si="895"/>
        <v>0</v>
      </c>
      <c r="ES170" s="107">
        <f t="shared" ca="1" si="895"/>
        <v>0</v>
      </c>
      <c r="ET170" s="107">
        <f t="shared" ca="1" si="895"/>
        <v>0</v>
      </c>
      <c r="EU170" s="107">
        <f t="shared" ca="1" si="895"/>
        <v>0</v>
      </c>
      <c r="EV170" s="107">
        <f t="shared" ca="1" si="895"/>
        <v>0</v>
      </c>
      <c r="EW170" s="107">
        <f t="shared" ca="1" si="895"/>
        <v>0</v>
      </c>
      <c r="EX170" s="107">
        <f t="shared" ca="1" si="895"/>
        <v>0</v>
      </c>
      <c r="EY170" s="107">
        <f t="shared" ca="1" si="895"/>
        <v>0</v>
      </c>
      <c r="EZ170" s="107">
        <f t="shared" ca="1" si="895"/>
        <v>0</v>
      </c>
      <c r="FA170" s="107">
        <f t="shared" ca="1" si="895"/>
        <v>0</v>
      </c>
    </row>
    <row r="171" spans="3:157" outlineLevel="1" x14ac:dyDescent="0.2">
      <c r="C171" s="83" t="s">
        <v>35</v>
      </c>
      <c r="D171" s="87" t="s">
        <v>126</v>
      </c>
      <c r="E171" s="212"/>
      <c r="F171" s="87"/>
      <c r="G171" s="117">
        <f t="shared" ref="G171:AL171" ca="1" si="896">-MIN(G169,G189)</f>
        <v>0</v>
      </c>
      <c r="H171" s="117">
        <f t="shared" ca="1" si="896"/>
        <v>0</v>
      </c>
      <c r="I171" s="117">
        <f t="shared" ca="1" si="896"/>
        <v>0</v>
      </c>
      <c r="J171" s="117">
        <f t="shared" ca="1" si="896"/>
        <v>0</v>
      </c>
      <c r="K171" s="117">
        <f t="shared" ca="1" si="896"/>
        <v>0</v>
      </c>
      <c r="L171" s="117">
        <f t="shared" ca="1" si="896"/>
        <v>0</v>
      </c>
      <c r="M171" s="117">
        <f t="shared" ca="1" si="896"/>
        <v>0</v>
      </c>
      <c r="N171" s="117">
        <f t="shared" ca="1" si="896"/>
        <v>0</v>
      </c>
      <c r="O171" s="117">
        <f t="shared" ca="1" si="896"/>
        <v>0</v>
      </c>
      <c r="P171" s="117">
        <f t="shared" ca="1" si="896"/>
        <v>0</v>
      </c>
      <c r="Q171" s="117">
        <f t="shared" ca="1" si="896"/>
        <v>0</v>
      </c>
      <c r="R171" s="117">
        <f t="shared" ca="1" si="896"/>
        <v>0</v>
      </c>
      <c r="S171" s="117">
        <f t="shared" ca="1" si="896"/>
        <v>0</v>
      </c>
      <c r="T171" s="117">
        <f t="shared" ca="1" si="896"/>
        <v>0</v>
      </c>
      <c r="U171" s="117">
        <f t="shared" ca="1" si="896"/>
        <v>0</v>
      </c>
      <c r="V171" s="117">
        <f t="shared" ref="V171:AI171" ca="1" si="897">-MIN(V169,V189)</f>
        <v>0</v>
      </c>
      <c r="W171" s="117">
        <f t="shared" ca="1" si="897"/>
        <v>0</v>
      </c>
      <c r="X171" s="117">
        <f t="shared" ca="1" si="897"/>
        <v>-0.12571744101629179</v>
      </c>
      <c r="Y171" s="117">
        <f t="shared" ca="1" si="897"/>
        <v>0</v>
      </c>
      <c r="Z171" s="117">
        <f t="shared" ca="1" si="897"/>
        <v>-6.4126160960871932</v>
      </c>
      <c r="AA171" s="117">
        <f t="shared" ca="1" si="897"/>
        <v>-8.8789757992111333</v>
      </c>
      <c r="AB171" s="117">
        <f t="shared" ca="1" si="897"/>
        <v>-0.63090321734788901</v>
      </c>
      <c r="AC171" s="117">
        <f t="shared" ca="1" si="897"/>
        <v>0</v>
      </c>
      <c r="AD171" s="117">
        <f t="shared" ca="1" si="897"/>
        <v>-7.0696724156543933</v>
      </c>
      <c r="AE171" s="117">
        <f t="shared" ca="1" si="897"/>
        <v>-9.6005929545457658</v>
      </c>
      <c r="AF171" s="117">
        <f t="shared" ca="1" si="897"/>
        <v>-1.1713114052084386</v>
      </c>
      <c r="AG171" s="117">
        <f t="shared" ca="1" si="897"/>
        <v>0</v>
      </c>
      <c r="AH171" s="117">
        <f t="shared" ca="1" si="897"/>
        <v>-7.7658030920609846</v>
      </c>
      <c r="AI171" s="117">
        <f t="shared" ca="1" si="897"/>
        <v>-10.12189174584427</v>
      </c>
      <c r="AJ171" s="117">
        <f t="shared" ca="1" si="896"/>
        <v>-1.5083353577825367</v>
      </c>
      <c r="AK171" s="117">
        <f t="shared" ca="1" si="896"/>
        <v>0</v>
      </c>
      <c r="AL171" s="117">
        <f t="shared" ca="1" si="896"/>
        <v>-8.1883354735388512</v>
      </c>
      <c r="AM171" s="117">
        <f t="shared" ref="AM171:BR171" ca="1" si="898">-MIN(AM169,AM189)</f>
        <v>-10.822353846931001</v>
      </c>
      <c r="AN171" s="117">
        <f t="shared" ca="1" si="898"/>
        <v>-2.1051527201893592</v>
      </c>
      <c r="AO171" s="117">
        <f t="shared" ca="1" si="898"/>
        <v>0</v>
      </c>
      <c r="AP171" s="117">
        <f t="shared" ca="1" si="898"/>
        <v>-8.9469664902822164</v>
      </c>
      <c r="AQ171" s="117">
        <f t="shared" ca="1" si="898"/>
        <v>-11.491443005428549</v>
      </c>
      <c r="AR171" s="117">
        <f t="shared" ca="1" si="898"/>
        <v>-2.5837053888740957</v>
      </c>
      <c r="AS171" s="117">
        <f t="shared" ca="1" si="898"/>
        <v>0</v>
      </c>
      <c r="AT171" s="117">
        <f t="shared" ca="1" si="898"/>
        <v>-9.5426021697637982</v>
      </c>
      <c r="AU171" s="117">
        <f t="shared" ca="1" si="898"/>
        <v>-12.296511622205035</v>
      </c>
      <c r="AV171" s="117">
        <f t="shared" ca="1" si="898"/>
        <v>-3.2499255597929295</v>
      </c>
      <c r="AW171" s="117">
        <f t="shared" ca="1" si="898"/>
        <v>-0.52808639175176531</v>
      </c>
      <c r="AX171" s="117">
        <f t="shared" ca="1" si="898"/>
        <v>-10.386231757285758</v>
      </c>
      <c r="AY171" s="117">
        <f t="shared" ca="1" si="898"/>
        <v>-13.213111840368256</v>
      </c>
      <c r="AZ171" s="117">
        <f t="shared" ca="1" si="898"/>
        <v>-3.9688303561030889</v>
      </c>
      <c r="BA171" s="117">
        <f t="shared" ca="1" si="898"/>
        <v>-1.1946065147363232</v>
      </c>
      <c r="BB171" s="117">
        <f t="shared" ca="1" si="898"/>
        <v>-11.289238186994364</v>
      </c>
      <c r="BC171" s="117">
        <f t="shared" ca="1" si="898"/>
        <v>-13.788687275993283</v>
      </c>
      <c r="BD171" s="117">
        <f t="shared" ca="1" si="898"/>
        <v>-4.3440007075979601</v>
      </c>
      <c r="BE171" s="117">
        <f t="shared" ca="1" si="898"/>
        <v>-1.5543786974208231</v>
      </c>
      <c r="BF171" s="117">
        <f t="shared" ca="1" si="898"/>
        <v>-11.724384884991778</v>
      </c>
      <c r="BG171" s="117">
        <f t="shared" ca="1" si="898"/>
        <v>-14.651277942861331</v>
      </c>
      <c r="BH171" s="117">
        <f t="shared" ca="1" si="898"/>
        <v>-5.1431567593236451</v>
      </c>
      <c r="BI171" s="117">
        <f t="shared" ca="1" si="898"/>
        <v>-2.3004658560796862</v>
      </c>
      <c r="BJ171" s="117">
        <f t="shared" ca="1" si="898"/>
        <v>-12.715000872078928</v>
      </c>
      <c r="BK171" s="117">
        <f t="shared" ca="1" si="898"/>
        <v>-15.720370358115625</v>
      </c>
      <c r="BL171" s="117">
        <f t="shared" ca="1" si="898"/>
        <v>-6.0055219085405263</v>
      </c>
      <c r="BM171" s="117">
        <f t="shared" ca="1" si="898"/>
        <v>-3.1092581289812031</v>
      </c>
      <c r="BN171" s="117">
        <f t="shared" ca="1" si="898"/>
        <v>-13.77465929677148</v>
      </c>
      <c r="BO171" s="117">
        <f t="shared" ca="1" si="898"/>
        <v>-16.861043254478837</v>
      </c>
      <c r="BP171" s="117">
        <f t="shared" ca="1" si="898"/>
        <v>-6.935471967096273</v>
      </c>
      <c r="BQ171" s="117">
        <f t="shared" ca="1" si="898"/>
        <v>-3.9851666319913157</v>
      </c>
      <c r="BR171" s="117">
        <f t="shared" ca="1" si="898"/>
        <v>-14.907964340174106</v>
      </c>
      <c r="BS171" s="117">
        <f t="shared" ref="BS171:CX171" ca="1" si="899">-MIN(BS169,BS189)</f>
        <v>-18.078007450175718</v>
      </c>
      <c r="BT171" s="117">
        <f t="shared" ca="1" si="899"/>
        <v>-7.9376752215348088</v>
      </c>
      <c r="BU171" s="117">
        <f t="shared" ca="1" si="899"/>
        <v>-4.9328988523402222</v>
      </c>
      <c r="BV171" s="117">
        <f t="shared" ca="1" si="899"/>
        <v>-16.119824121708589</v>
      </c>
      <c r="BW171" s="117">
        <f t="shared" ca="1" si="899"/>
        <v>-19.376283335639972</v>
      </c>
      <c r="BX171" s="117">
        <f t="shared" ca="1" si="899"/>
        <v>-9.0171117923536652</v>
      </c>
      <c r="BY171" s="117">
        <f t="shared" ca="1" si="899"/>
        <v>-5.9574783008166117</v>
      </c>
      <c r="BZ171" s="117">
        <f t="shared" ca="1" si="899"/>
        <v>-17.415470731754347</v>
      </c>
      <c r="CA171" s="117">
        <f t="shared" ca="1" si="899"/>
        <v>-20.761221245566766</v>
      </c>
      <c r="CB171" s="117">
        <f t="shared" ca="1" si="899"/>
        <v>-10.179094271460603</v>
      </c>
      <c r="CC171" s="117">
        <f t="shared" ca="1" si="899"/>
        <v>-7.064265462310189</v>
      </c>
      <c r="CD171" s="117">
        <f t="shared" ca="1" si="899"/>
        <v>-18.80048158501106</v>
      </c>
      <c r="CE171" s="117">
        <f t="shared" ca="1" si="899"/>
        <v>-21.617881797983056</v>
      </c>
      <c r="CF171" s="117">
        <f t="shared" ca="1" si="899"/>
        <v>-10.810468276288161</v>
      </c>
      <c r="CG171" s="117">
        <f t="shared" ca="1" si="899"/>
        <v>-7.6980009143659851</v>
      </c>
      <c r="CH171" s="117">
        <f t="shared" ca="1" si="899"/>
        <v>-19.4621322158462</v>
      </c>
      <c r="CI171" s="117">
        <f t="shared" ca="1" si="899"/>
        <v>-22.913982380963134</v>
      </c>
      <c r="CJ171" s="117">
        <f t="shared" ca="1" si="899"/>
        <v>-12.094259882759362</v>
      </c>
      <c r="CK171" s="117">
        <f t="shared" ca="1" si="899"/>
        <v>-8.9266633640420956</v>
      </c>
      <c r="CL171" s="117">
        <f t="shared" ca="1" si="899"/>
        <v>-20.977343397389976</v>
      </c>
      <c r="CM171" s="117">
        <f t="shared" ca="1" si="899"/>
        <v>-24.525239560411602</v>
      </c>
      <c r="CN171" s="117">
        <f t="shared" ca="1" si="899"/>
        <v>-13.474298821404233</v>
      </c>
      <c r="CO171" s="117">
        <f t="shared" ca="1" si="899"/>
        <v>-10.251373010923775</v>
      </c>
      <c r="CP171" s="117">
        <f t="shared" ca="1" si="899"/>
        <v>-22.59626023027969</v>
      </c>
      <c r="CQ171" s="117">
        <f t="shared" ca="1" si="899"/>
        <v>-26.243506163784389</v>
      </c>
      <c r="CR171" s="117">
        <f t="shared" ca="1" si="899"/>
        <v>-14.957157877494213</v>
      </c>
      <c r="CS171" s="117">
        <f t="shared" ca="1" si="899"/>
        <v>-11.678768038901808</v>
      </c>
      <c r="CT171" s="117">
        <f t="shared" ca="1" si="899"/>
        <v>-24.325767776924188</v>
      </c>
      <c r="CU171" s="270">
        <f t="shared" ca="1" si="899"/>
        <v>-28.075815335455303</v>
      </c>
      <c r="CV171" s="117">
        <f t="shared" ca="1" si="899"/>
        <v>0</v>
      </c>
      <c r="CW171" s="117">
        <f t="shared" ca="1" si="899"/>
        <v>0</v>
      </c>
      <c r="CX171" s="117">
        <f t="shared" ca="1" si="899"/>
        <v>0</v>
      </c>
      <c r="CY171" s="117">
        <f t="shared" ref="CY171:ED171" ca="1" si="900">-MIN(CY169,CY189)</f>
        <v>0</v>
      </c>
      <c r="CZ171" s="117">
        <f t="shared" ca="1" si="900"/>
        <v>0</v>
      </c>
      <c r="DA171" s="117">
        <f t="shared" ca="1" si="900"/>
        <v>0</v>
      </c>
      <c r="DB171" s="117">
        <f t="shared" ca="1" si="900"/>
        <v>0</v>
      </c>
      <c r="DC171" s="117">
        <f t="shared" ca="1" si="900"/>
        <v>0</v>
      </c>
      <c r="DD171" s="117">
        <f t="shared" ca="1" si="900"/>
        <v>0</v>
      </c>
      <c r="DE171" s="117">
        <f t="shared" ca="1" si="900"/>
        <v>0</v>
      </c>
      <c r="DF171" s="117">
        <f t="shared" ca="1" si="900"/>
        <v>0</v>
      </c>
      <c r="DG171" s="117">
        <f t="shared" ca="1" si="900"/>
        <v>0</v>
      </c>
      <c r="DH171" s="117">
        <f t="shared" ca="1" si="900"/>
        <v>0</v>
      </c>
      <c r="DI171" s="117">
        <f t="shared" ca="1" si="900"/>
        <v>0</v>
      </c>
      <c r="DJ171" s="117">
        <f t="shared" ca="1" si="900"/>
        <v>0</v>
      </c>
      <c r="DK171" s="117">
        <f t="shared" ca="1" si="900"/>
        <v>0</v>
      </c>
      <c r="DL171" s="117">
        <f t="shared" ca="1" si="900"/>
        <v>0</v>
      </c>
      <c r="DM171" s="117">
        <f t="shared" ca="1" si="900"/>
        <v>0</v>
      </c>
      <c r="DN171" s="117">
        <f t="shared" ca="1" si="900"/>
        <v>0</v>
      </c>
      <c r="DO171" s="117">
        <f t="shared" ca="1" si="900"/>
        <v>0</v>
      </c>
      <c r="DP171" s="117">
        <f t="shared" ca="1" si="900"/>
        <v>0</v>
      </c>
      <c r="DQ171" s="117">
        <f t="shared" ca="1" si="900"/>
        <v>0</v>
      </c>
      <c r="DR171" s="117">
        <f t="shared" ca="1" si="900"/>
        <v>0</v>
      </c>
      <c r="DS171" s="117">
        <f t="shared" ca="1" si="900"/>
        <v>0</v>
      </c>
      <c r="DT171" s="117">
        <f t="shared" ca="1" si="900"/>
        <v>0</v>
      </c>
      <c r="DU171" s="117">
        <f t="shared" ca="1" si="900"/>
        <v>0</v>
      </c>
      <c r="DV171" s="117">
        <f t="shared" ca="1" si="900"/>
        <v>0</v>
      </c>
      <c r="DW171" s="117">
        <f t="shared" ca="1" si="900"/>
        <v>0</v>
      </c>
      <c r="DX171" s="117">
        <f t="shared" ca="1" si="900"/>
        <v>0</v>
      </c>
      <c r="DY171" s="117">
        <f t="shared" ca="1" si="900"/>
        <v>0</v>
      </c>
      <c r="DZ171" s="117">
        <f t="shared" ca="1" si="900"/>
        <v>0</v>
      </c>
      <c r="EA171" s="117">
        <f t="shared" ca="1" si="900"/>
        <v>0</v>
      </c>
      <c r="EB171" s="117">
        <f t="shared" ca="1" si="900"/>
        <v>0</v>
      </c>
      <c r="EC171" s="117">
        <f t="shared" ca="1" si="900"/>
        <v>0</v>
      </c>
      <c r="ED171" s="117">
        <f t="shared" ca="1" si="900"/>
        <v>0</v>
      </c>
      <c r="EE171" s="117">
        <f t="shared" ref="EE171:FA171" ca="1" si="901">-MIN(EE169,EE189)</f>
        <v>0</v>
      </c>
      <c r="EF171" s="117">
        <f t="shared" ca="1" si="901"/>
        <v>0</v>
      </c>
      <c r="EG171" s="117">
        <f t="shared" ca="1" si="901"/>
        <v>0</v>
      </c>
      <c r="EH171" s="117">
        <f t="shared" ca="1" si="901"/>
        <v>0</v>
      </c>
      <c r="EI171" s="117">
        <f t="shared" ca="1" si="901"/>
        <v>0</v>
      </c>
      <c r="EJ171" s="117">
        <f t="shared" ca="1" si="901"/>
        <v>0</v>
      </c>
      <c r="EK171" s="117">
        <f t="shared" ca="1" si="901"/>
        <v>0</v>
      </c>
      <c r="EL171" s="117">
        <f t="shared" ca="1" si="901"/>
        <v>0</v>
      </c>
      <c r="EM171" s="117">
        <f t="shared" ca="1" si="901"/>
        <v>0</v>
      </c>
      <c r="EN171" s="117">
        <f t="shared" ca="1" si="901"/>
        <v>0</v>
      </c>
      <c r="EO171" s="117">
        <f t="shared" ca="1" si="901"/>
        <v>0</v>
      </c>
      <c r="EP171" s="117">
        <f t="shared" ca="1" si="901"/>
        <v>0</v>
      </c>
      <c r="EQ171" s="117">
        <f t="shared" ca="1" si="901"/>
        <v>0</v>
      </c>
      <c r="ER171" s="117">
        <f t="shared" ca="1" si="901"/>
        <v>0</v>
      </c>
      <c r="ES171" s="117">
        <f t="shared" ca="1" si="901"/>
        <v>0</v>
      </c>
      <c r="ET171" s="117">
        <f t="shared" ca="1" si="901"/>
        <v>0</v>
      </c>
      <c r="EU171" s="117">
        <f t="shared" ca="1" si="901"/>
        <v>0</v>
      </c>
      <c r="EV171" s="117">
        <f t="shared" ca="1" si="901"/>
        <v>0</v>
      </c>
      <c r="EW171" s="117">
        <f t="shared" ca="1" si="901"/>
        <v>0</v>
      </c>
      <c r="EX171" s="117">
        <f t="shared" ca="1" si="901"/>
        <v>0</v>
      </c>
      <c r="EY171" s="117">
        <f t="shared" ca="1" si="901"/>
        <v>0</v>
      </c>
      <c r="EZ171" s="117">
        <f t="shared" ca="1" si="901"/>
        <v>0</v>
      </c>
      <c r="FA171" s="117">
        <f t="shared" ca="1" si="901"/>
        <v>0</v>
      </c>
    </row>
    <row r="172" spans="3:157" outlineLevel="1" x14ac:dyDescent="0.2">
      <c r="C172" s="56" t="s">
        <v>19</v>
      </c>
      <c r="D172" s="21" t="s">
        <v>126</v>
      </c>
      <c r="E172" s="5"/>
      <c r="F172" s="122">
        <v>0</v>
      </c>
      <c r="G172" s="106">
        <f t="shared" ref="G172:V172" ca="1" si="902">SUM(G169:G171)</f>
        <v>0</v>
      </c>
      <c r="H172" s="106">
        <f t="shared" ca="1" si="902"/>
        <v>0</v>
      </c>
      <c r="I172" s="106">
        <f t="shared" ca="1" si="902"/>
        <v>0</v>
      </c>
      <c r="J172" s="106">
        <f t="shared" ca="1" si="902"/>
        <v>0</v>
      </c>
      <c r="K172" s="106">
        <f t="shared" ca="1" si="902"/>
        <v>0</v>
      </c>
      <c r="L172" s="106">
        <f t="shared" ca="1" si="902"/>
        <v>0</v>
      </c>
      <c r="M172" s="106">
        <f t="shared" ca="1" si="902"/>
        <v>0</v>
      </c>
      <c r="N172" s="106">
        <f t="shared" ca="1" si="902"/>
        <v>0</v>
      </c>
      <c r="O172" s="106">
        <f t="shared" ca="1" si="902"/>
        <v>0</v>
      </c>
      <c r="P172" s="106">
        <f t="shared" ca="1" si="902"/>
        <v>0</v>
      </c>
      <c r="Q172" s="106">
        <f t="shared" ca="1" si="902"/>
        <v>0</v>
      </c>
      <c r="R172" s="106">
        <f t="shared" ca="1" si="902"/>
        <v>0</v>
      </c>
      <c r="S172" s="106">
        <f t="shared" ca="1" si="902"/>
        <v>0</v>
      </c>
      <c r="T172" s="106">
        <f t="shared" ca="1" si="902"/>
        <v>0</v>
      </c>
      <c r="U172" s="106">
        <f t="shared" ca="1" si="902"/>
        <v>0</v>
      </c>
      <c r="V172" s="106">
        <f t="shared" ca="1" si="902"/>
        <v>0</v>
      </c>
      <c r="W172" s="106">
        <f ca="1">SUM(W169:W171)</f>
        <v>785.831467674142</v>
      </c>
      <c r="X172" s="106">
        <f t="shared" ref="X172:CI172" ca="1" si="903">SUM(X169:X171)</f>
        <v>785.70575023312574</v>
      </c>
      <c r="Y172" s="106">
        <f t="shared" ca="1" si="903"/>
        <v>785.70575023312574</v>
      </c>
      <c r="Z172" s="106">
        <f t="shared" ca="1" si="903"/>
        <v>779.29313413703858</v>
      </c>
      <c r="AA172" s="106">
        <f t="shared" ca="1" si="903"/>
        <v>770.41415833782742</v>
      </c>
      <c r="AB172" s="106">
        <f t="shared" ca="1" si="903"/>
        <v>769.78325512047957</v>
      </c>
      <c r="AC172" s="106">
        <f t="shared" ca="1" si="903"/>
        <v>769.78325512047957</v>
      </c>
      <c r="AD172" s="106">
        <f t="shared" ca="1" si="903"/>
        <v>762.71358270482517</v>
      </c>
      <c r="AE172" s="106">
        <f t="shared" ca="1" si="903"/>
        <v>753.11298975027944</v>
      </c>
      <c r="AF172" s="106">
        <f t="shared" ca="1" si="903"/>
        <v>751.94167834507095</v>
      </c>
      <c r="AG172" s="106">
        <f t="shared" ca="1" si="903"/>
        <v>751.94167834507095</v>
      </c>
      <c r="AH172" s="106">
        <f t="shared" ca="1" si="903"/>
        <v>744.17587525300996</v>
      </c>
      <c r="AI172" s="106">
        <f t="shared" ca="1" si="903"/>
        <v>734.05398350716564</v>
      </c>
      <c r="AJ172" s="106">
        <f t="shared" ca="1" si="903"/>
        <v>732.54564814938306</v>
      </c>
      <c r="AK172" s="106">
        <f t="shared" ca="1" si="903"/>
        <v>732.54564814938306</v>
      </c>
      <c r="AL172" s="106">
        <f t="shared" ca="1" si="903"/>
        <v>724.35731267584424</v>
      </c>
      <c r="AM172" s="106">
        <f t="shared" ca="1" si="903"/>
        <v>713.5349588289132</v>
      </c>
      <c r="AN172" s="106">
        <f t="shared" ca="1" si="903"/>
        <v>711.42980610872382</v>
      </c>
      <c r="AO172" s="106">
        <f t="shared" ca="1" si="903"/>
        <v>711.42980610872382</v>
      </c>
      <c r="AP172" s="106">
        <f t="shared" ca="1" si="903"/>
        <v>702.48283961844163</v>
      </c>
      <c r="AQ172" s="106">
        <f t="shared" ca="1" si="903"/>
        <v>690.99139661301308</v>
      </c>
      <c r="AR172" s="106">
        <f t="shared" ca="1" si="903"/>
        <v>688.40769122413894</v>
      </c>
      <c r="AS172" s="106">
        <f t="shared" ca="1" si="903"/>
        <v>688.40769122413894</v>
      </c>
      <c r="AT172" s="106">
        <f t="shared" ca="1" si="903"/>
        <v>678.86508905437518</v>
      </c>
      <c r="AU172" s="106">
        <f t="shared" ca="1" si="903"/>
        <v>666.56857743217017</v>
      </c>
      <c r="AV172" s="106">
        <f t="shared" ca="1" si="903"/>
        <v>663.31865187237725</v>
      </c>
      <c r="AW172" s="106">
        <f t="shared" ca="1" si="903"/>
        <v>662.79056548062545</v>
      </c>
      <c r="AX172" s="106">
        <f t="shared" ca="1" si="903"/>
        <v>652.40433372333973</v>
      </c>
      <c r="AY172" s="106">
        <f t="shared" ca="1" si="903"/>
        <v>639.19122188297149</v>
      </c>
      <c r="AZ172" s="106">
        <f t="shared" ca="1" si="903"/>
        <v>635.22239152686836</v>
      </c>
      <c r="BA172" s="106">
        <f t="shared" ca="1" si="903"/>
        <v>634.02778501213209</v>
      </c>
      <c r="BB172" s="106">
        <f t="shared" ca="1" si="903"/>
        <v>622.73854682513775</v>
      </c>
      <c r="BC172" s="106">
        <f t="shared" ca="1" si="903"/>
        <v>608.94985954914443</v>
      </c>
      <c r="BD172" s="106">
        <f t="shared" ca="1" si="903"/>
        <v>604.60585884154648</v>
      </c>
      <c r="BE172" s="106">
        <f t="shared" ca="1" si="903"/>
        <v>603.05148014412566</v>
      </c>
      <c r="BF172" s="106">
        <f t="shared" ca="1" si="903"/>
        <v>591.3270952591339</v>
      </c>
      <c r="BG172" s="106">
        <f t="shared" ca="1" si="903"/>
        <v>576.67581731627251</v>
      </c>
      <c r="BH172" s="106">
        <f t="shared" ca="1" si="903"/>
        <v>571.53266055694883</v>
      </c>
      <c r="BI172" s="106">
        <f t="shared" ca="1" si="903"/>
        <v>569.23219470086917</v>
      </c>
      <c r="BJ172" s="106">
        <f t="shared" ca="1" si="903"/>
        <v>556.51719382879025</v>
      </c>
      <c r="BK172" s="106">
        <f t="shared" ca="1" si="903"/>
        <v>540.79682347067467</v>
      </c>
      <c r="BL172" s="106">
        <f t="shared" ca="1" si="903"/>
        <v>534.79130156213409</v>
      </c>
      <c r="BM172" s="106">
        <f t="shared" ca="1" si="903"/>
        <v>531.6820434331529</v>
      </c>
      <c r="BN172" s="106">
        <f t="shared" ca="1" si="903"/>
        <v>517.90738413638144</v>
      </c>
      <c r="BO172" s="106">
        <f t="shared" ca="1" si="903"/>
        <v>501.04634088190261</v>
      </c>
      <c r="BP172" s="106">
        <f t="shared" ca="1" si="903"/>
        <v>494.11086891480636</v>
      </c>
      <c r="BQ172" s="106">
        <f t="shared" ca="1" si="903"/>
        <v>490.12570228281504</v>
      </c>
      <c r="BR172" s="106">
        <f t="shared" ca="1" si="903"/>
        <v>475.21773794264095</v>
      </c>
      <c r="BS172" s="106">
        <f t="shared" ca="1" si="903"/>
        <v>457.13973049246522</v>
      </c>
      <c r="BT172" s="106">
        <f t="shared" ca="1" si="903"/>
        <v>449.20205527093043</v>
      </c>
      <c r="BU172" s="106">
        <f t="shared" ca="1" si="903"/>
        <v>444.26915641859023</v>
      </c>
      <c r="BV172" s="106">
        <f t="shared" ca="1" si="903"/>
        <v>428.14933229688165</v>
      </c>
      <c r="BW172" s="106">
        <f t="shared" ca="1" si="903"/>
        <v>408.77304896124167</v>
      </c>
      <c r="BX172" s="106">
        <f t="shared" ca="1" si="903"/>
        <v>399.75593716888801</v>
      </c>
      <c r="BY172" s="106">
        <f t="shared" ca="1" si="903"/>
        <v>393.79845886807141</v>
      </c>
      <c r="BZ172" s="106">
        <f t="shared" ca="1" si="903"/>
        <v>376.38298813631707</v>
      </c>
      <c r="CA172" s="106">
        <f t="shared" ca="1" si="903"/>
        <v>355.62176689075028</v>
      </c>
      <c r="CB172" s="106">
        <f t="shared" ca="1" si="903"/>
        <v>345.44267261928968</v>
      </c>
      <c r="CC172" s="106">
        <f t="shared" ca="1" si="903"/>
        <v>338.37840715697951</v>
      </c>
      <c r="CD172" s="106">
        <f t="shared" ca="1" si="903"/>
        <v>319.57792557196842</v>
      </c>
      <c r="CE172" s="106">
        <f t="shared" ca="1" si="903"/>
        <v>297.96004377398538</v>
      </c>
      <c r="CF172" s="106">
        <f t="shared" ca="1" si="903"/>
        <v>287.14957549769724</v>
      </c>
      <c r="CG172" s="106">
        <f t="shared" ca="1" si="903"/>
        <v>279.45157458333125</v>
      </c>
      <c r="CH172" s="106">
        <f t="shared" ca="1" si="903"/>
        <v>259.98944236748503</v>
      </c>
      <c r="CI172" s="106">
        <f t="shared" ca="1" si="903"/>
        <v>237.07545998652188</v>
      </c>
      <c r="CJ172" s="106">
        <f t="shared" ref="CJ172:EU172" ca="1" si="904">SUM(CJ169:CJ171)</f>
        <v>224.98120010376252</v>
      </c>
      <c r="CK172" s="106">
        <f t="shared" ca="1" si="904"/>
        <v>216.05453673972042</v>
      </c>
      <c r="CL172" s="106">
        <f t="shared" ca="1" si="904"/>
        <v>195.07719334233045</v>
      </c>
      <c r="CM172" s="106">
        <f t="shared" ca="1" si="904"/>
        <v>170.55195378191885</v>
      </c>
      <c r="CN172" s="106">
        <f t="shared" ca="1" si="904"/>
        <v>157.07765496051462</v>
      </c>
      <c r="CO172" s="106">
        <f t="shared" ca="1" si="904"/>
        <v>146.82628194959085</v>
      </c>
      <c r="CP172" s="106">
        <f t="shared" ca="1" si="904"/>
        <v>124.23002171931117</v>
      </c>
      <c r="CQ172" s="106">
        <f t="shared" ca="1" si="904"/>
        <v>97.986515555526779</v>
      </c>
      <c r="CR172" s="106">
        <f t="shared" ca="1" si="904"/>
        <v>83.029357678032568</v>
      </c>
      <c r="CS172" s="106">
        <f t="shared" ca="1" si="904"/>
        <v>71.35058963913076</v>
      </c>
      <c r="CT172" s="106">
        <f t="shared" ca="1" si="904"/>
        <v>47.024821862206572</v>
      </c>
      <c r="CU172" s="259">
        <f t="shared" ca="1" si="904"/>
        <v>18.949006526751269</v>
      </c>
      <c r="CV172" s="106">
        <f t="shared" ca="1" si="904"/>
        <v>0</v>
      </c>
      <c r="CW172" s="106">
        <f t="shared" ca="1" si="904"/>
        <v>0</v>
      </c>
      <c r="CX172" s="106">
        <f t="shared" ca="1" si="904"/>
        <v>0</v>
      </c>
      <c r="CY172" s="106">
        <f t="shared" ca="1" si="904"/>
        <v>0</v>
      </c>
      <c r="CZ172" s="106">
        <f t="shared" ca="1" si="904"/>
        <v>0</v>
      </c>
      <c r="DA172" s="106">
        <f t="shared" ca="1" si="904"/>
        <v>0</v>
      </c>
      <c r="DB172" s="106">
        <f t="shared" ca="1" si="904"/>
        <v>0</v>
      </c>
      <c r="DC172" s="106">
        <f t="shared" ca="1" si="904"/>
        <v>0</v>
      </c>
      <c r="DD172" s="106">
        <f t="shared" ca="1" si="904"/>
        <v>0</v>
      </c>
      <c r="DE172" s="106">
        <f t="shared" ca="1" si="904"/>
        <v>0</v>
      </c>
      <c r="DF172" s="106">
        <f t="shared" ca="1" si="904"/>
        <v>0</v>
      </c>
      <c r="DG172" s="106">
        <f t="shared" ca="1" si="904"/>
        <v>0</v>
      </c>
      <c r="DH172" s="106">
        <f t="shared" ca="1" si="904"/>
        <v>0</v>
      </c>
      <c r="DI172" s="106">
        <f t="shared" ca="1" si="904"/>
        <v>0</v>
      </c>
      <c r="DJ172" s="106">
        <f t="shared" ca="1" si="904"/>
        <v>0</v>
      </c>
      <c r="DK172" s="106">
        <f t="shared" ca="1" si="904"/>
        <v>0</v>
      </c>
      <c r="DL172" s="106">
        <f t="shared" ca="1" si="904"/>
        <v>0</v>
      </c>
      <c r="DM172" s="106">
        <f t="shared" ca="1" si="904"/>
        <v>0</v>
      </c>
      <c r="DN172" s="106">
        <f t="shared" ca="1" si="904"/>
        <v>0</v>
      </c>
      <c r="DO172" s="106">
        <f t="shared" ca="1" si="904"/>
        <v>0</v>
      </c>
      <c r="DP172" s="106">
        <f t="shared" ca="1" si="904"/>
        <v>0</v>
      </c>
      <c r="DQ172" s="106">
        <f t="shared" ca="1" si="904"/>
        <v>0</v>
      </c>
      <c r="DR172" s="106">
        <f t="shared" ca="1" si="904"/>
        <v>0</v>
      </c>
      <c r="DS172" s="106">
        <f t="shared" ca="1" si="904"/>
        <v>0</v>
      </c>
      <c r="DT172" s="106">
        <f t="shared" ca="1" si="904"/>
        <v>0</v>
      </c>
      <c r="DU172" s="106">
        <f t="shared" ca="1" si="904"/>
        <v>0</v>
      </c>
      <c r="DV172" s="106">
        <f t="shared" ca="1" si="904"/>
        <v>0</v>
      </c>
      <c r="DW172" s="106">
        <f t="shared" ca="1" si="904"/>
        <v>0</v>
      </c>
      <c r="DX172" s="106">
        <f t="shared" ca="1" si="904"/>
        <v>0</v>
      </c>
      <c r="DY172" s="106">
        <f t="shared" ca="1" si="904"/>
        <v>0</v>
      </c>
      <c r="DZ172" s="106">
        <f t="shared" ca="1" si="904"/>
        <v>0</v>
      </c>
      <c r="EA172" s="106">
        <f t="shared" ca="1" si="904"/>
        <v>0</v>
      </c>
      <c r="EB172" s="106">
        <f t="shared" ca="1" si="904"/>
        <v>0</v>
      </c>
      <c r="EC172" s="106">
        <f t="shared" ca="1" si="904"/>
        <v>0</v>
      </c>
      <c r="ED172" s="106">
        <f t="shared" ca="1" si="904"/>
        <v>0</v>
      </c>
      <c r="EE172" s="106">
        <f t="shared" ca="1" si="904"/>
        <v>0</v>
      </c>
      <c r="EF172" s="106">
        <f t="shared" ca="1" si="904"/>
        <v>0</v>
      </c>
      <c r="EG172" s="106">
        <f t="shared" ca="1" si="904"/>
        <v>0</v>
      </c>
      <c r="EH172" s="106">
        <f t="shared" ca="1" si="904"/>
        <v>0</v>
      </c>
      <c r="EI172" s="106">
        <f t="shared" ca="1" si="904"/>
        <v>0</v>
      </c>
      <c r="EJ172" s="106">
        <f t="shared" ca="1" si="904"/>
        <v>0</v>
      </c>
      <c r="EK172" s="106">
        <f t="shared" ca="1" si="904"/>
        <v>0</v>
      </c>
      <c r="EL172" s="106">
        <f t="shared" ca="1" si="904"/>
        <v>0</v>
      </c>
      <c r="EM172" s="106">
        <f t="shared" ca="1" si="904"/>
        <v>0</v>
      </c>
      <c r="EN172" s="106">
        <f t="shared" ca="1" si="904"/>
        <v>0</v>
      </c>
      <c r="EO172" s="106">
        <f t="shared" ca="1" si="904"/>
        <v>0</v>
      </c>
      <c r="EP172" s="106">
        <f t="shared" ca="1" si="904"/>
        <v>0</v>
      </c>
      <c r="EQ172" s="106">
        <f t="shared" ca="1" si="904"/>
        <v>0</v>
      </c>
      <c r="ER172" s="106">
        <f t="shared" ca="1" si="904"/>
        <v>0</v>
      </c>
      <c r="ES172" s="106">
        <f t="shared" ca="1" si="904"/>
        <v>0</v>
      </c>
      <c r="ET172" s="106">
        <f t="shared" ca="1" si="904"/>
        <v>0</v>
      </c>
      <c r="EU172" s="106">
        <f t="shared" ca="1" si="904"/>
        <v>0</v>
      </c>
      <c r="EV172" s="106">
        <f t="shared" ref="EV172:FA172" ca="1" si="905">SUM(EV169:EV171)</f>
        <v>0</v>
      </c>
      <c r="EW172" s="106">
        <f t="shared" ca="1" si="905"/>
        <v>0</v>
      </c>
      <c r="EX172" s="106">
        <f t="shared" ca="1" si="905"/>
        <v>0</v>
      </c>
      <c r="EY172" s="106">
        <f t="shared" ca="1" si="905"/>
        <v>0</v>
      </c>
      <c r="EZ172" s="106">
        <f t="shared" ca="1" si="905"/>
        <v>0</v>
      </c>
      <c r="FA172" s="106">
        <f t="shared" ca="1" si="905"/>
        <v>0</v>
      </c>
    </row>
    <row r="173" spans="3:157" outlineLevel="1" x14ac:dyDescent="0.2">
      <c r="C173" s="56"/>
      <c r="D173" s="45"/>
      <c r="E173" s="45"/>
      <c r="F173" s="45"/>
    </row>
    <row r="174" spans="3:157" outlineLevel="1" x14ac:dyDescent="0.2">
      <c r="C174" t="s">
        <v>90</v>
      </c>
      <c r="D174" s="21" t="s">
        <v>126</v>
      </c>
      <c r="E174" s="119">
        <f ca="1">XNPV(Weighted_Avg_Interest,OFFSET(IRR_Revenue_Model!X110,0,0,1,Quarters_in_Year*Debt_Tenor),OFFSET(IRR_Revenue_Model!X154,0,0,1,Quarters_in_Year*Debt_Tenor))</f>
        <v>1964.578669185355</v>
      </c>
      <c r="F174" s="21"/>
      <c r="N174" s="37"/>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c r="CQ174" s="51"/>
      <c r="CR174" s="51"/>
      <c r="CS174" s="51"/>
      <c r="CT174" s="51"/>
      <c r="CU174" s="271"/>
      <c r="CV174" s="51"/>
      <c r="CW174" s="51"/>
      <c r="CX174" s="51"/>
      <c r="CY174" s="51"/>
      <c r="CZ174" s="51"/>
      <c r="DA174" s="51"/>
      <c r="DB174" s="51"/>
      <c r="DC174" s="51"/>
      <c r="DD174" s="51"/>
      <c r="DE174" s="51"/>
      <c r="DF174" s="51"/>
      <c r="DG174" s="51"/>
      <c r="DH174" s="51"/>
      <c r="DI174" s="51"/>
      <c r="DJ174" s="51"/>
      <c r="DK174" s="51"/>
      <c r="DL174" s="51"/>
      <c r="DM174" s="51"/>
      <c r="DN174" s="51"/>
      <c r="DO174" s="51"/>
      <c r="DP174" s="51"/>
      <c r="DQ174" s="51"/>
      <c r="DR174" s="51"/>
      <c r="DS174" s="51"/>
      <c r="DT174" s="51"/>
      <c r="DU174" s="51"/>
      <c r="DV174" s="51"/>
      <c r="DW174" s="51"/>
      <c r="DX174" s="51"/>
      <c r="DY174" s="51"/>
      <c r="DZ174" s="51"/>
      <c r="EA174" s="51"/>
      <c r="EB174" s="51"/>
      <c r="EC174" s="51"/>
      <c r="ED174" s="51"/>
      <c r="EE174" s="51"/>
      <c r="EF174" s="51"/>
      <c r="EG174" s="51"/>
      <c r="EH174" s="51"/>
      <c r="EI174" s="51"/>
      <c r="EJ174" s="51"/>
      <c r="EK174" s="51"/>
      <c r="EL174" s="51"/>
      <c r="EM174" s="51"/>
      <c r="EN174" s="51"/>
      <c r="EO174" s="51"/>
      <c r="EP174" s="51"/>
      <c r="EQ174" s="51"/>
      <c r="ER174" s="51"/>
      <c r="ES174" s="51"/>
      <c r="ET174" s="51"/>
      <c r="EU174" s="51"/>
      <c r="EV174" s="51"/>
      <c r="EW174" s="51"/>
      <c r="EX174" s="51"/>
      <c r="EY174" s="51"/>
      <c r="EZ174" s="51"/>
      <c r="FA174" s="51"/>
    </row>
    <row r="175" spans="3:157" outlineLevel="1" x14ac:dyDescent="0.2">
      <c r="C175" t="s">
        <v>134</v>
      </c>
      <c r="D175" s="21" t="s">
        <v>126</v>
      </c>
      <c r="E175" s="120">
        <f ca="1">E174*Inputs_Assumptions!E176</f>
        <v>1178.747201511213</v>
      </c>
      <c r="F175" s="2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c r="CQ175" s="51"/>
      <c r="CR175" s="51"/>
      <c r="CS175" s="51"/>
      <c r="CT175" s="51"/>
      <c r="CU175" s="271"/>
      <c r="CV175" s="51"/>
      <c r="CW175" s="51"/>
      <c r="CX175" s="51"/>
      <c r="CY175" s="51"/>
      <c r="CZ175" s="51"/>
      <c r="DA175" s="51"/>
      <c r="DB175" s="51"/>
      <c r="DC175" s="51"/>
      <c r="DD175" s="51"/>
      <c r="DE175" s="51"/>
      <c r="DF175" s="51"/>
      <c r="DG175" s="51"/>
      <c r="DH175" s="51"/>
      <c r="DI175" s="51"/>
      <c r="DJ175" s="51"/>
      <c r="DK175" s="51"/>
      <c r="DL175" s="51"/>
      <c r="DM175" s="51"/>
      <c r="DN175" s="51"/>
      <c r="DO175" s="51"/>
      <c r="DP175" s="51"/>
      <c r="DQ175" s="51"/>
      <c r="DR175" s="51"/>
      <c r="DS175" s="51"/>
      <c r="DT175" s="51"/>
      <c r="DU175" s="51"/>
      <c r="DV175" s="51"/>
      <c r="DW175" s="51"/>
      <c r="DX175" s="51"/>
      <c r="DY175" s="51"/>
      <c r="DZ175" s="51"/>
      <c r="EA175" s="51"/>
      <c r="EB175" s="51"/>
      <c r="EC175" s="51"/>
      <c r="ED175" s="51"/>
      <c r="EE175" s="51"/>
      <c r="EF175" s="51"/>
      <c r="EG175" s="51"/>
      <c r="EH175" s="51"/>
      <c r="EI175" s="51"/>
      <c r="EJ175" s="51"/>
      <c r="EK175" s="51"/>
      <c r="EL175" s="51"/>
      <c r="EM175" s="51"/>
      <c r="EN175" s="51"/>
      <c r="EO175" s="51"/>
      <c r="EP175" s="51"/>
      <c r="EQ175" s="51"/>
      <c r="ER175" s="51"/>
      <c r="ES175" s="51"/>
      <c r="ET175" s="51"/>
      <c r="EU175" s="51"/>
      <c r="EV175" s="51"/>
      <c r="EW175" s="51"/>
      <c r="EX175" s="51"/>
      <c r="EY175" s="51"/>
      <c r="EZ175" s="51"/>
      <c r="FA175" s="51"/>
    </row>
    <row r="176" spans="3:157" outlineLevel="1" x14ac:dyDescent="0.2">
      <c r="C176" t="s">
        <v>135</v>
      </c>
      <c r="D176" s="21" t="s">
        <v>126</v>
      </c>
      <c r="E176" s="120">
        <f ca="1">E174*Inputs_Assumptions!E180</f>
        <v>785.831467674142</v>
      </c>
      <c r="F176" s="2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c r="CQ176" s="51"/>
      <c r="CR176" s="51"/>
      <c r="CS176" s="51"/>
      <c r="CT176" s="51"/>
      <c r="CU176" s="271"/>
      <c r="CV176" s="51"/>
      <c r="CW176" s="51"/>
      <c r="CX176" s="51"/>
      <c r="CY176" s="51"/>
      <c r="CZ176" s="51"/>
      <c r="DA176" s="51"/>
      <c r="DB176" s="51"/>
      <c r="DC176" s="51"/>
      <c r="DD176" s="51"/>
      <c r="DE176" s="51"/>
      <c r="DF176" s="51"/>
      <c r="DG176" s="51"/>
      <c r="DH176" s="51"/>
      <c r="DI176" s="51"/>
      <c r="DJ176" s="51"/>
      <c r="DK176" s="51"/>
      <c r="DL176" s="51"/>
      <c r="DM176" s="51"/>
      <c r="DN176" s="51"/>
      <c r="DO176" s="51"/>
      <c r="DP176" s="51"/>
      <c r="DQ176" s="51"/>
      <c r="DR176" s="51"/>
      <c r="DS176" s="51"/>
      <c r="DT176" s="51"/>
      <c r="DU176" s="51"/>
      <c r="DV176" s="51"/>
      <c r="DW176" s="51"/>
      <c r="DX176" s="51"/>
      <c r="DY176" s="51"/>
      <c r="DZ176" s="51"/>
      <c r="EA176" s="51"/>
      <c r="EB176" s="51"/>
      <c r="EC176" s="51"/>
      <c r="ED176" s="51"/>
      <c r="EE176" s="51"/>
      <c r="EF176" s="51"/>
      <c r="EG176" s="51"/>
      <c r="EH176" s="51"/>
      <c r="EI176" s="51"/>
      <c r="EJ176" s="51"/>
      <c r="EK176" s="51"/>
      <c r="EL176" s="51"/>
      <c r="EM176" s="51"/>
      <c r="EN176" s="51"/>
      <c r="EO176" s="51"/>
      <c r="EP176" s="51"/>
      <c r="EQ176" s="51"/>
      <c r="ER176" s="51"/>
      <c r="ES176" s="51"/>
      <c r="ET176" s="51"/>
      <c r="EU176" s="51"/>
      <c r="EV176" s="51"/>
      <c r="EW176" s="51"/>
      <c r="EX176" s="51"/>
      <c r="EY176" s="51"/>
      <c r="EZ176" s="51"/>
      <c r="FA176" s="51"/>
    </row>
    <row r="177" spans="3:157" outlineLevel="1" x14ac:dyDescent="0.2">
      <c r="D177" s="5"/>
      <c r="E177" s="85"/>
      <c r="F177" s="5"/>
      <c r="N177" s="37"/>
      <c r="P177" s="85"/>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c r="CQ177" s="51"/>
      <c r="CR177" s="51"/>
      <c r="CS177" s="51"/>
      <c r="CT177" s="51"/>
      <c r="CU177" s="271"/>
      <c r="CV177" s="51"/>
      <c r="CW177" s="51"/>
      <c r="CX177" s="51"/>
      <c r="CY177" s="51"/>
      <c r="CZ177" s="51"/>
      <c r="DA177" s="51"/>
      <c r="DB177" s="51"/>
      <c r="DC177" s="51"/>
      <c r="DD177" s="51"/>
      <c r="DE177" s="51"/>
      <c r="DF177" s="51"/>
      <c r="DG177" s="51"/>
      <c r="DH177" s="51"/>
      <c r="DI177" s="51"/>
      <c r="DJ177" s="51"/>
      <c r="DK177" s="51"/>
      <c r="DL177" s="51"/>
      <c r="DM177" s="51"/>
      <c r="DN177" s="51"/>
      <c r="DO177" s="51"/>
      <c r="DP177" s="51"/>
      <c r="DQ177" s="51"/>
      <c r="DR177" s="51"/>
      <c r="DS177" s="51"/>
      <c r="DT177" s="51"/>
      <c r="DU177" s="51"/>
      <c r="DV177" s="51"/>
      <c r="DW177" s="51"/>
      <c r="DX177" s="51"/>
      <c r="DY177" s="51"/>
      <c r="DZ177" s="51"/>
      <c r="EA177" s="51"/>
      <c r="EB177" s="51"/>
      <c r="EC177" s="51"/>
      <c r="ED177" s="51"/>
      <c r="EE177" s="51"/>
      <c r="EF177" s="51"/>
      <c r="EG177" s="51"/>
      <c r="EH177" s="51"/>
      <c r="EI177" s="51"/>
      <c r="EJ177" s="51"/>
      <c r="EK177" s="51"/>
      <c r="EL177" s="51"/>
      <c r="EM177" s="51"/>
      <c r="EN177" s="51"/>
      <c r="EO177" s="51"/>
      <c r="EP177" s="51"/>
      <c r="EQ177" s="51"/>
      <c r="ER177" s="51"/>
      <c r="ES177" s="51"/>
      <c r="ET177" s="51"/>
      <c r="EU177" s="51"/>
      <c r="EV177" s="51"/>
      <c r="EW177" s="51"/>
      <c r="EX177" s="51"/>
      <c r="EY177" s="51"/>
      <c r="EZ177" s="51"/>
      <c r="FA177" s="51"/>
    </row>
    <row r="178" spans="3:157" outlineLevel="1" x14ac:dyDescent="0.2">
      <c r="C178" s="10" t="s">
        <v>83</v>
      </c>
      <c r="D178" s="36"/>
      <c r="E178" s="21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269"/>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c r="EL178" s="36"/>
      <c r="EM178" s="36"/>
      <c r="EN178" s="36"/>
      <c r="EO178" s="36"/>
      <c r="EP178" s="36"/>
      <c r="EQ178" s="36"/>
      <c r="ER178" s="36"/>
      <c r="ES178" s="36"/>
      <c r="ET178" s="36"/>
      <c r="EU178" s="36"/>
      <c r="EV178" s="36"/>
      <c r="EW178" s="36"/>
      <c r="EX178" s="36"/>
      <c r="EY178" s="36"/>
      <c r="EZ178" s="36"/>
      <c r="FA178" s="36"/>
    </row>
    <row r="179" spans="3:157" outlineLevel="1" x14ac:dyDescent="0.2">
      <c r="C179" s="9" t="s">
        <v>91</v>
      </c>
      <c r="D179" s="21" t="s">
        <v>126</v>
      </c>
      <c r="F179" s="121"/>
      <c r="G179" s="121">
        <f t="shared" ref="G179:J179" ca="1" si="906">MAX(0,G89/$E$184)</f>
        <v>0</v>
      </c>
      <c r="H179" s="121">
        <f t="shared" ca="1" si="906"/>
        <v>0</v>
      </c>
      <c r="I179" s="121">
        <f t="shared" ca="1" si="906"/>
        <v>0</v>
      </c>
      <c r="J179" s="121">
        <f t="shared" ca="1" si="906"/>
        <v>0</v>
      </c>
      <c r="K179" s="121">
        <f ca="1">MAX(0,K89/$E$184)</f>
        <v>0</v>
      </c>
      <c r="L179" s="121">
        <f t="shared" ref="L179:BW179" ca="1" si="907">MAX(0,L89/$E$184)</f>
        <v>0</v>
      </c>
      <c r="M179" s="121">
        <f t="shared" ca="1" si="907"/>
        <v>1.584855106772129</v>
      </c>
      <c r="N179" s="121">
        <f t="shared" ca="1" si="907"/>
        <v>6.8905267141507123</v>
      </c>
      <c r="O179" s="121">
        <f t="shared" ca="1" si="907"/>
        <v>9.5432561702784842</v>
      </c>
      <c r="P179" s="121">
        <f t="shared" ca="1" si="907"/>
        <v>7.8712942724414958</v>
      </c>
      <c r="Q179" s="121">
        <f t="shared" ca="1" si="907"/>
        <v>10.059293188881446</v>
      </c>
      <c r="R179" s="121">
        <f t="shared" ca="1" si="907"/>
        <v>23.713220405206453</v>
      </c>
      <c r="S179" s="121">
        <f t="shared" ca="1" si="907"/>
        <v>28.596785922482916</v>
      </c>
      <c r="T179" s="121">
        <f t="shared" ca="1" si="907"/>
        <v>17.819744401911045</v>
      </c>
      <c r="U179" s="121">
        <f t="shared" ca="1" si="907"/>
        <v>14.400658289790035</v>
      </c>
      <c r="V179" s="121">
        <f t="shared" ca="1" si="907"/>
        <v>26.557492697491092</v>
      </c>
      <c r="W179" s="121">
        <f t="shared" ca="1" si="907"/>
        <v>29.842920328713515</v>
      </c>
      <c r="X179" s="121">
        <f t="shared" ca="1" si="907"/>
        <v>18.178203585470715</v>
      </c>
      <c r="Y179" s="121">
        <f t="shared" ca="1" si="907"/>
        <v>14.680301886330145</v>
      </c>
      <c r="Z179" s="121">
        <f t="shared" ca="1" si="907"/>
        <v>27.115785685220271</v>
      </c>
      <c r="AA179" s="121">
        <f t="shared" ca="1" si="907"/>
        <v>30.476261507811913</v>
      </c>
      <c r="AB179" s="121">
        <f t="shared" ca="1" si="907"/>
        <v>18.543484711551454</v>
      </c>
      <c r="AC179" s="121">
        <f t="shared" ca="1" si="907"/>
        <v>14.964948916853617</v>
      </c>
      <c r="AD179" s="121">
        <f t="shared" ca="1" si="907"/>
        <v>27.685467352639179</v>
      </c>
      <c r="AE179" s="121">
        <f t="shared" ca="1" si="907"/>
        <v>31.122703897300468</v>
      </c>
      <c r="AF179" s="121">
        <f t="shared" ca="1" si="907"/>
        <v>18.915705176576633</v>
      </c>
      <c r="AG179" s="121">
        <f t="shared" ca="1" si="907"/>
        <v>15.254674772191265</v>
      </c>
      <c r="AH179" s="121">
        <f t="shared" ca="1" si="907"/>
        <v>28.26675935926956</v>
      </c>
      <c r="AI179" s="121">
        <f t="shared" ca="1" si="907"/>
        <v>31.439426455709878</v>
      </c>
      <c r="AJ179" s="121">
        <f t="shared" ca="1" si="907"/>
        <v>18.958434182138578</v>
      </c>
      <c r="AK179" s="121">
        <f t="shared" ca="1" si="907"/>
        <v>15.250489738641816</v>
      </c>
      <c r="AL179" s="121">
        <f t="shared" ca="1" si="907"/>
        <v>28.423368525411359</v>
      </c>
      <c r="AM179" s="121">
        <f t="shared" ca="1" si="907"/>
        <v>31.981595343521963</v>
      </c>
      <c r="AN179" s="121">
        <f t="shared" ca="1" si="907"/>
        <v>19.337168101199932</v>
      </c>
      <c r="AO179" s="121">
        <f t="shared" ca="1" si="907"/>
        <v>15.543738353236645</v>
      </c>
      <c r="AP179" s="121">
        <f t="shared" ca="1" si="907"/>
        <v>29.018544051459124</v>
      </c>
      <c r="AQ179" s="121">
        <f t="shared" ca="1" si="907"/>
        <v>32.432058944335132</v>
      </c>
      <c r="AR179" s="121">
        <f t="shared" ca="1" si="907"/>
        <v>19.501348461861124</v>
      </c>
      <c r="AS179" s="121">
        <f t="shared" ca="1" si="907"/>
        <v>15.645150572570259</v>
      </c>
      <c r="AT179" s="121">
        <f t="shared" ca="1" si="907"/>
        <v>29.338264391005129</v>
      </c>
      <c r="AU179" s="121">
        <f t="shared" ca="1" si="907"/>
        <v>33.035966302404823</v>
      </c>
      <c r="AV179" s="121">
        <f t="shared" ca="1" si="907"/>
        <v>19.889362419840538</v>
      </c>
      <c r="AW179" s="121">
        <f t="shared" ca="1" si="907"/>
        <v>15.944254866113296</v>
      </c>
      <c r="AX179" s="121">
        <f t="shared" ca="1" si="907"/>
        <v>29.951212894826117</v>
      </c>
      <c r="AY179" s="121">
        <f t="shared" ca="1" si="907"/>
        <v>33.733361464692614</v>
      </c>
      <c r="AZ179" s="121">
        <f t="shared" ca="1" si="907"/>
        <v>20.284624554376617</v>
      </c>
      <c r="BA179" s="121">
        <f t="shared" ca="1" si="907"/>
        <v>16.248555425558536</v>
      </c>
      <c r="BB179" s="121">
        <f t="shared" ca="1" si="907"/>
        <v>30.576548876235226</v>
      </c>
      <c r="BC179" s="121">
        <f t="shared" ca="1" si="907"/>
        <v>33.872381651613416</v>
      </c>
      <c r="BD179" s="121">
        <f t="shared" ca="1" si="907"/>
        <v>20.125469514424857</v>
      </c>
      <c r="BE179" s="121">
        <f t="shared" ca="1" si="907"/>
        <v>16.058909730273253</v>
      </c>
      <c r="BF179" s="121">
        <f t="shared" ca="1" si="907"/>
        <v>30.485851076853464</v>
      </c>
      <c r="BG179" s="121">
        <f t="shared" ca="1" si="907"/>
        <v>34.37957560121724</v>
      </c>
      <c r="BH179" s="121">
        <f t="shared" ca="1" si="907"/>
        <v>20.522696890930451</v>
      </c>
      <c r="BI179" s="121">
        <f t="shared" ca="1" si="907"/>
        <v>16.362364367410599</v>
      </c>
      <c r="BJ179" s="121">
        <f t="shared" ca="1" si="907"/>
        <v>31.119955752633608</v>
      </c>
      <c r="BK179" s="121">
        <f t="shared" ca="1" si="907"/>
        <v>35.102589895373441</v>
      </c>
      <c r="BL179" s="121">
        <f t="shared" ca="1" si="907"/>
        <v>20.927241343625617</v>
      </c>
      <c r="BM179" s="121">
        <f t="shared" ca="1" si="907"/>
        <v>16.670971576475811</v>
      </c>
      <c r="BN179" s="121">
        <f t="shared" ca="1" si="907"/>
        <v>31.766788912916599</v>
      </c>
      <c r="BO179" s="121">
        <f t="shared" ca="1" si="907"/>
        <v>35.840360557448072</v>
      </c>
      <c r="BP179" s="121">
        <f t="shared" ca="1" si="907"/>
        <v>21.339220601937548</v>
      </c>
      <c r="BQ179" s="121">
        <f t="shared" ca="1" si="907"/>
        <v>16.984799064258539</v>
      </c>
      <c r="BR179" s="121">
        <f t="shared" ca="1" si="907"/>
        <v>32.426591782013695</v>
      </c>
      <c r="BS179" s="121">
        <f t="shared" ca="1" si="907"/>
        <v>36.593174999580924</v>
      </c>
      <c r="BT179" s="121">
        <f t="shared" ca="1" si="907"/>
        <v>21.758753693614665</v>
      </c>
      <c r="BU179" s="121">
        <f t="shared" ca="1" si="907"/>
        <v>17.303914678120631</v>
      </c>
      <c r="BV179" s="121">
        <f t="shared" ca="1" si="907"/>
        <v>33.099609697238535</v>
      </c>
      <c r="BW179" s="121">
        <f t="shared" ca="1" si="907"/>
        <v>37.361325797059735</v>
      </c>
      <c r="BX179" s="121">
        <f t="shared" ref="BX179:EI179" ca="1" si="908">MAX(0,BX89/$E$184)</f>
        <v>22.185960935197929</v>
      </c>
      <c r="BY179" s="121">
        <f t="shared" ca="1" si="908"/>
        <v>17.628386369623975</v>
      </c>
      <c r="BZ179" s="121">
        <f t="shared" ca="1" si="908"/>
        <v>33.786092163426979</v>
      </c>
      <c r="CA179" s="121">
        <f t="shared" ca="1" si="908"/>
        <v>38.145110766664054</v>
      </c>
      <c r="CB179" s="121">
        <f t="shared" ca="1" si="908"/>
        <v>22.620963921169409</v>
      </c>
      <c r="CC179" s="121">
        <f t="shared" ca="1" si="908"/>
        <v>17.958282156211961</v>
      </c>
      <c r="CD179" s="121">
        <f t="shared" ca="1" si="908"/>
        <v>34.486292907589394</v>
      </c>
      <c r="CE179" s="121">
        <f t="shared" ca="1" si="908"/>
        <v>38.062232463196338</v>
      </c>
      <c r="CF179" s="121">
        <f t="shared" ca="1" si="908"/>
        <v>22.19808876548765</v>
      </c>
      <c r="CG179" s="121">
        <f t="shared" ca="1" si="908"/>
        <v>17.524303578753614</v>
      </c>
      <c r="CH179" s="121">
        <f t="shared" ca="1" si="908"/>
        <v>34.077496224629698</v>
      </c>
      <c r="CI179" s="121">
        <f t="shared" ca="1" si="908"/>
        <v>38.540518170239132</v>
      </c>
      <c r="CJ179" s="121">
        <f t="shared" ca="1" si="908"/>
        <v>22.62918303749672</v>
      </c>
      <c r="CK179" s="121">
        <f t="shared" ca="1" si="908"/>
        <v>17.847594706339446</v>
      </c>
      <c r="CL179" s="121">
        <f t="shared" ca="1" si="908"/>
        <v>34.780139621697302</v>
      </c>
      <c r="CM179" s="121">
        <f t="shared" ca="1" si="908"/>
        <v>39.345040666069345</v>
      </c>
      <c r="CN179" s="121">
        <f t="shared" ca="1" si="908"/>
        <v>23.067989358020007</v>
      </c>
      <c r="CO179" s="121">
        <f t="shared" ca="1" si="908"/>
        <v>18.176108735377326</v>
      </c>
      <c r="CP179" s="121">
        <f t="shared" ca="1" si="908"/>
        <v>35.496696885647545</v>
      </c>
      <c r="CQ179" s="121">
        <f t="shared" ca="1" si="908"/>
        <v>40.165799879965675</v>
      </c>
      <c r="CR179" s="121">
        <f t="shared" ca="1" si="908"/>
        <v>23.514623830545798</v>
      </c>
      <c r="CS179" s="121">
        <f t="shared" ca="1" si="908"/>
        <v>18.509904222047648</v>
      </c>
      <c r="CT179" s="121">
        <f t="shared" ca="1" si="908"/>
        <v>36.227425606012808</v>
      </c>
      <c r="CU179" s="272">
        <f t="shared" ca="1" si="908"/>
        <v>41.003106283648115</v>
      </c>
      <c r="CV179" s="314">
        <f t="shared" ca="1" si="908"/>
        <v>8.7446591230771524</v>
      </c>
      <c r="CW179" s="121">
        <f t="shared" ca="1" si="908"/>
        <v>0</v>
      </c>
      <c r="CX179" s="121">
        <f t="shared" ca="1" si="908"/>
        <v>6.757749141556328</v>
      </c>
      <c r="CY179" s="121">
        <f t="shared" ca="1" si="908"/>
        <v>8.746396862214489</v>
      </c>
      <c r="CZ179" s="121">
        <f t="shared" ca="1" si="908"/>
        <v>0.3663923783673067</v>
      </c>
      <c r="DA179" s="121">
        <f t="shared" ca="1" si="908"/>
        <v>0</v>
      </c>
      <c r="DB179" s="121">
        <f t="shared" ca="1" si="908"/>
        <v>6.3681634290868852</v>
      </c>
      <c r="DC179" s="121">
        <f t="shared" ca="1" si="908"/>
        <v>8.7256670248734753</v>
      </c>
      <c r="DD179" s="121">
        <f t="shared" ca="1" si="908"/>
        <v>0.28491524143855651</v>
      </c>
      <c r="DE179" s="121">
        <f t="shared" ca="1" si="908"/>
        <v>0</v>
      </c>
      <c r="DF179" s="121">
        <f t="shared" ca="1" si="908"/>
        <v>6.4231837941383798</v>
      </c>
      <c r="DG179" s="121">
        <f t="shared" ca="1" si="908"/>
        <v>8.8341640779836048</v>
      </c>
      <c r="DH179" s="121">
        <f t="shared" ca="1" si="908"/>
        <v>0.19906468352633486</v>
      </c>
      <c r="DI179" s="121">
        <f t="shared" ca="1" si="908"/>
        <v>0</v>
      </c>
      <c r="DJ179" s="121">
        <f t="shared" ca="1" si="908"/>
        <v>6.4769286496129679</v>
      </c>
      <c r="DK179" s="121">
        <f t="shared" ca="1" si="908"/>
        <v>8.9425953779805951</v>
      </c>
      <c r="DL179" s="121">
        <f t="shared" ca="1" si="908"/>
        <v>0.10867043992452563</v>
      </c>
      <c r="DM179" s="121">
        <f t="shared" ca="1" si="908"/>
        <v>0</v>
      </c>
      <c r="DN179" s="121">
        <f t="shared" ca="1" si="908"/>
        <v>6.5292978568260347</v>
      </c>
      <c r="DO179" s="121">
        <f t="shared" ca="1" si="908"/>
        <v>9.0508880595108554</v>
      </c>
      <c r="DP179" s="121">
        <f t="shared" ca="1" si="908"/>
        <v>1.3556382744375628E-2</v>
      </c>
      <c r="DQ179" s="121">
        <f t="shared" ca="1" si="908"/>
        <v>0</v>
      </c>
      <c r="DR179" s="121">
        <f t="shared" ca="1" si="908"/>
        <v>6.5801869960797799</v>
      </c>
      <c r="DS179" s="121">
        <f t="shared" ca="1" si="908"/>
        <v>9.1589655883771446</v>
      </c>
      <c r="DT179" s="121">
        <f t="shared" ca="1" si="908"/>
        <v>0</v>
      </c>
      <c r="DU179" s="121">
        <f t="shared" ca="1" si="908"/>
        <v>0</v>
      </c>
      <c r="DV179" s="121">
        <f t="shared" ca="1" si="908"/>
        <v>6.6294872128244107</v>
      </c>
      <c r="DW179" s="121">
        <f t="shared" ca="1" si="908"/>
        <v>9.2667476213628444</v>
      </c>
      <c r="DX179" s="121">
        <f t="shared" ca="1" si="908"/>
        <v>0</v>
      </c>
      <c r="DY179" s="121">
        <f t="shared" ca="1" si="908"/>
        <v>0</v>
      </c>
      <c r="DZ179" s="121">
        <f t="shared" ca="1" si="908"/>
        <v>6.6770850587273909</v>
      </c>
      <c r="EA179" s="121">
        <f t="shared" ca="1" si="908"/>
        <v>9.3741498612668632</v>
      </c>
      <c r="EB179" s="121">
        <f t="shared" ca="1" si="908"/>
        <v>0</v>
      </c>
      <c r="EC179" s="121">
        <f t="shared" ca="1" si="908"/>
        <v>0</v>
      </c>
      <c r="ED179" s="121">
        <f t="shared" ca="1" si="908"/>
        <v>6.7228623274900201</v>
      </c>
      <c r="EE179" s="121">
        <f t="shared" ca="1" si="908"/>
        <v>9.4810839069953587</v>
      </c>
      <c r="EF179" s="121">
        <f t="shared" ca="1" si="908"/>
        <v>0</v>
      </c>
      <c r="EG179" s="121">
        <f t="shared" ca="1" si="908"/>
        <v>0</v>
      </c>
      <c r="EH179" s="121">
        <f t="shared" ca="1" si="908"/>
        <v>6.7666958852457979</v>
      </c>
      <c r="EI179" s="121">
        <f t="shared" ca="1" si="908"/>
        <v>0</v>
      </c>
      <c r="EJ179" s="121">
        <f t="shared" ref="EJ179:FA179" ca="1" si="909">MAX(0,EJ89/$E$184)</f>
        <v>9.4855725030477913</v>
      </c>
      <c r="EK179" s="121">
        <f t="shared" ca="1" si="909"/>
        <v>0</v>
      </c>
      <c r="EL179" s="121">
        <f t="shared" ca="1" si="909"/>
        <v>0</v>
      </c>
      <c r="EM179" s="121">
        <f t="shared" ca="1" si="909"/>
        <v>0</v>
      </c>
      <c r="EN179" s="121">
        <f t="shared" ca="1" si="909"/>
        <v>0</v>
      </c>
      <c r="EO179" s="121">
        <f t="shared" ca="1" si="909"/>
        <v>0</v>
      </c>
      <c r="EP179" s="121">
        <f t="shared" ca="1" si="909"/>
        <v>0</v>
      </c>
      <c r="EQ179" s="121">
        <f t="shared" ca="1" si="909"/>
        <v>0</v>
      </c>
      <c r="ER179" s="121">
        <f t="shared" ca="1" si="909"/>
        <v>0</v>
      </c>
      <c r="ES179" s="121">
        <f t="shared" ca="1" si="909"/>
        <v>0</v>
      </c>
      <c r="ET179" s="121">
        <f t="shared" ca="1" si="909"/>
        <v>0</v>
      </c>
      <c r="EU179" s="121">
        <f t="shared" ca="1" si="909"/>
        <v>0</v>
      </c>
      <c r="EV179" s="121">
        <f t="shared" ca="1" si="909"/>
        <v>0</v>
      </c>
      <c r="EW179" s="121">
        <f t="shared" ca="1" si="909"/>
        <v>0</v>
      </c>
      <c r="EX179" s="121">
        <f t="shared" ca="1" si="909"/>
        <v>0</v>
      </c>
      <c r="EY179" s="121">
        <f t="shared" ca="1" si="909"/>
        <v>0</v>
      </c>
      <c r="EZ179" s="121">
        <f t="shared" ca="1" si="909"/>
        <v>0</v>
      </c>
      <c r="FA179" s="121">
        <f t="shared" ca="1" si="909"/>
        <v>0</v>
      </c>
    </row>
    <row r="180" spans="3:157" outlineLevel="1" x14ac:dyDescent="0.2">
      <c r="C180" s="9" t="s">
        <v>92</v>
      </c>
      <c r="D180" s="21" t="s">
        <v>126</v>
      </c>
      <c r="F180" s="121"/>
      <c r="G180" s="121">
        <f t="shared" ref="G180:J180" si="910">G163*First_Interest_Quarterly</f>
        <v>0</v>
      </c>
      <c r="H180" s="121">
        <f t="shared" ca="1" si="910"/>
        <v>0</v>
      </c>
      <c r="I180" s="121">
        <f t="shared" ca="1" si="910"/>
        <v>0</v>
      </c>
      <c r="J180" s="121">
        <f t="shared" ca="1" si="910"/>
        <v>0</v>
      </c>
      <c r="K180" s="121">
        <f t="shared" ref="K180" ca="1" si="911">K163*First_Interest_Quarterly</f>
        <v>0</v>
      </c>
      <c r="L180" s="121">
        <f t="shared" ref="L180:BW180" ca="1" si="912">L163*First_Interest_Quarterly</f>
        <v>0</v>
      </c>
      <c r="M180" s="121">
        <f t="shared" ca="1" si="912"/>
        <v>0</v>
      </c>
      <c r="N180" s="121">
        <f t="shared" ca="1" si="912"/>
        <v>0</v>
      </c>
      <c r="O180" s="121">
        <f t="shared" ca="1" si="912"/>
        <v>0</v>
      </c>
      <c r="P180" s="121">
        <f t="shared" ca="1" si="912"/>
        <v>0</v>
      </c>
      <c r="Q180" s="121">
        <f t="shared" ca="1" si="912"/>
        <v>0</v>
      </c>
      <c r="R180" s="121">
        <f t="shared" ca="1" si="912"/>
        <v>0</v>
      </c>
      <c r="S180" s="121">
        <f t="shared" ca="1" si="912"/>
        <v>0</v>
      </c>
      <c r="T180" s="121">
        <f t="shared" ca="1" si="912"/>
        <v>0</v>
      </c>
      <c r="U180" s="121">
        <f t="shared" ca="1" si="912"/>
        <v>0</v>
      </c>
      <c r="V180" s="121">
        <f t="shared" ca="1" si="912"/>
        <v>0</v>
      </c>
      <c r="W180" s="121">
        <f t="shared" ca="1" si="912"/>
        <v>0</v>
      </c>
      <c r="X180" s="121">
        <f t="shared" ca="1" si="912"/>
        <v>17.014569418415672</v>
      </c>
      <c r="Y180" s="121">
        <f t="shared" ca="1" si="912"/>
        <v>16.997772997361508</v>
      </c>
      <c r="Z180" s="121">
        <f t="shared" ca="1" si="912"/>
        <v>16.997772997361508</v>
      </c>
      <c r="AA180" s="121">
        <f t="shared" ca="1" si="912"/>
        <v>16.851725033019981</v>
      </c>
      <c r="AB180" s="121">
        <f t="shared" ca="1" si="912"/>
        <v>16.655062320822758</v>
      </c>
      <c r="AC180" s="121">
        <f t="shared" ca="1" si="912"/>
        <v>16.627803979240142</v>
      </c>
      <c r="AD180" s="121">
        <f t="shared" ca="1" si="912"/>
        <v>16.627803979240142</v>
      </c>
      <c r="AE180" s="121">
        <f t="shared" ca="1" si="912"/>
        <v>16.468192672565596</v>
      </c>
      <c r="AF180" s="121">
        <f t="shared" ca="1" si="912"/>
        <v>16.256662839700212</v>
      </c>
      <c r="AG180" s="121">
        <f t="shared" ca="1" si="912"/>
        <v>16.218281021809755</v>
      </c>
      <c r="AH180" s="121">
        <f t="shared" ca="1" si="912"/>
        <v>16.218281021809755</v>
      </c>
      <c r="AI180" s="121">
        <f t="shared" ca="1" si="912"/>
        <v>16.044367844500687</v>
      </c>
      <c r="AJ180" s="121">
        <f t="shared" ca="1" si="912"/>
        <v>15.822148616234292</v>
      </c>
      <c r="AK180" s="121">
        <f t="shared" ca="1" si="912"/>
        <v>15.77687805405723</v>
      </c>
      <c r="AL180" s="121">
        <f t="shared" ca="1" si="912"/>
        <v>15.77687805405723</v>
      </c>
      <c r="AM180" s="121">
        <f t="shared" ca="1" si="912"/>
        <v>15.594332899550544</v>
      </c>
      <c r="AN180" s="121">
        <f t="shared" ca="1" si="912"/>
        <v>15.35779175309159</v>
      </c>
      <c r="AO180" s="121">
        <f t="shared" ca="1" si="912"/>
        <v>15.300351637831856</v>
      </c>
      <c r="AP180" s="121">
        <f t="shared" ca="1" si="912"/>
        <v>15.296838484070417</v>
      </c>
      <c r="AQ180" s="121">
        <f t="shared" ca="1" si="912"/>
        <v>15.098773189309949</v>
      </c>
      <c r="AR180" s="121">
        <f t="shared" ca="1" si="912"/>
        <v>14.848576715163491</v>
      </c>
      <c r="AS180" s="121">
        <f t="shared" ca="1" si="912"/>
        <v>14.781416506621119</v>
      </c>
      <c r="AT180" s="121">
        <f t="shared" ca="1" si="912"/>
        <v>14.768948979058548</v>
      </c>
      <c r="AU180" s="121">
        <f t="shared" ca="1" si="912"/>
        <v>14.558648901028628</v>
      </c>
      <c r="AV180" s="121">
        <f t="shared" ca="1" si="912"/>
        <v>14.291938957464172</v>
      </c>
      <c r="AW180" s="121">
        <f t="shared" ca="1" si="912"/>
        <v>14.21114321946134</v>
      </c>
      <c r="AX180" s="121">
        <f t="shared" ca="1" si="912"/>
        <v>14.186126703295686</v>
      </c>
      <c r="AY180" s="121">
        <f t="shared" ca="1" si="912"/>
        <v>13.958566329833751</v>
      </c>
      <c r="AZ180" s="121">
        <f t="shared" ca="1" si="912"/>
        <v>13.673128006734746</v>
      </c>
      <c r="BA180" s="121">
        <f t="shared" ca="1" si="912"/>
        <v>13.577694679872764</v>
      </c>
      <c r="BB180" s="121">
        <f t="shared" ca="1" si="912"/>
        <v>13.539142269732462</v>
      </c>
      <c r="BC180" s="121">
        <f t="shared" ca="1" si="912"/>
        <v>13.29321664883218</v>
      </c>
      <c r="BD180" s="121">
        <f t="shared" ca="1" si="912"/>
        <v>12.996167687813273</v>
      </c>
      <c r="BE180" s="121">
        <f t="shared" ca="1" si="912"/>
        <v>12.893260125718358</v>
      </c>
      <c r="BF180" s="121">
        <f t="shared" ca="1" si="912"/>
        <v>12.847565709746872</v>
      </c>
      <c r="BG180" s="121">
        <f t="shared" ca="1" si="912"/>
        <v>12.592966733464504</v>
      </c>
      <c r="BH180" s="121">
        <f t="shared" ca="1" si="912"/>
        <v>12.278488982427634</v>
      </c>
      <c r="BI180" s="121">
        <f t="shared" ca="1" si="912"/>
        <v>12.159488362464984</v>
      </c>
      <c r="BJ180" s="121">
        <f t="shared" ca="1" si="912"/>
        <v>12.098822152227996</v>
      </c>
      <c r="BK180" s="121">
        <f t="shared" ca="1" si="912"/>
        <v>11.824262520064167</v>
      </c>
      <c r="BL180" s="121">
        <f t="shared" ca="1" si="912"/>
        <v>11.488252630442354</v>
      </c>
      <c r="BM180" s="121">
        <f t="shared" ca="1" si="912"/>
        <v>11.352006004792511</v>
      </c>
      <c r="BN180" s="121">
        <f t="shared" ca="1" si="912"/>
        <v>11.275229653733062</v>
      </c>
      <c r="BO180" s="121">
        <f t="shared" ca="1" si="912"/>
        <v>10.97944523357922</v>
      </c>
      <c r="BP180" s="121">
        <f t="shared" ca="1" si="912"/>
        <v>10.620591554825188</v>
      </c>
      <c r="BQ180" s="121">
        <f t="shared" ca="1" si="912"/>
        <v>10.465874022721163</v>
      </c>
      <c r="BR180" s="121">
        <f t="shared" ca="1" si="912"/>
        <v>10.371776914782764</v>
      </c>
      <c r="BS180" s="121">
        <f t="shared" ca="1" si="912"/>
        <v>10.053427757229972</v>
      </c>
      <c r="BT180" s="121">
        <f t="shared" ca="1" si="912"/>
        <v>9.6703410604189326</v>
      </c>
      <c r="BU180" s="121">
        <f t="shared" ca="1" si="912"/>
        <v>9.4958514534512393</v>
      </c>
      <c r="BV180" s="121">
        <f t="shared" ca="1" si="912"/>
        <v>9.3831463428141202</v>
      </c>
      <c r="BW180" s="121">
        <f t="shared" ca="1" si="912"/>
        <v>9.0408122006114269</v>
      </c>
      <c r="BX180" s="121">
        <f t="shared" ref="BX180:EI180" ca="1" si="913">BX163*First_Interest_Quarterly</f>
        <v>8.6320211180670245</v>
      </c>
      <c r="BY180" s="121">
        <f t="shared" ca="1" si="913"/>
        <v>8.4363774299073047</v>
      </c>
      <c r="BZ180" s="121">
        <f t="shared" ca="1" si="913"/>
        <v>8.3036958218415595</v>
      </c>
      <c r="CA180" s="121">
        <f t="shared" ca="1" si="913"/>
        <v>7.9358714054224784</v>
      </c>
      <c r="CB180" s="121">
        <f t="shared" ca="1" si="913"/>
        <v>7.4998176022572114</v>
      </c>
      <c r="CC180" s="121">
        <f t="shared" ca="1" si="913"/>
        <v>7.281552147714196</v>
      </c>
      <c r="CD180" s="121">
        <f t="shared" ca="1" si="913"/>
        <v>7.1274394052547692</v>
      </c>
      <c r="CE180" s="121">
        <f t="shared" ca="1" si="913"/>
        <v>6.7325293587859898</v>
      </c>
      <c r="CF180" s="121">
        <f t="shared" ca="1" si="913"/>
        <v>6.2803022759603158</v>
      </c>
      <c r="CG180" s="121">
        <f t="shared" ca="1" si="913"/>
        <v>6.0505377574389918</v>
      </c>
      <c r="CH180" s="121">
        <f t="shared" ca="1" si="913"/>
        <v>5.8849202401230496</v>
      </c>
      <c r="CI180" s="121">
        <f t="shared" ca="1" si="913"/>
        <v>5.4779758668449059</v>
      </c>
      <c r="CJ180" s="121">
        <f t="shared" ca="1" si="913"/>
        <v>5.0007362004862532</v>
      </c>
      <c r="CK180" s="121">
        <f t="shared" ca="1" si="913"/>
        <v>4.7462792379902865</v>
      </c>
      <c r="CL180" s="121">
        <f t="shared" ca="1" si="913"/>
        <v>4.5571689340820321</v>
      </c>
      <c r="CM180" s="121">
        <f t="shared" ca="1" si="913"/>
        <v>4.1209169267509411</v>
      </c>
      <c r="CN180" s="121">
        <f t="shared" ca="1" si="913"/>
        <v>3.6124760177951161</v>
      </c>
      <c r="CO180" s="121">
        <f t="shared" ca="1" si="913"/>
        <v>3.3316463523046913</v>
      </c>
      <c r="CP180" s="121">
        <f t="shared" ca="1" si="913"/>
        <v>3.1173746786396008</v>
      </c>
      <c r="CQ180" s="121">
        <f t="shared" ca="1" si="913"/>
        <v>2.6499969196883364</v>
      </c>
      <c r="CR180" s="121">
        <f t="shared" ca="1" si="913"/>
        <v>2.1084768779551379</v>
      </c>
      <c r="CS180" s="121">
        <f t="shared" ca="1" si="913"/>
        <v>1.7994908860149517</v>
      </c>
      <c r="CT180" s="121">
        <f t="shared" ca="1" si="913"/>
        <v>1.5582852336479012</v>
      </c>
      <c r="CU180" s="272">
        <f t="shared" ca="1" si="913"/>
        <v>1.0578552052362589</v>
      </c>
      <c r="CV180" s="121">
        <f t="shared" si="913"/>
        <v>0</v>
      </c>
      <c r="CW180" s="121">
        <f t="shared" ca="1" si="913"/>
        <v>0</v>
      </c>
      <c r="CX180" s="121">
        <f t="shared" ca="1" si="913"/>
        <v>0</v>
      </c>
      <c r="CY180" s="121">
        <f t="shared" ca="1" si="913"/>
        <v>0</v>
      </c>
      <c r="CZ180" s="121">
        <f t="shared" ca="1" si="913"/>
        <v>0</v>
      </c>
      <c r="DA180" s="121">
        <f t="shared" ca="1" si="913"/>
        <v>0</v>
      </c>
      <c r="DB180" s="121">
        <f t="shared" ca="1" si="913"/>
        <v>0</v>
      </c>
      <c r="DC180" s="121">
        <f t="shared" ca="1" si="913"/>
        <v>0</v>
      </c>
      <c r="DD180" s="121">
        <f t="shared" ca="1" si="913"/>
        <v>0</v>
      </c>
      <c r="DE180" s="121">
        <f t="shared" ca="1" si="913"/>
        <v>0</v>
      </c>
      <c r="DF180" s="121">
        <f t="shared" ca="1" si="913"/>
        <v>0</v>
      </c>
      <c r="DG180" s="121">
        <f t="shared" ca="1" si="913"/>
        <v>0</v>
      </c>
      <c r="DH180" s="121">
        <f t="shared" ca="1" si="913"/>
        <v>0</v>
      </c>
      <c r="DI180" s="121">
        <f t="shared" ca="1" si="913"/>
        <v>0</v>
      </c>
      <c r="DJ180" s="121">
        <f t="shared" ca="1" si="913"/>
        <v>0</v>
      </c>
      <c r="DK180" s="121">
        <f t="shared" ca="1" si="913"/>
        <v>0</v>
      </c>
      <c r="DL180" s="121">
        <f t="shared" ca="1" si="913"/>
        <v>0</v>
      </c>
      <c r="DM180" s="121">
        <f t="shared" ca="1" si="913"/>
        <v>0</v>
      </c>
      <c r="DN180" s="121">
        <f t="shared" ca="1" si="913"/>
        <v>0</v>
      </c>
      <c r="DO180" s="121">
        <f t="shared" ca="1" si="913"/>
        <v>0</v>
      </c>
      <c r="DP180" s="121">
        <f t="shared" ca="1" si="913"/>
        <v>0</v>
      </c>
      <c r="DQ180" s="121">
        <f t="shared" ca="1" si="913"/>
        <v>0</v>
      </c>
      <c r="DR180" s="121">
        <f t="shared" ca="1" si="913"/>
        <v>0</v>
      </c>
      <c r="DS180" s="121">
        <f t="shared" ca="1" si="913"/>
        <v>0</v>
      </c>
      <c r="DT180" s="121">
        <f t="shared" ca="1" si="913"/>
        <v>0</v>
      </c>
      <c r="DU180" s="121">
        <f t="shared" ca="1" si="913"/>
        <v>0</v>
      </c>
      <c r="DV180" s="121">
        <f t="shared" ca="1" si="913"/>
        <v>0</v>
      </c>
      <c r="DW180" s="121">
        <f t="shared" ca="1" si="913"/>
        <v>0</v>
      </c>
      <c r="DX180" s="121">
        <f t="shared" ca="1" si="913"/>
        <v>0</v>
      </c>
      <c r="DY180" s="121">
        <f t="shared" ca="1" si="913"/>
        <v>0</v>
      </c>
      <c r="DZ180" s="121">
        <f t="shared" ca="1" si="913"/>
        <v>0</v>
      </c>
      <c r="EA180" s="121">
        <f t="shared" ca="1" si="913"/>
        <v>0</v>
      </c>
      <c r="EB180" s="121">
        <f t="shared" ca="1" si="913"/>
        <v>0</v>
      </c>
      <c r="EC180" s="121">
        <f t="shared" ca="1" si="913"/>
        <v>0</v>
      </c>
      <c r="ED180" s="121">
        <f t="shared" ca="1" si="913"/>
        <v>0</v>
      </c>
      <c r="EE180" s="121">
        <f t="shared" ca="1" si="913"/>
        <v>0</v>
      </c>
      <c r="EF180" s="121">
        <f t="shared" ca="1" si="913"/>
        <v>0</v>
      </c>
      <c r="EG180" s="121">
        <f t="shared" ca="1" si="913"/>
        <v>0</v>
      </c>
      <c r="EH180" s="121">
        <f t="shared" ca="1" si="913"/>
        <v>0</v>
      </c>
      <c r="EI180" s="121">
        <f t="shared" ca="1" si="913"/>
        <v>0</v>
      </c>
      <c r="EJ180" s="121">
        <f t="shared" ref="EJ180:FA180" ca="1" si="914">EJ163*First_Interest_Quarterly</f>
        <v>0</v>
      </c>
      <c r="EK180" s="121">
        <f t="shared" ca="1" si="914"/>
        <v>0</v>
      </c>
      <c r="EL180" s="121">
        <f t="shared" ca="1" si="914"/>
        <v>0</v>
      </c>
      <c r="EM180" s="121">
        <f t="shared" ca="1" si="914"/>
        <v>0</v>
      </c>
      <c r="EN180" s="121">
        <f t="shared" ca="1" si="914"/>
        <v>0</v>
      </c>
      <c r="EO180" s="121">
        <f t="shared" ca="1" si="914"/>
        <v>0</v>
      </c>
      <c r="EP180" s="121">
        <f t="shared" ca="1" si="914"/>
        <v>0</v>
      </c>
      <c r="EQ180" s="121">
        <f t="shared" ca="1" si="914"/>
        <v>0</v>
      </c>
      <c r="ER180" s="121">
        <f t="shared" ca="1" si="914"/>
        <v>0</v>
      </c>
      <c r="ES180" s="121">
        <f t="shared" ca="1" si="914"/>
        <v>0</v>
      </c>
      <c r="ET180" s="121">
        <f t="shared" ca="1" si="914"/>
        <v>0</v>
      </c>
      <c r="EU180" s="121">
        <f t="shared" ca="1" si="914"/>
        <v>0</v>
      </c>
      <c r="EV180" s="121">
        <f t="shared" ca="1" si="914"/>
        <v>0</v>
      </c>
      <c r="EW180" s="121">
        <f t="shared" ca="1" si="914"/>
        <v>0</v>
      </c>
      <c r="EX180" s="121">
        <f t="shared" ca="1" si="914"/>
        <v>0</v>
      </c>
      <c r="EY180" s="121">
        <f t="shared" ca="1" si="914"/>
        <v>0</v>
      </c>
      <c r="EZ180" s="121">
        <f t="shared" ca="1" si="914"/>
        <v>0</v>
      </c>
      <c r="FA180" s="121">
        <f t="shared" ca="1" si="914"/>
        <v>0</v>
      </c>
    </row>
    <row r="181" spans="3:157" outlineLevel="1" x14ac:dyDescent="0.2">
      <c r="C181" s="9" t="s">
        <v>93</v>
      </c>
      <c r="D181" s="21" t="s">
        <v>126</v>
      </c>
      <c r="F181" s="121"/>
      <c r="G181" s="121">
        <f t="shared" ref="G181:J181" ca="1" si="915">MAX(G179-G180,0)</f>
        <v>0</v>
      </c>
      <c r="H181" s="121">
        <f t="shared" ca="1" si="915"/>
        <v>0</v>
      </c>
      <c r="I181" s="121">
        <f t="shared" ca="1" si="915"/>
        <v>0</v>
      </c>
      <c r="J181" s="121">
        <f t="shared" ca="1" si="915"/>
        <v>0</v>
      </c>
      <c r="K181" s="121">
        <f ca="1">MAX(K179-K180,0)</f>
        <v>0</v>
      </c>
      <c r="L181" s="121">
        <f t="shared" ref="L181:BW181" ca="1" si="916">MAX(L179-L180,0)</f>
        <v>0</v>
      </c>
      <c r="M181" s="121">
        <f t="shared" ca="1" si="916"/>
        <v>1.584855106772129</v>
      </c>
      <c r="N181" s="121">
        <f t="shared" ca="1" si="916"/>
        <v>6.8905267141507123</v>
      </c>
      <c r="O181" s="121">
        <f t="shared" ca="1" si="916"/>
        <v>9.5432561702784842</v>
      </c>
      <c r="P181" s="121">
        <f t="shared" ca="1" si="916"/>
        <v>7.8712942724414958</v>
      </c>
      <c r="Q181" s="121">
        <f t="shared" ca="1" si="916"/>
        <v>10.059293188881446</v>
      </c>
      <c r="R181" s="121">
        <f t="shared" ca="1" si="916"/>
        <v>23.713220405206453</v>
      </c>
      <c r="S181" s="121">
        <f t="shared" ca="1" si="916"/>
        <v>28.596785922482916</v>
      </c>
      <c r="T181" s="121">
        <f t="shared" ca="1" si="916"/>
        <v>17.819744401911045</v>
      </c>
      <c r="U181" s="121">
        <f t="shared" ca="1" si="916"/>
        <v>14.400658289790035</v>
      </c>
      <c r="V181" s="121">
        <f t="shared" ca="1" si="916"/>
        <v>26.557492697491092</v>
      </c>
      <c r="W181" s="121">
        <f t="shared" ca="1" si="916"/>
        <v>29.842920328713515</v>
      </c>
      <c r="X181" s="121">
        <f t="shared" ca="1" si="916"/>
        <v>1.1636341670550436</v>
      </c>
      <c r="Y181" s="121">
        <f t="shared" ca="1" si="916"/>
        <v>0</v>
      </c>
      <c r="Z181" s="121">
        <f t="shared" ca="1" si="916"/>
        <v>10.118012687858762</v>
      </c>
      <c r="AA181" s="121">
        <f t="shared" ca="1" si="916"/>
        <v>13.624536474791931</v>
      </c>
      <c r="AB181" s="121">
        <f t="shared" ca="1" si="916"/>
        <v>1.8884223907286959</v>
      </c>
      <c r="AC181" s="121">
        <f t="shared" ca="1" si="916"/>
        <v>0</v>
      </c>
      <c r="AD181" s="121">
        <f t="shared" ca="1" si="916"/>
        <v>11.057663373399038</v>
      </c>
      <c r="AE181" s="121">
        <f t="shared" ca="1" si="916"/>
        <v>14.654511224734872</v>
      </c>
      <c r="AF181" s="121">
        <f t="shared" ca="1" si="916"/>
        <v>2.6590423368764213</v>
      </c>
      <c r="AG181" s="121">
        <f t="shared" ca="1" si="916"/>
        <v>0</v>
      </c>
      <c r="AH181" s="121">
        <f t="shared" ca="1" si="916"/>
        <v>12.048478337459805</v>
      </c>
      <c r="AI181" s="121">
        <f t="shared" ca="1" si="916"/>
        <v>15.395058611209191</v>
      </c>
      <c r="AJ181" s="121">
        <f t="shared" ca="1" si="916"/>
        <v>3.1362855659042861</v>
      </c>
      <c r="AK181" s="121">
        <f t="shared" ca="1" si="916"/>
        <v>0</v>
      </c>
      <c r="AL181" s="121">
        <f t="shared" ca="1" si="916"/>
        <v>12.646490471354129</v>
      </c>
      <c r="AM181" s="121">
        <f t="shared" ca="1" si="916"/>
        <v>16.387262443971419</v>
      </c>
      <c r="AN181" s="121">
        <f t="shared" ca="1" si="916"/>
        <v>3.9793763481083424</v>
      </c>
      <c r="AO181" s="121">
        <f t="shared" ca="1" si="916"/>
        <v>0.24338671540478884</v>
      </c>
      <c r="AP181" s="121">
        <f t="shared" ca="1" si="916"/>
        <v>13.721705567388707</v>
      </c>
      <c r="AQ181" s="121">
        <f t="shared" ca="1" si="916"/>
        <v>17.333285755025184</v>
      </c>
      <c r="AR181" s="121">
        <f t="shared" ca="1" si="916"/>
        <v>4.652771746697633</v>
      </c>
      <c r="AS181" s="121">
        <f t="shared" ca="1" si="916"/>
        <v>0.86373406594914037</v>
      </c>
      <c r="AT181" s="121">
        <f t="shared" ca="1" si="916"/>
        <v>14.569315411946581</v>
      </c>
      <c r="AU181" s="121">
        <f t="shared" ca="1" si="916"/>
        <v>18.477317401376197</v>
      </c>
      <c r="AV181" s="121">
        <f t="shared" ca="1" si="916"/>
        <v>5.5974234623763657</v>
      </c>
      <c r="AW181" s="121">
        <f t="shared" ca="1" si="916"/>
        <v>1.7331116466519561</v>
      </c>
      <c r="AX181" s="121">
        <f t="shared" ca="1" si="916"/>
        <v>15.765086191530431</v>
      </c>
      <c r="AY181" s="121">
        <f t="shared" ca="1" si="916"/>
        <v>19.774795134858863</v>
      </c>
      <c r="AZ181" s="121">
        <f t="shared" ca="1" si="916"/>
        <v>6.6114965476418703</v>
      </c>
      <c r="BA181" s="121">
        <f t="shared" ca="1" si="916"/>
        <v>2.670860745685772</v>
      </c>
      <c r="BB181" s="121">
        <f t="shared" ca="1" si="916"/>
        <v>17.037406606502763</v>
      </c>
      <c r="BC181" s="121">
        <f t="shared" ca="1" si="916"/>
        <v>20.579165002781238</v>
      </c>
      <c r="BD181" s="121">
        <f t="shared" ca="1" si="916"/>
        <v>7.1293018266115844</v>
      </c>
      <c r="BE181" s="121">
        <f t="shared" ca="1" si="916"/>
        <v>3.1656496045548952</v>
      </c>
      <c r="BF181" s="121">
        <f t="shared" ca="1" si="916"/>
        <v>17.63828536710659</v>
      </c>
      <c r="BG181" s="121">
        <f t="shared" ca="1" si="916"/>
        <v>21.786608867752737</v>
      </c>
      <c r="BH181" s="121">
        <f t="shared" ca="1" si="916"/>
        <v>8.2442079085028173</v>
      </c>
      <c r="BI181" s="121">
        <f t="shared" ca="1" si="916"/>
        <v>4.2028760049456153</v>
      </c>
      <c r="BJ181" s="121">
        <f t="shared" ca="1" si="916"/>
        <v>19.021133600405612</v>
      </c>
      <c r="BK181" s="121">
        <f t="shared" ca="1" si="916"/>
        <v>23.278327375309274</v>
      </c>
      <c r="BL181" s="121">
        <f t="shared" ca="1" si="916"/>
        <v>9.4389887131832637</v>
      </c>
      <c r="BM181" s="121">
        <f t="shared" ca="1" si="916"/>
        <v>5.3189655716833002</v>
      </c>
      <c r="BN181" s="121">
        <f t="shared" ca="1" si="916"/>
        <v>20.491559259183539</v>
      </c>
      <c r="BO181" s="121">
        <f t="shared" ca="1" si="916"/>
        <v>24.860915323868852</v>
      </c>
      <c r="BP181" s="121">
        <f t="shared" ca="1" si="916"/>
        <v>10.71862904711236</v>
      </c>
      <c r="BQ181" s="121">
        <f t="shared" ca="1" si="916"/>
        <v>6.5189250415373756</v>
      </c>
      <c r="BR181" s="121">
        <f t="shared" ca="1" si="916"/>
        <v>22.054814867230931</v>
      </c>
      <c r="BS181" s="121">
        <f t="shared" ca="1" si="916"/>
        <v>26.539747242350952</v>
      </c>
      <c r="BT181" s="121">
        <f t="shared" ca="1" si="916"/>
        <v>12.088412633195732</v>
      </c>
      <c r="BU181" s="121">
        <f t="shared" ca="1" si="916"/>
        <v>7.8080632246693913</v>
      </c>
      <c r="BV181" s="121">
        <f t="shared" ca="1" si="916"/>
        <v>23.716463354424413</v>
      </c>
      <c r="BW181" s="121">
        <f t="shared" ca="1" si="916"/>
        <v>28.320513596448308</v>
      </c>
      <c r="BX181" s="121">
        <f t="shared" ref="BX181:EI181" ca="1" si="917">MAX(BX179-BX180,0)</f>
        <v>13.553939817130905</v>
      </c>
      <c r="BY181" s="121">
        <f t="shared" ca="1" si="917"/>
        <v>9.1920089397166702</v>
      </c>
      <c r="BZ181" s="121">
        <f t="shared" ca="1" si="917"/>
        <v>25.482396341585421</v>
      </c>
      <c r="CA181" s="121">
        <f t="shared" ca="1" si="917"/>
        <v>30.209239361241575</v>
      </c>
      <c r="CB181" s="121">
        <f t="shared" ca="1" si="917"/>
        <v>15.121146318912198</v>
      </c>
      <c r="CC181" s="121">
        <f t="shared" ca="1" si="917"/>
        <v>10.676730008497765</v>
      </c>
      <c r="CD181" s="121">
        <f t="shared" ca="1" si="917"/>
        <v>27.358853502334625</v>
      </c>
      <c r="CE181" s="121">
        <f t="shared" ca="1" si="917"/>
        <v>31.329703104410349</v>
      </c>
      <c r="CF181" s="121">
        <f t="shared" ca="1" si="917"/>
        <v>15.917786489527334</v>
      </c>
      <c r="CG181" s="121">
        <f t="shared" ca="1" si="917"/>
        <v>11.473765821314622</v>
      </c>
      <c r="CH181" s="121">
        <f t="shared" ca="1" si="917"/>
        <v>28.192575984506647</v>
      </c>
      <c r="CI181" s="121">
        <f t="shared" ca="1" si="917"/>
        <v>33.062542303394224</v>
      </c>
      <c r="CJ181" s="121">
        <f t="shared" ca="1" si="917"/>
        <v>17.628446837010465</v>
      </c>
      <c r="CK181" s="121">
        <f t="shared" ca="1" si="917"/>
        <v>13.10131546834916</v>
      </c>
      <c r="CL181" s="121">
        <f t="shared" ca="1" si="917"/>
        <v>30.22297068761527</v>
      </c>
      <c r="CM181" s="121">
        <f t="shared" ca="1" si="917"/>
        <v>35.224123739318401</v>
      </c>
      <c r="CN181" s="121">
        <f t="shared" ca="1" si="917"/>
        <v>19.45551334022489</v>
      </c>
      <c r="CO181" s="121">
        <f t="shared" ca="1" si="917"/>
        <v>14.844462383072635</v>
      </c>
      <c r="CP181" s="121">
        <f t="shared" ca="1" si="917"/>
        <v>32.379322207007945</v>
      </c>
      <c r="CQ181" s="121">
        <f t="shared" ca="1" si="917"/>
        <v>37.515802960277341</v>
      </c>
      <c r="CR181" s="121">
        <f t="shared" ca="1" si="917"/>
        <v>21.40614695259066</v>
      </c>
      <c r="CS181" s="121">
        <f t="shared" ca="1" si="917"/>
        <v>16.710413336032698</v>
      </c>
      <c r="CT181" s="121">
        <f t="shared" ca="1" si="917"/>
        <v>34.669140372364907</v>
      </c>
      <c r="CU181" s="272">
        <f t="shared" ca="1" si="917"/>
        <v>39.945251078411857</v>
      </c>
      <c r="CV181" s="121">
        <f t="shared" ca="1" si="917"/>
        <v>8.7446591230771524</v>
      </c>
      <c r="CW181" s="121">
        <f t="shared" ca="1" si="917"/>
        <v>0</v>
      </c>
      <c r="CX181" s="121">
        <f t="shared" ca="1" si="917"/>
        <v>6.757749141556328</v>
      </c>
      <c r="CY181" s="121">
        <f t="shared" ca="1" si="917"/>
        <v>8.746396862214489</v>
      </c>
      <c r="CZ181" s="121">
        <f t="shared" ca="1" si="917"/>
        <v>0.3663923783673067</v>
      </c>
      <c r="DA181" s="121">
        <f t="shared" ca="1" si="917"/>
        <v>0</v>
      </c>
      <c r="DB181" s="121">
        <f t="shared" ca="1" si="917"/>
        <v>6.3681634290868852</v>
      </c>
      <c r="DC181" s="121">
        <f t="shared" ca="1" si="917"/>
        <v>8.7256670248734753</v>
      </c>
      <c r="DD181" s="121">
        <f t="shared" ca="1" si="917"/>
        <v>0.28491524143855651</v>
      </c>
      <c r="DE181" s="121">
        <f t="shared" ca="1" si="917"/>
        <v>0</v>
      </c>
      <c r="DF181" s="121">
        <f t="shared" ca="1" si="917"/>
        <v>6.4231837941383798</v>
      </c>
      <c r="DG181" s="121">
        <f t="shared" ca="1" si="917"/>
        <v>8.8341640779836048</v>
      </c>
      <c r="DH181" s="121">
        <f t="shared" ca="1" si="917"/>
        <v>0.19906468352633486</v>
      </c>
      <c r="DI181" s="121">
        <f t="shared" ca="1" si="917"/>
        <v>0</v>
      </c>
      <c r="DJ181" s="121">
        <f t="shared" ca="1" si="917"/>
        <v>6.4769286496129679</v>
      </c>
      <c r="DK181" s="121">
        <f t="shared" ca="1" si="917"/>
        <v>8.9425953779805951</v>
      </c>
      <c r="DL181" s="121">
        <f t="shared" ca="1" si="917"/>
        <v>0.10867043992452563</v>
      </c>
      <c r="DM181" s="121">
        <f t="shared" ca="1" si="917"/>
        <v>0</v>
      </c>
      <c r="DN181" s="121">
        <f t="shared" ca="1" si="917"/>
        <v>6.5292978568260347</v>
      </c>
      <c r="DO181" s="121">
        <f t="shared" ca="1" si="917"/>
        <v>9.0508880595108554</v>
      </c>
      <c r="DP181" s="121">
        <f t="shared" ca="1" si="917"/>
        <v>1.3556382744375628E-2</v>
      </c>
      <c r="DQ181" s="121">
        <f t="shared" ca="1" si="917"/>
        <v>0</v>
      </c>
      <c r="DR181" s="121">
        <f t="shared" ca="1" si="917"/>
        <v>6.5801869960797799</v>
      </c>
      <c r="DS181" s="121">
        <f t="shared" ca="1" si="917"/>
        <v>9.1589655883771446</v>
      </c>
      <c r="DT181" s="121">
        <f t="shared" ca="1" si="917"/>
        <v>0</v>
      </c>
      <c r="DU181" s="121">
        <f t="shared" ca="1" si="917"/>
        <v>0</v>
      </c>
      <c r="DV181" s="121">
        <f t="shared" ca="1" si="917"/>
        <v>6.6294872128244107</v>
      </c>
      <c r="DW181" s="121">
        <f t="shared" ca="1" si="917"/>
        <v>9.2667476213628444</v>
      </c>
      <c r="DX181" s="121">
        <f t="shared" ca="1" si="917"/>
        <v>0</v>
      </c>
      <c r="DY181" s="121">
        <f t="shared" ca="1" si="917"/>
        <v>0</v>
      </c>
      <c r="DZ181" s="121">
        <f t="shared" ca="1" si="917"/>
        <v>6.6770850587273909</v>
      </c>
      <c r="EA181" s="121">
        <f t="shared" ca="1" si="917"/>
        <v>9.3741498612668632</v>
      </c>
      <c r="EB181" s="121">
        <f t="shared" ca="1" si="917"/>
        <v>0</v>
      </c>
      <c r="EC181" s="121">
        <f t="shared" ca="1" si="917"/>
        <v>0</v>
      </c>
      <c r="ED181" s="121">
        <f t="shared" ca="1" si="917"/>
        <v>6.7228623274900201</v>
      </c>
      <c r="EE181" s="121">
        <f t="shared" ca="1" si="917"/>
        <v>9.4810839069953587</v>
      </c>
      <c r="EF181" s="121">
        <f t="shared" ca="1" si="917"/>
        <v>0</v>
      </c>
      <c r="EG181" s="121">
        <f t="shared" ca="1" si="917"/>
        <v>0</v>
      </c>
      <c r="EH181" s="121">
        <f t="shared" ca="1" si="917"/>
        <v>6.7666958852457979</v>
      </c>
      <c r="EI181" s="121">
        <f t="shared" ca="1" si="917"/>
        <v>0</v>
      </c>
      <c r="EJ181" s="121">
        <f t="shared" ref="EJ181:FA181" ca="1" si="918">MAX(EJ179-EJ180,0)</f>
        <v>9.4855725030477913</v>
      </c>
      <c r="EK181" s="121">
        <f t="shared" ca="1" si="918"/>
        <v>0</v>
      </c>
      <c r="EL181" s="121">
        <f t="shared" ca="1" si="918"/>
        <v>0</v>
      </c>
      <c r="EM181" s="121">
        <f t="shared" ca="1" si="918"/>
        <v>0</v>
      </c>
      <c r="EN181" s="121">
        <f t="shared" ca="1" si="918"/>
        <v>0</v>
      </c>
      <c r="EO181" s="121">
        <f t="shared" ca="1" si="918"/>
        <v>0</v>
      </c>
      <c r="EP181" s="121">
        <f t="shared" ca="1" si="918"/>
        <v>0</v>
      </c>
      <c r="EQ181" s="121">
        <f t="shared" ca="1" si="918"/>
        <v>0</v>
      </c>
      <c r="ER181" s="121">
        <f t="shared" ca="1" si="918"/>
        <v>0</v>
      </c>
      <c r="ES181" s="121">
        <f t="shared" ca="1" si="918"/>
        <v>0</v>
      </c>
      <c r="ET181" s="121">
        <f t="shared" ca="1" si="918"/>
        <v>0</v>
      </c>
      <c r="EU181" s="121">
        <f t="shared" ca="1" si="918"/>
        <v>0</v>
      </c>
      <c r="EV181" s="121">
        <f t="shared" ca="1" si="918"/>
        <v>0</v>
      </c>
      <c r="EW181" s="121">
        <f t="shared" ca="1" si="918"/>
        <v>0</v>
      </c>
      <c r="EX181" s="121">
        <f t="shared" ca="1" si="918"/>
        <v>0</v>
      </c>
      <c r="EY181" s="121">
        <f t="shared" ca="1" si="918"/>
        <v>0</v>
      </c>
      <c r="EZ181" s="121">
        <f t="shared" ca="1" si="918"/>
        <v>0</v>
      </c>
      <c r="FA181" s="121">
        <f t="shared" ca="1" si="918"/>
        <v>0</v>
      </c>
    </row>
    <row r="182" spans="3:157" outlineLevel="1" x14ac:dyDescent="0.2">
      <c r="C182" s="9" t="s">
        <v>136</v>
      </c>
      <c r="D182" s="21" t="s">
        <v>126</v>
      </c>
      <c r="E182" s="213">
        <f ca="1">XNPV(First_Debt_Interest,OFFSET(IRR_Revenue_Model!X89,0,0,1,Debt_Tenor*Quarters_in_Year),OFFSET(IRR_Revenue_Model!X56,0,0,1,Debt_Tenor*Quarters_in_Year))</f>
        <v>2609.5401263788162</v>
      </c>
      <c r="F182" s="5"/>
      <c r="G182" s="80"/>
    </row>
    <row r="183" spans="3:157" outlineLevel="1" x14ac:dyDescent="0.2">
      <c r="C183" s="9" t="s">
        <v>137</v>
      </c>
      <c r="D183" s="21" t="s">
        <v>126</v>
      </c>
      <c r="E183" s="213">
        <f ca="1">E175</f>
        <v>1178.747201511213</v>
      </c>
      <c r="F183" s="5"/>
      <c r="G183" s="80"/>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c r="AY183" s="84"/>
      <c r="AZ183" s="84"/>
      <c r="BA183" s="84"/>
      <c r="BB183" s="84"/>
      <c r="BC183" s="84"/>
      <c r="BD183" s="84"/>
      <c r="BE183" s="84"/>
      <c r="BF183" s="84"/>
      <c r="BG183" s="84"/>
      <c r="BH183" s="84"/>
      <c r="BI183" s="84"/>
      <c r="BJ183" s="84"/>
      <c r="BK183" s="84"/>
      <c r="BL183" s="84"/>
      <c r="BM183" s="84"/>
      <c r="BN183" s="84"/>
      <c r="BO183" s="84"/>
      <c r="BP183" s="84"/>
      <c r="BQ183" s="84"/>
      <c r="BR183" s="84"/>
      <c r="BS183" s="84"/>
      <c r="BT183" s="84"/>
      <c r="BU183" s="84"/>
      <c r="BV183" s="84"/>
      <c r="BW183" s="84"/>
      <c r="BX183" s="84"/>
      <c r="BY183" s="84"/>
      <c r="BZ183" s="84"/>
      <c r="CA183" s="84"/>
      <c r="CB183" s="84"/>
      <c r="CC183" s="84"/>
      <c r="CD183" s="84"/>
      <c r="CE183" s="84"/>
      <c r="CF183" s="84"/>
      <c r="CG183" s="84"/>
      <c r="CH183" s="84"/>
      <c r="CI183" s="84"/>
      <c r="CJ183" s="84"/>
      <c r="CK183" s="84"/>
      <c r="CL183" s="84"/>
      <c r="CM183" s="84"/>
      <c r="CN183" s="84"/>
      <c r="CO183" s="84"/>
      <c r="CP183" s="84"/>
      <c r="CQ183" s="84"/>
      <c r="CR183" s="84"/>
      <c r="CS183" s="84"/>
      <c r="CT183" s="84"/>
      <c r="CU183" s="273"/>
      <c r="CV183" s="84"/>
      <c r="CW183" s="84"/>
      <c r="CX183" s="84"/>
      <c r="CY183" s="84"/>
      <c r="CZ183" s="84"/>
      <c r="DA183" s="84"/>
      <c r="DB183" s="84"/>
      <c r="DC183" s="84"/>
      <c r="DD183" s="84"/>
      <c r="DE183" s="84"/>
      <c r="DF183" s="84"/>
      <c r="DG183" s="84"/>
      <c r="DH183" s="84"/>
      <c r="DI183" s="84"/>
      <c r="DJ183" s="84"/>
      <c r="DK183" s="84"/>
      <c r="DL183" s="84"/>
      <c r="DM183" s="84"/>
      <c r="DN183" s="84"/>
      <c r="DO183" s="84"/>
      <c r="DP183" s="84"/>
      <c r="DQ183" s="84"/>
      <c r="DR183" s="84"/>
      <c r="DS183" s="84"/>
      <c r="DT183" s="84"/>
      <c r="DU183" s="84"/>
      <c r="DV183" s="84"/>
      <c r="DW183" s="84"/>
      <c r="DX183" s="84"/>
      <c r="DY183" s="84"/>
      <c r="DZ183" s="84"/>
      <c r="EA183" s="84"/>
      <c r="EB183" s="84"/>
      <c r="EC183" s="84"/>
      <c r="ED183" s="84"/>
      <c r="EE183" s="84"/>
      <c r="EF183" s="84"/>
      <c r="EG183" s="84"/>
      <c r="EH183" s="84"/>
      <c r="EI183" s="84"/>
      <c r="EJ183" s="84"/>
      <c r="EK183" s="84"/>
      <c r="EL183" s="84"/>
      <c r="EM183" s="84"/>
      <c r="EN183" s="84"/>
      <c r="EO183" s="84"/>
      <c r="EP183" s="84"/>
      <c r="EQ183" s="84"/>
      <c r="ER183" s="84"/>
      <c r="ES183" s="84"/>
      <c r="ET183" s="84"/>
      <c r="EU183" s="84"/>
      <c r="EV183" s="84"/>
      <c r="EW183" s="84"/>
      <c r="EX183" s="84"/>
      <c r="EY183" s="84"/>
      <c r="EZ183" s="84"/>
      <c r="FA183" s="84"/>
    </row>
    <row r="184" spans="3:157" outlineLevel="1" x14ac:dyDescent="0.2">
      <c r="C184" s="9" t="s">
        <v>133</v>
      </c>
      <c r="D184" s="21" t="s">
        <v>34</v>
      </c>
      <c r="E184" s="123">
        <f ca="1">E182/E183</f>
        <v>2.2138250873751852</v>
      </c>
      <c r="F184" s="5"/>
      <c r="G184" s="80"/>
    </row>
    <row r="185" spans="3:157" outlineLevel="1" x14ac:dyDescent="0.2">
      <c r="D185" s="45"/>
      <c r="E185" s="15"/>
      <c r="F185" s="45"/>
      <c r="G185" s="80"/>
    </row>
    <row r="186" spans="3:157" outlineLevel="1" x14ac:dyDescent="0.2">
      <c r="C186" s="10" t="s">
        <v>84</v>
      </c>
      <c r="D186" s="36"/>
      <c r="E186" s="21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269"/>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row>
    <row r="187" spans="3:157" outlineLevel="1" x14ac:dyDescent="0.2">
      <c r="C187" s="9" t="s">
        <v>91</v>
      </c>
      <c r="D187" s="21" t="s">
        <v>126</v>
      </c>
      <c r="E187" s="37"/>
      <c r="F187" s="121"/>
      <c r="G187" s="121">
        <f ca="1">MAX(G89/$E$192,0)</f>
        <v>0</v>
      </c>
      <c r="H187" s="121">
        <f t="shared" ref="H187:BS187" ca="1" si="919">MAX(H89/$E$192,0)</f>
        <v>0</v>
      </c>
      <c r="I187" s="121">
        <f t="shared" ca="1" si="919"/>
        <v>0</v>
      </c>
      <c r="J187" s="121">
        <f t="shared" ca="1" si="919"/>
        <v>0</v>
      </c>
      <c r="K187" s="121">
        <f t="shared" ca="1" si="919"/>
        <v>0</v>
      </c>
      <c r="L187" s="121">
        <f t="shared" ca="1" si="919"/>
        <v>0</v>
      </c>
      <c r="M187" s="121">
        <f t="shared" ca="1" si="919"/>
        <v>1.1144640879776533</v>
      </c>
      <c r="N187" s="121">
        <f t="shared" ca="1" si="919"/>
        <v>4.8453921985410577</v>
      </c>
      <c r="O187" s="121">
        <f t="shared" ca="1" si="919"/>
        <v>6.7107814706216642</v>
      </c>
      <c r="P187" s="121">
        <f t="shared" ca="1" si="919"/>
        <v>5.5350642182090137</v>
      </c>
      <c r="Q187" s="121">
        <f t="shared" ca="1" si="919"/>
        <v>7.073656740949291</v>
      </c>
      <c r="R187" s="121">
        <f t="shared" ca="1" si="919"/>
        <v>16.675046468901744</v>
      </c>
      <c r="S187" s="121">
        <f t="shared" ca="1" si="919"/>
        <v>20.109151181082957</v>
      </c>
      <c r="T187" s="121">
        <f t="shared" ca="1" si="919"/>
        <v>12.530776541029303</v>
      </c>
      <c r="U187" s="121">
        <f t="shared" ca="1" si="919"/>
        <v>10.126488180926318</v>
      </c>
      <c r="V187" s="121">
        <f t="shared" ca="1" si="919"/>
        <v>18.675127935425909</v>
      </c>
      <c r="W187" s="121">
        <f t="shared" ca="1" si="919"/>
        <v>20.985428159718481</v>
      </c>
      <c r="X187" s="121">
        <f t="shared" ca="1" si="919"/>
        <v>12.782843676615396</v>
      </c>
      <c r="Y187" s="121">
        <f t="shared" ca="1" si="919"/>
        <v>10.323132495252066</v>
      </c>
      <c r="Z187" s="121">
        <f t="shared" ca="1" si="919"/>
        <v>19.067717442652942</v>
      </c>
      <c r="AA187" s="121">
        <f t="shared" ca="1" si="919"/>
        <v>21.430791269902201</v>
      </c>
      <c r="AB187" s="121">
        <f t="shared" ca="1" si="919"/>
        <v>13.039707976256102</v>
      </c>
      <c r="AC187" s="121">
        <f t="shared" ca="1" si="919"/>
        <v>10.523295205339796</v>
      </c>
      <c r="AD187" s="121">
        <f t="shared" ca="1" si="919"/>
        <v>19.468315426156103</v>
      </c>
      <c r="AE187" s="121">
        <f t="shared" ca="1" si="919"/>
        <v>21.885367101442263</v>
      </c>
      <c r="AF187" s="121">
        <f t="shared" ca="1" si="919"/>
        <v>13.301451992670183</v>
      </c>
      <c r="AG187" s="121">
        <f t="shared" ca="1" si="919"/>
        <v>10.727029325735222</v>
      </c>
      <c r="AH187" s="121">
        <f t="shared" ca="1" si="919"/>
        <v>19.877077756068683</v>
      </c>
      <c r="AI187" s="121">
        <f t="shared" ca="1" si="919"/>
        <v>22.10808520083912</v>
      </c>
      <c r="AJ187" s="121">
        <f t="shared" ca="1" si="919"/>
        <v>13.33149886699346</v>
      </c>
      <c r="AK187" s="121">
        <f t="shared" ca="1" si="919"/>
        <v>10.724086426048105</v>
      </c>
      <c r="AL187" s="121">
        <f t="shared" ca="1" si="919"/>
        <v>19.98720472652003</v>
      </c>
      <c r="AM187" s="121">
        <f t="shared" ca="1" si="919"/>
        <v>22.489336302282702</v>
      </c>
      <c r="AN187" s="121">
        <f t="shared" ca="1" si="919"/>
        <v>13.597823119531961</v>
      </c>
      <c r="AO187" s="121">
        <f t="shared" ca="1" si="919"/>
        <v>10.93029773736524</v>
      </c>
      <c r="AP187" s="121">
        <f t="shared" ca="1" si="919"/>
        <v>20.405729894523802</v>
      </c>
      <c r="AQ187" s="121">
        <f t="shared" ca="1" si="919"/>
        <v>22.806100594426635</v>
      </c>
      <c r="AR187" s="121">
        <f t="shared" ca="1" si="919"/>
        <v>13.713274125195676</v>
      </c>
      <c r="AS187" s="121">
        <f t="shared" ca="1" si="919"/>
        <v>11.001610424592284</v>
      </c>
      <c r="AT187" s="121">
        <f t="shared" ca="1" si="919"/>
        <v>20.630556022223107</v>
      </c>
      <c r="AU187" s="121">
        <f t="shared" ca="1" si="919"/>
        <v>23.230765953523655</v>
      </c>
      <c r="AV187" s="121">
        <f t="shared" ca="1" si="919"/>
        <v>13.986124065833375</v>
      </c>
      <c r="AW187" s="121">
        <f t="shared" ca="1" si="919"/>
        <v>11.211939427091798</v>
      </c>
      <c r="AX187" s="121">
        <f t="shared" ca="1" si="919"/>
        <v>21.061579080652347</v>
      </c>
      <c r="AY187" s="121">
        <f t="shared" ca="1" si="919"/>
        <v>23.721171581254545</v>
      </c>
      <c r="AZ187" s="121">
        <f t="shared" ca="1" si="919"/>
        <v>14.264070896679652</v>
      </c>
      <c r="BA187" s="121">
        <f t="shared" ca="1" si="919"/>
        <v>11.42592242402578</v>
      </c>
      <c r="BB187" s="121">
        <f t="shared" ca="1" si="919"/>
        <v>21.501312966244019</v>
      </c>
      <c r="BC187" s="121">
        <f t="shared" ca="1" si="919"/>
        <v>23.818930048363079</v>
      </c>
      <c r="BD187" s="121">
        <f t="shared" ca="1" si="919"/>
        <v>14.152153677440511</v>
      </c>
      <c r="BE187" s="121">
        <f t="shared" ca="1" si="919"/>
        <v>11.292564291833202</v>
      </c>
      <c r="BF187" s="121">
        <f t="shared" ca="1" si="919"/>
        <v>21.437534618407891</v>
      </c>
      <c r="BG187" s="121">
        <f t="shared" ca="1" si="919"/>
        <v>24.175586906177834</v>
      </c>
      <c r="BH187" s="121">
        <f t="shared" ca="1" si="919"/>
        <v>14.43148245897102</v>
      </c>
      <c r="BI187" s="121">
        <f t="shared" ca="1" si="919"/>
        <v>11.505952439415129</v>
      </c>
      <c r="BJ187" s="121">
        <f t="shared" ca="1" si="919"/>
        <v>21.883434616556613</v>
      </c>
      <c r="BK187" s="121">
        <f t="shared" ca="1" si="919"/>
        <v>24.684007810075293</v>
      </c>
      <c r="BL187" s="121">
        <f t="shared" ca="1" si="919"/>
        <v>14.715956580670122</v>
      </c>
      <c r="BM187" s="121">
        <f t="shared" ca="1" si="919"/>
        <v>11.722963855994829</v>
      </c>
      <c r="BN187" s="121">
        <f t="shared" ca="1" si="919"/>
        <v>22.338285236634235</v>
      </c>
      <c r="BO187" s="121">
        <f t="shared" ca="1" si="919"/>
        <v>25.202805335812702</v>
      </c>
      <c r="BP187" s="121">
        <f t="shared" ca="1" si="919"/>
        <v>15.005658829423599</v>
      </c>
      <c r="BQ187" s="121">
        <f t="shared" ca="1" si="919"/>
        <v>11.943646152729469</v>
      </c>
      <c r="BR187" s="121">
        <f t="shared" ca="1" si="919"/>
        <v>22.80225610665968</v>
      </c>
      <c r="BS187" s="121">
        <f t="shared" ca="1" si="919"/>
        <v>25.732181590514465</v>
      </c>
      <c r="BT187" s="121">
        <f t="shared" ref="BT187:EE187" ca="1" si="920">MAX(BT89/$E$192,0)</f>
        <v>15.300672905091783</v>
      </c>
      <c r="BU187" s="121">
        <f t="shared" ca="1" si="920"/>
        <v>12.168047039626053</v>
      </c>
      <c r="BV187" s="121">
        <f t="shared" ca="1" si="920"/>
        <v>23.275519746899512</v>
      </c>
      <c r="BW187" s="121">
        <f t="shared" ca="1" si="920"/>
        <v>26.272342312011016</v>
      </c>
      <c r="BX187" s="121">
        <f t="shared" ca="1" si="920"/>
        <v>15.601083413809029</v>
      </c>
      <c r="BY187" s="121">
        <f t="shared" ca="1" si="920"/>
        <v>12.396214299964655</v>
      </c>
      <c r="BZ187" s="121">
        <f t="shared" ca="1" si="920"/>
        <v>23.758251608206098</v>
      </c>
      <c r="CA187" s="121">
        <f t="shared" ca="1" si="920"/>
        <v>26.823496923929913</v>
      </c>
      <c r="CB187" s="121">
        <f t="shared" ca="1" si="920"/>
        <v>15.906975860353018</v>
      </c>
      <c r="CC187" s="121">
        <f t="shared" ca="1" si="920"/>
        <v>12.628195763352975</v>
      </c>
      <c r="CD187" s="121">
        <f t="shared" ca="1" si="920"/>
        <v>24.250630110448853</v>
      </c>
      <c r="CE187" s="121">
        <f t="shared" ca="1" si="920"/>
        <v>26.765217215903224</v>
      </c>
      <c r="CF187" s="121">
        <f t="shared" ca="1" si="920"/>
        <v>15.609611657977995</v>
      </c>
      <c r="CG187" s="121">
        <f t="shared" ca="1" si="920"/>
        <v>12.323023676982244</v>
      </c>
      <c r="CH187" s="121">
        <f t="shared" ca="1" si="920"/>
        <v>23.963165836587969</v>
      </c>
      <c r="CI187" s="121">
        <f t="shared" ca="1" si="920"/>
        <v>27.10154590741233</v>
      </c>
      <c r="CJ187" s="121">
        <f t="shared" ca="1" si="920"/>
        <v>15.912755511718343</v>
      </c>
      <c r="CK187" s="121">
        <f t="shared" ca="1" si="920"/>
        <v>12.550360769260685</v>
      </c>
      <c r="CL187" s="121">
        <f t="shared" ca="1" si="920"/>
        <v>24.457262003070557</v>
      </c>
      <c r="CM187" s="121">
        <f t="shared" ca="1" si="920"/>
        <v>27.667283068962103</v>
      </c>
      <c r="CN187" s="121">
        <f t="shared" ca="1" si="920"/>
        <v>16.221322448664921</v>
      </c>
      <c r="CO187" s="121">
        <f t="shared" ca="1" si="920"/>
        <v>12.78137058599102</v>
      </c>
      <c r="CP187" s="121">
        <f t="shared" ca="1" si="920"/>
        <v>24.961142347866577</v>
      </c>
      <c r="CQ187" s="121">
        <f t="shared" ca="1" si="920"/>
        <v>28.244437828949724</v>
      </c>
      <c r="CR187" s="121">
        <f t="shared" ca="1" si="920"/>
        <v>16.535394112349444</v>
      </c>
      <c r="CS187" s="121">
        <f t="shared" ca="1" si="920"/>
        <v>13.016094303656766</v>
      </c>
      <c r="CT187" s="121">
        <f t="shared" ca="1" si="920"/>
        <v>25.474988006956245</v>
      </c>
      <c r="CU187" s="272">
        <f t="shared" ca="1" si="920"/>
        <v>28.833228509908782</v>
      </c>
      <c r="CV187" s="314">
        <f t="shared" ca="1" si="920"/>
        <v>6.1492110620285683</v>
      </c>
      <c r="CW187" s="121">
        <f t="shared" ca="1" si="920"/>
        <v>0</v>
      </c>
      <c r="CX187" s="121">
        <f t="shared" ca="1" si="920"/>
        <v>4.7520235141023468</v>
      </c>
      <c r="CY187" s="121">
        <f t="shared" ca="1" si="920"/>
        <v>6.1504330335858164</v>
      </c>
      <c r="CZ187" s="121">
        <f t="shared" ca="1" si="920"/>
        <v>0.25764572802540342</v>
      </c>
      <c r="DA187" s="121">
        <f t="shared" ca="1" si="920"/>
        <v>0</v>
      </c>
      <c r="DB187" s="121">
        <f t="shared" ca="1" si="920"/>
        <v>4.4780683216805777</v>
      </c>
      <c r="DC187" s="121">
        <f t="shared" ca="1" si="920"/>
        <v>6.1358558907495668</v>
      </c>
      <c r="DD187" s="121">
        <f t="shared" ca="1" si="920"/>
        <v>0.20035131498390535</v>
      </c>
      <c r="DE187" s="121">
        <f t="shared" ca="1" si="920"/>
        <v>0</v>
      </c>
      <c r="DF187" s="121">
        <f t="shared" ca="1" si="920"/>
        <v>4.5167584332846582</v>
      </c>
      <c r="DG187" s="121">
        <f t="shared" ca="1" si="920"/>
        <v>6.2121506061629601</v>
      </c>
      <c r="DH187" s="121">
        <f t="shared" ca="1" si="920"/>
        <v>0.1399815289276376</v>
      </c>
      <c r="DI187" s="121">
        <f t="shared" ca="1" si="920"/>
        <v>0</v>
      </c>
      <c r="DJ187" s="121">
        <f t="shared" ca="1" si="920"/>
        <v>4.554551611401723</v>
      </c>
      <c r="DK187" s="121">
        <f t="shared" ca="1" si="920"/>
        <v>6.2883990842370832</v>
      </c>
      <c r="DL187" s="121">
        <f t="shared" ca="1" si="920"/>
        <v>7.6416640362335628E-2</v>
      </c>
      <c r="DM187" s="121">
        <f t="shared" ca="1" si="920"/>
        <v>0</v>
      </c>
      <c r="DN187" s="121">
        <f t="shared" ca="1" si="920"/>
        <v>4.5913774388893165</v>
      </c>
      <c r="DO187" s="121">
        <f t="shared" ca="1" si="920"/>
        <v>6.3645500863322102</v>
      </c>
      <c r="DP187" s="121">
        <f t="shared" ca="1" si="920"/>
        <v>9.5327968259869625E-3</v>
      </c>
      <c r="DQ187" s="121">
        <f t="shared" ca="1" si="920"/>
        <v>0</v>
      </c>
      <c r="DR187" s="121">
        <f t="shared" ca="1" si="920"/>
        <v>4.627162488212786</v>
      </c>
      <c r="DS187" s="121">
        <f t="shared" ca="1" si="920"/>
        <v>6.4405497938916998</v>
      </c>
      <c r="DT187" s="121">
        <f t="shared" ca="1" si="920"/>
        <v>0</v>
      </c>
      <c r="DU187" s="121">
        <f t="shared" ca="1" si="920"/>
        <v>0</v>
      </c>
      <c r="DV187" s="121">
        <f t="shared" ca="1" si="920"/>
        <v>4.6618302132664091</v>
      </c>
      <c r="DW187" s="121">
        <f t="shared" ca="1" si="920"/>
        <v>6.5163417098709671</v>
      </c>
      <c r="DX187" s="121">
        <f t="shared" ca="1" si="920"/>
        <v>0</v>
      </c>
      <c r="DY187" s="121">
        <f t="shared" ca="1" si="920"/>
        <v>0</v>
      </c>
      <c r="DZ187" s="121">
        <f t="shared" ca="1" si="920"/>
        <v>4.6953008376138952</v>
      </c>
      <c r="EA187" s="121">
        <f t="shared" ca="1" si="920"/>
        <v>6.5918665567985659</v>
      </c>
      <c r="EB187" s="121">
        <f t="shared" ca="1" si="920"/>
        <v>0</v>
      </c>
      <c r="EC187" s="121">
        <f t="shared" ca="1" si="920"/>
        <v>0</v>
      </c>
      <c r="ED187" s="121">
        <f t="shared" ca="1" si="920"/>
        <v>4.7274912390352331</v>
      </c>
      <c r="EE187" s="121">
        <f t="shared" ca="1" si="920"/>
        <v>6.6670621713612697</v>
      </c>
      <c r="EF187" s="121">
        <f t="shared" ref="EF187:FA187" ca="1" si="921">MAX(EF89/$E$192,0)</f>
        <v>0</v>
      </c>
      <c r="EG187" s="121">
        <f t="shared" ca="1" si="921"/>
        <v>0</v>
      </c>
      <c r="EH187" s="121">
        <f t="shared" ca="1" si="921"/>
        <v>4.7583148302634575</v>
      </c>
      <c r="EI187" s="121">
        <f t="shared" ca="1" si="921"/>
        <v>0</v>
      </c>
      <c r="EJ187" s="121">
        <f t="shared" ca="1" si="921"/>
        <v>6.6702185350468195</v>
      </c>
      <c r="EK187" s="121">
        <f t="shared" ca="1" si="921"/>
        <v>0</v>
      </c>
      <c r="EL187" s="121">
        <f t="shared" ca="1" si="921"/>
        <v>0</v>
      </c>
      <c r="EM187" s="121">
        <f t="shared" ca="1" si="921"/>
        <v>0</v>
      </c>
      <c r="EN187" s="121">
        <f t="shared" ca="1" si="921"/>
        <v>0</v>
      </c>
      <c r="EO187" s="121">
        <f t="shared" ca="1" si="921"/>
        <v>0</v>
      </c>
      <c r="EP187" s="121">
        <f t="shared" ca="1" si="921"/>
        <v>0</v>
      </c>
      <c r="EQ187" s="121">
        <f t="shared" ca="1" si="921"/>
        <v>0</v>
      </c>
      <c r="ER187" s="121">
        <f t="shared" ca="1" si="921"/>
        <v>0</v>
      </c>
      <c r="ES187" s="121">
        <f t="shared" ca="1" si="921"/>
        <v>0</v>
      </c>
      <c r="ET187" s="121">
        <f t="shared" ca="1" si="921"/>
        <v>0</v>
      </c>
      <c r="EU187" s="121">
        <f t="shared" ca="1" si="921"/>
        <v>0</v>
      </c>
      <c r="EV187" s="121">
        <f t="shared" ca="1" si="921"/>
        <v>0</v>
      </c>
      <c r="EW187" s="121">
        <f t="shared" ca="1" si="921"/>
        <v>0</v>
      </c>
      <c r="EX187" s="121">
        <f t="shared" ca="1" si="921"/>
        <v>0</v>
      </c>
      <c r="EY187" s="121">
        <f t="shared" ca="1" si="921"/>
        <v>0</v>
      </c>
      <c r="EZ187" s="121">
        <f t="shared" ca="1" si="921"/>
        <v>0</v>
      </c>
      <c r="FA187" s="121">
        <f t="shared" ca="1" si="921"/>
        <v>0</v>
      </c>
    </row>
    <row r="188" spans="3:157" outlineLevel="1" x14ac:dyDescent="0.2">
      <c r="C188" s="9" t="s">
        <v>92</v>
      </c>
      <c r="D188" s="21" t="s">
        <v>126</v>
      </c>
      <c r="E188" s="37"/>
      <c r="F188" s="121"/>
      <c r="G188" s="121">
        <f t="shared" ref="G188:AL188" si="922">G169*Second_Interest_Quarterly</f>
        <v>0</v>
      </c>
      <c r="H188" s="121">
        <f t="shared" ca="1" si="922"/>
        <v>0</v>
      </c>
      <c r="I188" s="121">
        <f t="shared" ca="1" si="922"/>
        <v>0</v>
      </c>
      <c r="J188" s="121">
        <f t="shared" ca="1" si="922"/>
        <v>0</v>
      </c>
      <c r="K188" s="121">
        <f t="shared" ca="1" si="922"/>
        <v>0</v>
      </c>
      <c r="L188" s="121">
        <f t="shared" ca="1" si="922"/>
        <v>0</v>
      </c>
      <c r="M188" s="121">
        <f t="shared" ca="1" si="922"/>
        <v>0</v>
      </c>
      <c r="N188" s="121">
        <f t="shared" ca="1" si="922"/>
        <v>0</v>
      </c>
      <c r="O188" s="121">
        <f t="shared" ca="1" si="922"/>
        <v>0</v>
      </c>
      <c r="P188" s="121">
        <f t="shared" ca="1" si="922"/>
        <v>0</v>
      </c>
      <c r="Q188" s="121">
        <f t="shared" ca="1" si="922"/>
        <v>0</v>
      </c>
      <c r="R188" s="121">
        <f t="shared" ca="1" si="922"/>
        <v>0</v>
      </c>
      <c r="S188" s="121">
        <f t="shared" ca="1" si="922"/>
        <v>0</v>
      </c>
      <c r="T188" s="121">
        <f t="shared" ca="1" si="922"/>
        <v>0</v>
      </c>
      <c r="U188" s="121">
        <f t="shared" ca="1" si="922"/>
        <v>0</v>
      </c>
      <c r="V188" s="121">
        <f t="shared" ca="1" si="922"/>
        <v>0</v>
      </c>
      <c r="W188" s="121">
        <f t="shared" ca="1" si="922"/>
        <v>0</v>
      </c>
      <c r="X188" s="121">
        <f t="shared" ca="1" si="922"/>
        <v>12.657126235599105</v>
      </c>
      <c r="Y188" s="121">
        <f t="shared" ca="1" si="922"/>
        <v>12.655101346565749</v>
      </c>
      <c r="Z188" s="121">
        <f t="shared" ca="1" si="922"/>
        <v>12.655101346565749</v>
      </c>
      <c r="AA188" s="121">
        <f t="shared" ca="1" si="922"/>
        <v>12.551815470691068</v>
      </c>
      <c r="AB188" s="121">
        <f t="shared" ca="1" si="922"/>
        <v>12.408804758908213</v>
      </c>
      <c r="AC188" s="121">
        <f t="shared" ca="1" si="922"/>
        <v>12.39864301050171</v>
      </c>
      <c r="AD188" s="121">
        <f t="shared" ca="1" si="922"/>
        <v>12.39864301050171</v>
      </c>
      <c r="AE188" s="121">
        <f t="shared" ca="1" si="922"/>
        <v>12.284774146896497</v>
      </c>
      <c r="AF188" s="121">
        <f t="shared" ca="1" si="922"/>
        <v>12.130140587461744</v>
      </c>
      <c r="AG188" s="121">
        <f t="shared" ca="1" si="922"/>
        <v>12.111274664007698</v>
      </c>
      <c r="AH188" s="121">
        <f t="shared" ca="1" si="922"/>
        <v>12.111274664007698</v>
      </c>
      <c r="AI188" s="121">
        <f t="shared" ca="1" si="922"/>
        <v>11.986193454994851</v>
      </c>
      <c r="AJ188" s="121">
        <f t="shared" ca="1" si="922"/>
        <v>11.823163509210923</v>
      </c>
      <c r="AK188" s="121">
        <f t="shared" ca="1" si="922"/>
        <v>11.798869252981179</v>
      </c>
      <c r="AL188" s="121">
        <f t="shared" ca="1" si="922"/>
        <v>11.798869252981179</v>
      </c>
      <c r="AM188" s="121">
        <f t="shared" ref="AM188:BR188" ca="1" si="923">AM169*Second_Interest_Quarterly</f>
        <v>11.6669824553517</v>
      </c>
      <c r="AN188" s="121">
        <f t="shared" ca="1" si="923"/>
        <v>11.492670399342602</v>
      </c>
      <c r="AO188" s="121">
        <f t="shared" ca="1" si="923"/>
        <v>11.458763404241585</v>
      </c>
      <c r="AP188" s="121">
        <f t="shared" ca="1" si="923"/>
        <v>11.458763404241585</v>
      </c>
      <c r="AQ188" s="121">
        <f t="shared" ca="1" si="923"/>
        <v>11.314657588998086</v>
      </c>
      <c r="AR188" s="121">
        <f t="shared" ca="1" si="923"/>
        <v>11.129568736321581</v>
      </c>
      <c r="AS188" s="121">
        <f t="shared" ca="1" si="923"/>
        <v>11.087953852459309</v>
      </c>
      <c r="AT188" s="121">
        <f t="shared" ca="1" si="923"/>
        <v>11.087953852459309</v>
      </c>
      <c r="AU188" s="121">
        <f t="shared" ca="1" si="923"/>
        <v>10.93425433131862</v>
      </c>
      <c r="AV188" s="121">
        <f t="shared" ca="1" si="923"/>
        <v>10.736198506040445</v>
      </c>
      <c r="AW188" s="121">
        <f t="shared" ca="1" si="923"/>
        <v>10.683853035340032</v>
      </c>
      <c r="AX188" s="121">
        <f t="shared" ca="1" si="923"/>
        <v>10.675347323366589</v>
      </c>
      <c r="AY188" s="121">
        <f t="shared" ca="1" si="923"/>
        <v>10.508059740886289</v>
      </c>
      <c r="AZ188" s="121">
        <f t="shared" ca="1" si="923"/>
        <v>10.295240540576563</v>
      </c>
      <c r="BA188" s="121">
        <f t="shared" ca="1" si="923"/>
        <v>10.231315909289457</v>
      </c>
      <c r="BB188" s="121">
        <f t="shared" ca="1" si="923"/>
        <v>10.212074779249654</v>
      </c>
      <c r="BC188" s="121">
        <f t="shared" ca="1" si="923"/>
        <v>10.030242772369796</v>
      </c>
      <c r="BD188" s="121">
        <f t="shared" ca="1" si="923"/>
        <v>9.8081529698425509</v>
      </c>
      <c r="BE188" s="121">
        <f t="shared" ca="1" si="923"/>
        <v>9.7381855944123785</v>
      </c>
      <c r="BF188" s="121">
        <f t="shared" ca="1" si="923"/>
        <v>9.7131497334161132</v>
      </c>
      <c r="BG188" s="121">
        <f t="shared" ca="1" si="923"/>
        <v>9.5243089633165035</v>
      </c>
      <c r="BH188" s="121">
        <f t="shared" ca="1" si="923"/>
        <v>9.2883256996473751</v>
      </c>
      <c r="BI188" s="121">
        <f t="shared" ca="1" si="923"/>
        <v>9.2054865833354427</v>
      </c>
      <c r="BJ188" s="121">
        <f t="shared" ca="1" si="923"/>
        <v>9.1684337444776851</v>
      </c>
      <c r="BK188" s="121">
        <f t="shared" ca="1" si="923"/>
        <v>8.9636374519596682</v>
      </c>
      <c r="BL188" s="121">
        <f t="shared" ca="1" si="923"/>
        <v>8.7104346721295958</v>
      </c>
      <c r="BM188" s="121">
        <f t="shared" ca="1" si="923"/>
        <v>8.6137057270136257</v>
      </c>
      <c r="BN188" s="121">
        <f t="shared" ca="1" si="923"/>
        <v>8.5636259398627548</v>
      </c>
      <c r="BO188" s="121">
        <f t="shared" ca="1" si="923"/>
        <v>8.3417620813338651</v>
      </c>
      <c r="BP188" s="121">
        <f t="shared" ca="1" si="923"/>
        <v>8.0701868623273256</v>
      </c>
      <c r="BQ188" s="121">
        <f t="shared" ca="1" si="923"/>
        <v>7.9584795207381536</v>
      </c>
      <c r="BR188" s="121">
        <f t="shared" ca="1" si="923"/>
        <v>7.8942917664855745</v>
      </c>
      <c r="BS188" s="121">
        <f t="shared" ref="BS188:CX188" ca="1" si="924">BS169*Second_Interest_Quarterly</f>
        <v>7.6541741403387462</v>
      </c>
      <c r="BT188" s="121">
        <f t="shared" ca="1" si="924"/>
        <v>7.3629976835569746</v>
      </c>
      <c r="BU188" s="121">
        <f t="shared" ca="1" si="924"/>
        <v>7.235148187285831</v>
      </c>
      <c r="BV188" s="121">
        <f t="shared" ca="1" si="924"/>
        <v>7.1556956251909236</v>
      </c>
      <c r="BW188" s="121">
        <f t="shared" ca="1" si="924"/>
        <v>6.8960589763710454</v>
      </c>
      <c r="BX188" s="121">
        <f t="shared" ca="1" si="924"/>
        <v>6.5839716214553636</v>
      </c>
      <c r="BY188" s="121">
        <f t="shared" ca="1" si="924"/>
        <v>6.4387359991480428</v>
      </c>
      <c r="BZ188" s="121">
        <f t="shared" ca="1" si="924"/>
        <v>6.3427808764517524</v>
      </c>
      <c r="CA188" s="121">
        <f t="shared" ca="1" si="924"/>
        <v>6.0622756783631448</v>
      </c>
      <c r="CB188" s="121">
        <f t="shared" ca="1" si="924"/>
        <v>5.7278815888924166</v>
      </c>
      <c r="CC188" s="121">
        <f t="shared" ca="1" si="924"/>
        <v>5.5639303010427863</v>
      </c>
      <c r="CD188" s="121">
        <f t="shared" ca="1" si="924"/>
        <v>5.4501485254377924</v>
      </c>
      <c r="CE188" s="121">
        <f t="shared" ca="1" si="924"/>
        <v>5.1473354179201687</v>
      </c>
      <c r="CF188" s="121">
        <f t="shared" ca="1" si="924"/>
        <v>4.7991433816898343</v>
      </c>
      <c r="CG188" s="121">
        <f t="shared" ca="1" si="924"/>
        <v>4.6250227626162586</v>
      </c>
      <c r="CH188" s="121">
        <f t="shared" ca="1" si="924"/>
        <v>4.5010336207417687</v>
      </c>
      <c r="CI188" s="121">
        <f t="shared" ca="1" si="924"/>
        <v>4.1875635264491944</v>
      </c>
      <c r="CJ188" s="121">
        <f t="shared" ca="1" si="924"/>
        <v>3.8184956289589809</v>
      </c>
      <c r="CK188" s="121">
        <f t="shared" ca="1" si="924"/>
        <v>3.6236974052185897</v>
      </c>
      <c r="CL188" s="121">
        <f t="shared" ca="1" si="924"/>
        <v>3.4799186056805822</v>
      </c>
      <c r="CM188" s="121">
        <f t="shared" ca="1" si="924"/>
        <v>3.1420435085504996</v>
      </c>
      <c r="CN188" s="121">
        <f t="shared" ca="1" si="924"/>
        <v>2.7470236272606874</v>
      </c>
      <c r="CO188" s="121">
        <f t="shared" ca="1" si="924"/>
        <v>2.5299975750672452</v>
      </c>
      <c r="CP188" s="121">
        <f t="shared" ca="1" si="924"/>
        <v>2.3648821175868888</v>
      </c>
      <c r="CQ188" s="121">
        <f t="shared" ca="1" si="924"/>
        <v>2.0009316651653348</v>
      </c>
      <c r="CR188" s="121">
        <f t="shared" ca="1" si="924"/>
        <v>1.5782362348552306</v>
      </c>
      <c r="CS188" s="121">
        <f t="shared" ca="1" si="924"/>
        <v>1.3373262647549593</v>
      </c>
      <c r="CT188" s="121">
        <f t="shared" ca="1" si="924"/>
        <v>1.1492202300320584</v>
      </c>
      <c r="CU188" s="272">
        <f t="shared" ca="1" si="924"/>
        <v>0.75741317445348</v>
      </c>
      <c r="CV188" s="121">
        <f t="shared" si="924"/>
        <v>0</v>
      </c>
      <c r="CW188" s="121">
        <f t="shared" ca="1" si="924"/>
        <v>0</v>
      </c>
      <c r="CX188" s="121">
        <f t="shared" ca="1" si="924"/>
        <v>0</v>
      </c>
      <c r="CY188" s="121">
        <f t="shared" ref="CY188:ED188" ca="1" si="925">CY169*Second_Interest_Quarterly</f>
        <v>0</v>
      </c>
      <c r="CZ188" s="121">
        <f t="shared" ca="1" si="925"/>
        <v>0</v>
      </c>
      <c r="DA188" s="121">
        <f t="shared" ca="1" si="925"/>
        <v>0</v>
      </c>
      <c r="DB188" s="121">
        <f t="shared" ca="1" si="925"/>
        <v>0</v>
      </c>
      <c r="DC188" s="121">
        <f t="shared" ca="1" si="925"/>
        <v>0</v>
      </c>
      <c r="DD188" s="121">
        <f t="shared" ca="1" si="925"/>
        <v>0</v>
      </c>
      <c r="DE188" s="121">
        <f t="shared" ca="1" si="925"/>
        <v>0</v>
      </c>
      <c r="DF188" s="121">
        <f t="shared" ca="1" si="925"/>
        <v>0</v>
      </c>
      <c r="DG188" s="121">
        <f t="shared" ca="1" si="925"/>
        <v>0</v>
      </c>
      <c r="DH188" s="121">
        <f t="shared" ca="1" si="925"/>
        <v>0</v>
      </c>
      <c r="DI188" s="121">
        <f t="shared" ca="1" si="925"/>
        <v>0</v>
      </c>
      <c r="DJ188" s="121">
        <f t="shared" ca="1" si="925"/>
        <v>0</v>
      </c>
      <c r="DK188" s="121">
        <f t="shared" ca="1" si="925"/>
        <v>0</v>
      </c>
      <c r="DL188" s="121">
        <f t="shared" ca="1" si="925"/>
        <v>0</v>
      </c>
      <c r="DM188" s="121">
        <f t="shared" ca="1" si="925"/>
        <v>0</v>
      </c>
      <c r="DN188" s="121">
        <f t="shared" ca="1" si="925"/>
        <v>0</v>
      </c>
      <c r="DO188" s="121">
        <f t="shared" ca="1" si="925"/>
        <v>0</v>
      </c>
      <c r="DP188" s="121">
        <f t="shared" ca="1" si="925"/>
        <v>0</v>
      </c>
      <c r="DQ188" s="121">
        <f t="shared" ca="1" si="925"/>
        <v>0</v>
      </c>
      <c r="DR188" s="121">
        <f t="shared" ca="1" si="925"/>
        <v>0</v>
      </c>
      <c r="DS188" s="121">
        <f t="shared" ca="1" si="925"/>
        <v>0</v>
      </c>
      <c r="DT188" s="121">
        <f t="shared" ca="1" si="925"/>
        <v>0</v>
      </c>
      <c r="DU188" s="121">
        <f t="shared" ca="1" si="925"/>
        <v>0</v>
      </c>
      <c r="DV188" s="121">
        <f t="shared" ca="1" si="925"/>
        <v>0</v>
      </c>
      <c r="DW188" s="121">
        <f t="shared" ca="1" si="925"/>
        <v>0</v>
      </c>
      <c r="DX188" s="121">
        <f t="shared" ca="1" si="925"/>
        <v>0</v>
      </c>
      <c r="DY188" s="121">
        <f t="shared" ca="1" si="925"/>
        <v>0</v>
      </c>
      <c r="DZ188" s="121">
        <f t="shared" ca="1" si="925"/>
        <v>0</v>
      </c>
      <c r="EA188" s="121">
        <f t="shared" ca="1" si="925"/>
        <v>0</v>
      </c>
      <c r="EB188" s="121">
        <f t="shared" ca="1" si="925"/>
        <v>0</v>
      </c>
      <c r="EC188" s="121">
        <f t="shared" ca="1" si="925"/>
        <v>0</v>
      </c>
      <c r="ED188" s="121">
        <f t="shared" ca="1" si="925"/>
        <v>0</v>
      </c>
      <c r="EE188" s="121">
        <f t="shared" ref="EE188:FA188" ca="1" si="926">EE169*Second_Interest_Quarterly</f>
        <v>0</v>
      </c>
      <c r="EF188" s="121">
        <f t="shared" ca="1" si="926"/>
        <v>0</v>
      </c>
      <c r="EG188" s="121">
        <f t="shared" ca="1" si="926"/>
        <v>0</v>
      </c>
      <c r="EH188" s="121">
        <f t="shared" ca="1" si="926"/>
        <v>0</v>
      </c>
      <c r="EI188" s="121">
        <f t="shared" ca="1" si="926"/>
        <v>0</v>
      </c>
      <c r="EJ188" s="121">
        <f t="shared" ca="1" si="926"/>
        <v>0</v>
      </c>
      <c r="EK188" s="121">
        <f t="shared" ca="1" si="926"/>
        <v>0</v>
      </c>
      <c r="EL188" s="121">
        <f t="shared" ca="1" si="926"/>
        <v>0</v>
      </c>
      <c r="EM188" s="121">
        <f t="shared" ca="1" si="926"/>
        <v>0</v>
      </c>
      <c r="EN188" s="121">
        <f t="shared" ca="1" si="926"/>
        <v>0</v>
      </c>
      <c r="EO188" s="121">
        <f t="shared" ca="1" si="926"/>
        <v>0</v>
      </c>
      <c r="EP188" s="121">
        <f t="shared" ca="1" si="926"/>
        <v>0</v>
      </c>
      <c r="EQ188" s="121">
        <f t="shared" ca="1" si="926"/>
        <v>0</v>
      </c>
      <c r="ER188" s="121">
        <f t="shared" ca="1" si="926"/>
        <v>0</v>
      </c>
      <c r="ES188" s="121">
        <f t="shared" ca="1" si="926"/>
        <v>0</v>
      </c>
      <c r="ET188" s="121">
        <f t="shared" ca="1" si="926"/>
        <v>0</v>
      </c>
      <c r="EU188" s="121">
        <f t="shared" ca="1" si="926"/>
        <v>0</v>
      </c>
      <c r="EV188" s="121">
        <f t="shared" ca="1" si="926"/>
        <v>0</v>
      </c>
      <c r="EW188" s="121">
        <f t="shared" ca="1" si="926"/>
        <v>0</v>
      </c>
      <c r="EX188" s="121">
        <f t="shared" ca="1" si="926"/>
        <v>0</v>
      </c>
      <c r="EY188" s="121">
        <f t="shared" ca="1" si="926"/>
        <v>0</v>
      </c>
      <c r="EZ188" s="121">
        <f t="shared" ca="1" si="926"/>
        <v>0</v>
      </c>
      <c r="FA188" s="121">
        <f t="shared" ca="1" si="926"/>
        <v>0</v>
      </c>
    </row>
    <row r="189" spans="3:157" outlineLevel="1" x14ac:dyDescent="0.2">
      <c r="C189" s="9" t="s">
        <v>93</v>
      </c>
      <c r="D189" s="21" t="s">
        <v>126</v>
      </c>
      <c r="E189" s="37"/>
      <c r="F189" s="121"/>
      <c r="G189" s="121">
        <f ca="1">MAX(0,G187-G188)</f>
        <v>0</v>
      </c>
      <c r="H189" s="121">
        <f t="shared" ref="H189:BS189" ca="1" si="927">MAX(0,H187-H188)</f>
        <v>0</v>
      </c>
      <c r="I189" s="121">
        <f t="shared" ca="1" si="927"/>
        <v>0</v>
      </c>
      <c r="J189" s="121">
        <f t="shared" ca="1" si="927"/>
        <v>0</v>
      </c>
      <c r="K189" s="121">
        <f t="shared" ca="1" si="927"/>
        <v>0</v>
      </c>
      <c r="L189" s="121">
        <f t="shared" ca="1" si="927"/>
        <v>0</v>
      </c>
      <c r="M189" s="121">
        <f t="shared" ca="1" si="927"/>
        <v>1.1144640879776533</v>
      </c>
      <c r="N189" s="121">
        <f t="shared" ca="1" si="927"/>
        <v>4.8453921985410577</v>
      </c>
      <c r="O189" s="121">
        <f t="shared" ca="1" si="927"/>
        <v>6.7107814706216642</v>
      </c>
      <c r="P189" s="121">
        <f t="shared" ca="1" si="927"/>
        <v>5.5350642182090137</v>
      </c>
      <c r="Q189" s="121">
        <f t="shared" ca="1" si="927"/>
        <v>7.073656740949291</v>
      </c>
      <c r="R189" s="121">
        <f t="shared" ca="1" si="927"/>
        <v>16.675046468901744</v>
      </c>
      <c r="S189" s="121">
        <f t="shared" ca="1" si="927"/>
        <v>20.109151181082957</v>
      </c>
      <c r="T189" s="121">
        <f t="shared" ca="1" si="927"/>
        <v>12.530776541029303</v>
      </c>
      <c r="U189" s="121">
        <f t="shared" ca="1" si="927"/>
        <v>10.126488180926318</v>
      </c>
      <c r="V189" s="121">
        <f t="shared" ca="1" si="927"/>
        <v>18.675127935425909</v>
      </c>
      <c r="W189" s="121">
        <f t="shared" ca="1" si="927"/>
        <v>20.985428159718481</v>
      </c>
      <c r="X189" s="121">
        <f t="shared" ca="1" si="927"/>
        <v>0.12571744101629179</v>
      </c>
      <c r="Y189" s="121">
        <f t="shared" ca="1" si="927"/>
        <v>0</v>
      </c>
      <c r="Z189" s="121">
        <f t="shared" ca="1" si="927"/>
        <v>6.4126160960871932</v>
      </c>
      <c r="AA189" s="121">
        <f t="shared" ca="1" si="927"/>
        <v>8.8789757992111333</v>
      </c>
      <c r="AB189" s="121">
        <f t="shared" ca="1" si="927"/>
        <v>0.63090321734788901</v>
      </c>
      <c r="AC189" s="121">
        <f t="shared" ca="1" si="927"/>
        <v>0</v>
      </c>
      <c r="AD189" s="121">
        <f t="shared" ca="1" si="927"/>
        <v>7.0696724156543933</v>
      </c>
      <c r="AE189" s="121">
        <f t="shared" ca="1" si="927"/>
        <v>9.6005929545457658</v>
      </c>
      <c r="AF189" s="121">
        <f t="shared" ca="1" si="927"/>
        <v>1.1713114052084386</v>
      </c>
      <c r="AG189" s="121">
        <f t="shared" ca="1" si="927"/>
        <v>0</v>
      </c>
      <c r="AH189" s="121">
        <f t="shared" ca="1" si="927"/>
        <v>7.7658030920609846</v>
      </c>
      <c r="AI189" s="121">
        <f t="shared" ca="1" si="927"/>
        <v>10.12189174584427</v>
      </c>
      <c r="AJ189" s="121">
        <f t="shared" ca="1" si="927"/>
        <v>1.5083353577825367</v>
      </c>
      <c r="AK189" s="121">
        <f t="shared" ca="1" si="927"/>
        <v>0</v>
      </c>
      <c r="AL189" s="121">
        <f t="shared" ca="1" si="927"/>
        <v>8.1883354735388512</v>
      </c>
      <c r="AM189" s="121">
        <f t="shared" ca="1" si="927"/>
        <v>10.822353846931001</v>
      </c>
      <c r="AN189" s="121">
        <f t="shared" ca="1" si="927"/>
        <v>2.1051527201893592</v>
      </c>
      <c r="AO189" s="121">
        <f t="shared" ca="1" si="927"/>
        <v>0</v>
      </c>
      <c r="AP189" s="121">
        <f t="shared" ca="1" si="927"/>
        <v>8.9469664902822164</v>
      </c>
      <c r="AQ189" s="121">
        <f t="shared" ca="1" si="927"/>
        <v>11.491443005428549</v>
      </c>
      <c r="AR189" s="121">
        <f t="shared" ca="1" si="927"/>
        <v>2.5837053888740957</v>
      </c>
      <c r="AS189" s="121">
        <f t="shared" ca="1" si="927"/>
        <v>0</v>
      </c>
      <c r="AT189" s="121">
        <f t="shared" ca="1" si="927"/>
        <v>9.5426021697637982</v>
      </c>
      <c r="AU189" s="121">
        <f t="shared" ca="1" si="927"/>
        <v>12.296511622205035</v>
      </c>
      <c r="AV189" s="121">
        <f t="shared" ca="1" si="927"/>
        <v>3.2499255597929295</v>
      </c>
      <c r="AW189" s="121">
        <f t="shared" ca="1" si="927"/>
        <v>0.52808639175176531</v>
      </c>
      <c r="AX189" s="121">
        <f t="shared" ca="1" si="927"/>
        <v>10.386231757285758</v>
      </c>
      <c r="AY189" s="121">
        <f t="shared" ca="1" si="927"/>
        <v>13.213111840368256</v>
      </c>
      <c r="AZ189" s="121">
        <f t="shared" ca="1" si="927"/>
        <v>3.9688303561030889</v>
      </c>
      <c r="BA189" s="121">
        <f t="shared" ca="1" si="927"/>
        <v>1.1946065147363232</v>
      </c>
      <c r="BB189" s="121">
        <f t="shared" ca="1" si="927"/>
        <v>11.289238186994364</v>
      </c>
      <c r="BC189" s="121">
        <f t="shared" ca="1" si="927"/>
        <v>13.788687275993283</v>
      </c>
      <c r="BD189" s="121">
        <f t="shared" ca="1" si="927"/>
        <v>4.3440007075979601</v>
      </c>
      <c r="BE189" s="121">
        <f t="shared" ca="1" si="927"/>
        <v>1.5543786974208231</v>
      </c>
      <c r="BF189" s="121">
        <f t="shared" ca="1" si="927"/>
        <v>11.724384884991778</v>
      </c>
      <c r="BG189" s="121">
        <f t="shared" ca="1" si="927"/>
        <v>14.651277942861331</v>
      </c>
      <c r="BH189" s="121">
        <f t="shared" ca="1" si="927"/>
        <v>5.1431567593236451</v>
      </c>
      <c r="BI189" s="121">
        <f t="shared" ca="1" si="927"/>
        <v>2.3004658560796862</v>
      </c>
      <c r="BJ189" s="121">
        <f t="shared" ca="1" si="927"/>
        <v>12.715000872078928</v>
      </c>
      <c r="BK189" s="121">
        <f t="shared" ca="1" si="927"/>
        <v>15.720370358115625</v>
      </c>
      <c r="BL189" s="121">
        <f t="shared" ca="1" si="927"/>
        <v>6.0055219085405263</v>
      </c>
      <c r="BM189" s="121">
        <f t="shared" ca="1" si="927"/>
        <v>3.1092581289812031</v>
      </c>
      <c r="BN189" s="121">
        <f t="shared" ca="1" si="927"/>
        <v>13.77465929677148</v>
      </c>
      <c r="BO189" s="121">
        <f t="shared" ca="1" si="927"/>
        <v>16.861043254478837</v>
      </c>
      <c r="BP189" s="121">
        <f t="shared" ca="1" si="927"/>
        <v>6.935471967096273</v>
      </c>
      <c r="BQ189" s="121">
        <f t="shared" ca="1" si="927"/>
        <v>3.9851666319913157</v>
      </c>
      <c r="BR189" s="121">
        <f t="shared" ca="1" si="927"/>
        <v>14.907964340174106</v>
      </c>
      <c r="BS189" s="121">
        <f t="shared" ca="1" si="927"/>
        <v>18.078007450175718</v>
      </c>
      <c r="BT189" s="121">
        <f t="shared" ref="BT189:EE189" ca="1" si="928">MAX(0,BT187-BT188)</f>
        <v>7.9376752215348088</v>
      </c>
      <c r="BU189" s="121">
        <f t="shared" ca="1" si="928"/>
        <v>4.9328988523402222</v>
      </c>
      <c r="BV189" s="121">
        <f t="shared" ca="1" si="928"/>
        <v>16.119824121708589</v>
      </c>
      <c r="BW189" s="121">
        <f t="shared" ca="1" si="928"/>
        <v>19.376283335639972</v>
      </c>
      <c r="BX189" s="121">
        <f t="shared" ca="1" si="928"/>
        <v>9.0171117923536652</v>
      </c>
      <c r="BY189" s="121">
        <f t="shared" ca="1" si="928"/>
        <v>5.9574783008166117</v>
      </c>
      <c r="BZ189" s="121">
        <f t="shared" ca="1" si="928"/>
        <v>17.415470731754347</v>
      </c>
      <c r="CA189" s="121">
        <f t="shared" ca="1" si="928"/>
        <v>20.761221245566766</v>
      </c>
      <c r="CB189" s="121">
        <f t="shared" ca="1" si="928"/>
        <v>10.179094271460603</v>
      </c>
      <c r="CC189" s="121">
        <f t="shared" ca="1" si="928"/>
        <v>7.064265462310189</v>
      </c>
      <c r="CD189" s="121">
        <f t="shared" ca="1" si="928"/>
        <v>18.80048158501106</v>
      </c>
      <c r="CE189" s="121">
        <f t="shared" ca="1" si="928"/>
        <v>21.617881797983056</v>
      </c>
      <c r="CF189" s="121">
        <f t="shared" ca="1" si="928"/>
        <v>10.810468276288161</v>
      </c>
      <c r="CG189" s="121">
        <f t="shared" ca="1" si="928"/>
        <v>7.6980009143659851</v>
      </c>
      <c r="CH189" s="121">
        <f t="shared" ca="1" si="928"/>
        <v>19.4621322158462</v>
      </c>
      <c r="CI189" s="121">
        <f t="shared" ca="1" si="928"/>
        <v>22.913982380963134</v>
      </c>
      <c r="CJ189" s="121">
        <f t="shared" ca="1" si="928"/>
        <v>12.094259882759362</v>
      </c>
      <c r="CK189" s="121">
        <f t="shared" ca="1" si="928"/>
        <v>8.9266633640420956</v>
      </c>
      <c r="CL189" s="121">
        <f t="shared" ca="1" si="928"/>
        <v>20.977343397389976</v>
      </c>
      <c r="CM189" s="121">
        <f t="shared" ca="1" si="928"/>
        <v>24.525239560411602</v>
      </c>
      <c r="CN189" s="121">
        <f t="shared" ca="1" si="928"/>
        <v>13.474298821404233</v>
      </c>
      <c r="CO189" s="121">
        <f t="shared" ca="1" si="928"/>
        <v>10.251373010923775</v>
      </c>
      <c r="CP189" s="121">
        <f t="shared" ca="1" si="928"/>
        <v>22.59626023027969</v>
      </c>
      <c r="CQ189" s="121">
        <f t="shared" ca="1" si="928"/>
        <v>26.243506163784389</v>
      </c>
      <c r="CR189" s="121">
        <f t="shared" ca="1" si="928"/>
        <v>14.957157877494213</v>
      </c>
      <c r="CS189" s="121">
        <f t="shared" ca="1" si="928"/>
        <v>11.678768038901808</v>
      </c>
      <c r="CT189" s="121">
        <f t="shared" ca="1" si="928"/>
        <v>24.325767776924188</v>
      </c>
      <c r="CU189" s="272">
        <f t="shared" ca="1" si="928"/>
        <v>28.075815335455303</v>
      </c>
      <c r="CV189" s="121">
        <f t="shared" ca="1" si="928"/>
        <v>6.1492110620285683</v>
      </c>
      <c r="CW189" s="121">
        <f t="shared" ca="1" si="928"/>
        <v>0</v>
      </c>
      <c r="CX189" s="121">
        <f t="shared" ca="1" si="928"/>
        <v>4.7520235141023468</v>
      </c>
      <c r="CY189" s="121">
        <f t="shared" ca="1" si="928"/>
        <v>6.1504330335858164</v>
      </c>
      <c r="CZ189" s="121">
        <f t="shared" ca="1" si="928"/>
        <v>0.25764572802540342</v>
      </c>
      <c r="DA189" s="121">
        <f t="shared" ca="1" si="928"/>
        <v>0</v>
      </c>
      <c r="DB189" s="121">
        <f t="shared" ca="1" si="928"/>
        <v>4.4780683216805777</v>
      </c>
      <c r="DC189" s="121">
        <f t="shared" ca="1" si="928"/>
        <v>6.1358558907495668</v>
      </c>
      <c r="DD189" s="121">
        <f t="shared" ca="1" si="928"/>
        <v>0.20035131498390535</v>
      </c>
      <c r="DE189" s="121">
        <f t="shared" ca="1" si="928"/>
        <v>0</v>
      </c>
      <c r="DF189" s="121">
        <f t="shared" ca="1" si="928"/>
        <v>4.5167584332846582</v>
      </c>
      <c r="DG189" s="121">
        <f t="shared" ca="1" si="928"/>
        <v>6.2121506061629601</v>
      </c>
      <c r="DH189" s="121">
        <f t="shared" ca="1" si="928"/>
        <v>0.1399815289276376</v>
      </c>
      <c r="DI189" s="121">
        <f t="shared" ca="1" si="928"/>
        <v>0</v>
      </c>
      <c r="DJ189" s="121">
        <f t="shared" ca="1" si="928"/>
        <v>4.554551611401723</v>
      </c>
      <c r="DK189" s="121">
        <f t="shared" ca="1" si="928"/>
        <v>6.2883990842370832</v>
      </c>
      <c r="DL189" s="121">
        <f t="shared" ca="1" si="928"/>
        <v>7.6416640362335628E-2</v>
      </c>
      <c r="DM189" s="121">
        <f t="shared" ca="1" si="928"/>
        <v>0</v>
      </c>
      <c r="DN189" s="121">
        <f t="shared" ca="1" si="928"/>
        <v>4.5913774388893165</v>
      </c>
      <c r="DO189" s="121">
        <f t="shared" ca="1" si="928"/>
        <v>6.3645500863322102</v>
      </c>
      <c r="DP189" s="121">
        <f t="shared" ca="1" si="928"/>
        <v>9.5327968259869625E-3</v>
      </c>
      <c r="DQ189" s="121">
        <f t="shared" ca="1" si="928"/>
        <v>0</v>
      </c>
      <c r="DR189" s="121">
        <f t="shared" ca="1" si="928"/>
        <v>4.627162488212786</v>
      </c>
      <c r="DS189" s="121">
        <f t="shared" ca="1" si="928"/>
        <v>6.4405497938916998</v>
      </c>
      <c r="DT189" s="121">
        <f t="shared" ca="1" si="928"/>
        <v>0</v>
      </c>
      <c r="DU189" s="121">
        <f t="shared" ca="1" si="928"/>
        <v>0</v>
      </c>
      <c r="DV189" s="121">
        <f t="shared" ca="1" si="928"/>
        <v>4.6618302132664091</v>
      </c>
      <c r="DW189" s="121">
        <f t="shared" ca="1" si="928"/>
        <v>6.5163417098709671</v>
      </c>
      <c r="DX189" s="121">
        <f t="shared" ca="1" si="928"/>
        <v>0</v>
      </c>
      <c r="DY189" s="121">
        <f t="shared" ca="1" si="928"/>
        <v>0</v>
      </c>
      <c r="DZ189" s="121">
        <f t="shared" ca="1" si="928"/>
        <v>4.6953008376138952</v>
      </c>
      <c r="EA189" s="121">
        <f t="shared" ca="1" si="928"/>
        <v>6.5918665567985659</v>
      </c>
      <c r="EB189" s="121">
        <f t="shared" ca="1" si="928"/>
        <v>0</v>
      </c>
      <c r="EC189" s="121">
        <f t="shared" ca="1" si="928"/>
        <v>0</v>
      </c>
      <c r="ED189" s="121">
        <f t="shared" ca="1" si="928"/>
        <v>4.7274912390352331</v>
      </c>
      <c r="EE189" s="121">
        <f t="shared" ca="1" si="928"/>
        <v>6.6670621713612697</v>
      </c>
      <c r="EF189" s="121">
        <f t="shared" ref="EF189:FA189" ca="1" si="929">MAX(0,EF187-EF188)</f>
        <v>0</v>
      </c>
      <c r="EG189" s="121">
        <f t="shared" ca="1" si="929"/>
        <v>0</v>
      </c>
      <c r="EH189" s="121">
        <f t="shared" ca="1" si="929"/>
        <v>4.7583148302634575</v>
      </c>
      <c r="EI189" s="121">
        <f t="shared" ca="1" si="929"/>
        <v>0</v>
      </c>
      <c r="EJ189" s="121">
        <f t="shared" ca="1" si="929"/>
        <v>6.6702185350468195</v>
      </c>
      <c r="EK189" s="121">
        <f t="shared" ca="1" si="929"/>
        <v>0</v>
      </c>
      <c r="EL189" s="121">
        <f t="shared" ca="1" si="929"/>
        <v>0</v>
      </c>
      <c r="EM189" s="121">
        <f t="shared" ca="1" si="929"/>
        <v>0</v>
      </c>
      <c r="EN189" s="121">
        <f t="shared" ca="1" si="929"/>
        <v>0</v>
      </c>
      <c r="EO189" s="121">
        <f t="shared" ca="1" si="929"/>
        <v>0</v>
      </c>
      <c r="EP189" s="121">
        <f t="shared" ca="1" si="929"/>
        <v>0</v>
      </c>
      <c r="EQ189" s="121">
        <f t="shared" ca="1" si="929"/>
        <v>0</v>
      </c>
      <c r="ER189" s="121">
        <f t="shared" ca="1" si="929"/>
        <v>0</v>
      </c>
      <c r="ES189" s="121">
        <f t="shared" ca="1" si="929"/>
        <v>0</v>
      </c>
      <c r="ET189" s="121">
        <f t="shared" ca="1" si="929"/>
        <v>0</v>
      </c>
      <c r="EU189" s="121">
        <f t="shared" ca="1" si="929"/>
        <v>0</v>
      </c>
      <c r="EV189" s="121">
        <f t="shared" ca="1" si="929"/>
        <v>0</v>
      </c>
      <c r="EW189" s="121">
        <f t="shared" ca="1" si="929"/>
        <v>0</v>
      </c>
      <c r="EX189" s="121">
        <f t="shared" ca="1" si="929"/>
        <v>0</v>
      </c>
      <c r="EY189" s="121">
        <f t="shared" ca="1" si="929"/>
        <v>0</v>
      </c>
      <c r="EZ189" s="121">
        <f t="shared" ca="1" si="929"/>
        <v>0</v>
      </c>
      <c r="FA189" s="121">
        <f t="shared" ca="1" si="929"/>
        <v>0</v>
      </c>
    </row>
    <row r="190" spans="3:157" outlineLevel="1" x14ac:dyDescent="0.2">
      <c r="C190" s="9" t="s">
        <v>136</v>
      </c>
      <c r="D190" s="21" t="s">
        <v>126</v>
      </c>
      <c r="E190" s="121">
        <f ca="1">XNPV(Second_Debt_Interest,OFFSET(IRR_Revenue_Model!X89,0,0,1,Debt_Tenor*Quarters_in_Year),OFFSET(IRR_Revenue_Model!X56,0,0,1,Debt_Tenor*Quarters_in_Year))</f>
        <v>2473.9801190741655</v>
      </c>
      <c r="F190" s="5"/>
    </row>
    <row r="191" spans="3:157" outlineLevel="1" x14ac:dyDescent="0.2">
      <c r="C191" s="9" t="s">
        <v>138</v>
      </c>
      <c r="D191" s="21" t="s">
        <v>126</v>
      </c>
      <c r="E191" s="107">
        <f ca="1">E176</f>
        <v>785.831467674142</v>
      </c>
      <c r="F191" s="5"/>
    </row>
    <row r="192" spans="3:157" outlineLevel="1" x14ac:dyDescent="0.2">
      <c r="C192" s="9" t="s">
        <v>133</v>
      </c>
      <c r="D192" s="21" t="s">
        <v>34</v>
      </c>
      <c r="E192" s="123">
        <f ca="1">E190/E191</f>
        <v>3.1482324402158484</v>
      </c>
      <c r="F192" s="5"/>
    </row>
    <row r="193" spans="2:157" outlineLevel="1" x14ac:dyDescent="0.2">
      <c r="C193" s="56"/>
      <c r="D193" s="45"/>
      <c r="E193" s="45"/>
      <c r="F193" s="4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274"/>
      <c r="CV193" s="15"/>
      <c r="CW193" s="15"/>
      <c r="CX193" s="15"/>
      <c r="CY193" s="15"/>
      <c r="CZ193" s="15"/>
      <c r="DA193" s="15"/>
      <c r="DB193" s="15"/>
      <c r="DC193" s="15"/>
      <c r="DD193" s="15"/>
      <c r="DE193" s="15"/>
      <c r="DF193" s="15"/>
      <c r="DG193" s="15"/>
      <c r="DH193" s="15"/>
      <c r="DI193" s="15"/>
      <c r="DJ193" s="15"/>
      <c r="DK193" s="15"/>
    </row>
    <row r="194" spans="2:157" outlineLevel="1" x14ac:dyDescent="0.2">
      <c r="C194" s="9" t="s">
        <v>44</v>
      </c>
      <c r="D194" s="21" t="s">
        <v>126</v>
      </c>
      <c r="E194" s="5"/>
      <c r="F194" s="107"/>
      <c r="G194" s="107">
        <f>(G188+G180)</f>
        <v>0</v>
      </c>
      <c r="H194" s="107">
        <f t="shared" ref="H194:BS194" ca="1" si="930">(H188+H180)</f>
        <v>0</v>
      </c>
      <c r="I194" s="107">
        <f t="shared" ca="1" si="930"/>
        <v>0</v>
      </c>
      <c r="J194" s="107">
        <f t="shared" ca="1" si="930"/>
        <v>0</v>
      </c>
      <c r="K194" s="107">
        <f t="shared" ca="1" si="930"/>
        <v>0</v>
      </c>
      <c r="L194" s="107">
        <f t="shared" ca="1" si="930"/>
        <v>0</v>
      </c>
      <c r="M194" s="107">
        <f t="shared" ca="1" si="930"/>
        <v>0</v>
      </c>
      <c r="N194" s="107">
        <f t="shared" ca="1" si="930"/>
        <v>0</v>
      </c>
      <c r="O194" s="107">
        <f t="shared" ca="1" si="930"/>
        <v>0</v>
      </c>
      <c r="P194" s="107">
        <f t="shared" ca="1" si="930"/>
        <v>0</v>
      </c>
      <c r="Q194" s="107">
        <f t="shared" ca="1" si="930"/>
        <v>0</v>
      </c>
      <c r="R194" s="107">
        <f t="shared" ca="1" si="930"/>
        <v>0</v>
      </c>
      <c r="S194" s="107">
        <f t="shared" ca="1" si="930"/>
        <v>0</v>
      </c>
      <c r="T194" s="107">
        <f t="shared" ca="1" si="930"/>
        <v>0</v>
      </c>
      <c r="U194" s="107">
        <f t="shared" ca="1" si="930"/>
        <v>0</v>
      </c>
      <c r="V194" s="107">
        <f t="shared" ca="1" si="930"/>
        <v>0</v>
      </c>
      <c r="W194" s="107">
        <f t="shared" ca="1" si="930"/>
        <v>0</v>
      </c>
      <c r="X194" s="107">
        <f t="shared" ca="1" si="930"/>
        <v>29.671695654014776</v>
      </c>
      <c r="Y194" s="107">
        <f t="shared" ca="1" si="930"/>
        <v>29.652874343927259</v>
      </c>
      <c r="Z194" s="107">
        <f t="shared" ca="1" si="930"/>
        <v>29.652874343927259</v>
      </c>
      <c r="AA194" s="107">
        <f t="shared" ca="1" si="930"/>
        <v>29.403540503711049</v>
      </c>
      <c r="AB194" s="107">
        <f t="shared" ca="1" si="930"/>
        <v>29.063867079730969</v>
      </c>
      <c r="AC194" s="107">
        <f t="shared" ca="1" si="930"/>
        <v>29.026446989741849</v>
      </c>
      <c r="AD194" s="107">
        <f t="shared" ca="1" si="930"/>
        <v>29.026446989741849</v>
      </c>
      <c r="AE194" s="107">
        <f t="shared" ca="1" si="930"/>
        <v>28.752966819462095</v>
      </c>
      <c r="AF194" s="107">
        <f t="shared" ca="1" si="930"/>
        <v>28.386803427161958</v>
      </c>
      <c r="AG194" s="107">
        <f t="shared" ca="1" si="930"/>
        <v>28.329555685817454</v>
      </c>
      <c r="AH194" s="107">
        <f t="shared" ca="1" si="930"/>
        <v>28.329555685817454</v>
      </c>
      <c r="AI194" s="107">
        <f t="shared" ca="1" si="930"/>
        <v>28.030561299495538</v>
      </c>
      <c r="AJ194" s="107">
        <f t="shared" ca="1" si="930"/>
        <v>27.645312125445216</v>
      </c>
      <c r="AK194" s="107">
        <f t="shared" ca="1" si="930"/>
        <v>27.575747307038409</v>
      </c>
      <c r="AL194" s="107">
        <f t="shared" ca="1" si="930"/>
        <v>27.575747307038409</v>
      </c>
      <c r="AM194" s="107">
        <f t="shared" ca="1" si="930"/>
        <v>27.261315354902244</v>
      </c>
      <c r="AN194" s="107">
        <f t="shared" ca="1" si="930"/>
        <v>26.85046215243419</v>
      </c>
      <c r="AO194" s="107">
        <f t="shared" ca="1" si="930"/>
        <v>26.759115042073439</v>
      </c>
      <c r="AP194" s="107">
        <f t="shared" ca="1" si="930"/>
        <v>26.755601888312</v>
      </c>
      <c r="AQ194" s="107">
        <f t="shared" ca="1" si="930"/>
        <v>26.413430778308033</v>
      </c>
      <c r="AR194" s="107">
        <f t="shared" ca="1" si="930"/>
        <v>25.978145451485069</v>
      </c>
      <c r="AS194" s="107">
        <f t="shared" ca="1" si="930"/>
        <v>25.869370359080428</v>
      </c>
      <c r="AT194" s="107">
        <f t="shared" ca="1" si="930"/>
        <v>25.856902831517857</v>
      </c>
      <c r="AU194" s="107">
        <f t="shared" ca="1" si="930"/>
        <v>25.492903232347246</v>
      </c>
      <c r="AV194" s="107">
        <f t="shared" ca="1" si="930"/>
        <v>25.028137463504617</v>
      </c>
      <c r="AW194" s="107">
        <f t="shared" ca="1" si="930"/>
        <v>24.89499625480137</v>
      </c>
      <c r="AX194" s="107">
        <f t="shared" ca="1" si="930"/>
        <v>24.861474026662275</v>
      </c>
      <c r="AY194" s="107">
        <f t="shared" ca="1" si="930"/>
        <v>24.466626070720039</v>
      </c>
      <c r="AZ194" s="107">
        <f t="shared" ca="1" si="930"/>
        <v>23.968368547311307</v>
      </c>
      <c r="BA194" s="107">
        <f t="shared" ca="1" si="930"/>
        <v>23.80901058916222</v>
      </c>
      <c r="BB194" s="107">
        <f t="shared" ca="1" si="930"/>
        <v>23.751217048982117</v>
      </c>
      <c r="BC194" s="107">
        <f t="shared" ca="1" si="930"/>
        <v>23.323459421201974</v>
      </c>
      <c r="BD194" s="107">
        <f t="shared" ca="1" si="930"/>
        <v>22.804320657655822</v>
      </c>
      <c r="BE194" s="107">
        <f t="shared" ca="1" si="930"/>
        <v>22.631445720130735</v>
      </c>
      <c r="BF194" s="107">
        <f t="shared" ca="1" si="930"/>
        <v>22.560715443162984</v>
      </c>
      <c r="BG194" s="107">
        <f t="shared" ca="1" si="930"/>
        <v>22.117275696781007</v>
      </c>
      <c r="BH194" s="107">
        <f t="shared" ca="1" si="930"/>
        <v>21.566814682075009</v>
      </c>
      <c r="BI194" s="107">
        <f t="shared" ca="1" si="930"/>
        <v>21.364974945800427</v>
      </c>
      <c r="BJ194" s="107">
        <f t="shared" ca="1" si="930"/>
        <v>21.267255896705681</v>
      </c>
      <c r="BK194" s="107">
        <f t="shared" ca="1" si="930"/>
        <v>20.787899972023837</v>
      </c>
      <c r="BL194" s="107">
        <f t="shared" ca="1" si="930"/>
        <v>20.198687302571948</v>
      </c>
      <c r="BM194" s="107">
        <f t="shared" ca="1" si="930"/>
        <v>19.965711731806138</v>
      </c>
      <c r="BN194" s="107">
        <f t="shared" ca="1" si="930"/>
        <v>19.838855593595817</v>
      </c>
      <c r="BO194" s="107">
        <f t="shared" ca="1" si="930"/>
        <v>19.321207314913085</v>
      </c>
      <c r="BP194" s="107">
        <f t="shared" ca="1" si="930"/>
        <v>18.690778417152515</v>
      </c>
      <c r="BQ194" s="107">
        <f t="shared" ca="1" si="930"/>
        <v>18.424353543459318</v>
      </c>
      <c r="BR194" s="107">
        <f t="shared" ca="1" si="930"/>
        <v>18.266068681268337</v>
      </c>
      <c r="BS194" s="107">
        <f t="shared" ca="1" si="930"/>
        <v>17.707601897568718</v>
      </c>
      <c r="BT194" s="107">
        <f t="shared" ref="BT194:EE194" ca="1" si="931">(BT188+BT180)</f>
        <v>17.033338743975907</v>
      </c>
      <c r="BU194" s="107">
        <f t="shared" ca="1" si="931"/>
        <v>16.730999640737071</v>
      </c>
      <c r="BV194" s="107">
        <f t="shared" ca="1" si="931"/>
        <v>16.538841968005045</v>
      </c>
      <c r="BW194" s="107">
        <f t="shared" ca="1" si="931"/>
        <v>15.936871176982471</v>
      </c>
      <c r="BX194" s="107">
        <f t="shared" ca="1" si="931"/>
        <v>15.215992739522388</v>
      </c>
      <c r="BY194" s="107">
        <f t="shared" ca="1" si="931"/>
        <v>14.875113429055347</v>
      </c>
      <c r="BZ194" s="107">
        <f t="shared" ca="1" si="931"/>
        <v>14.646476698293313</v>
      </c>
      <c r="CA194" s="107">
        <f t="shared" ca="1" si="931"/>
        <v>13.998147083785623</v>
      </c>
      <c r="CB194" s="107">
        <f t="shared" ca="1" si="931"/>
        <v>13.227699191149629</v>
      </c>
      <c r="CC194" s="107">
        <f t="shared" ca="1" si="931"/>
        <v>12.845482448756982</v>
      </c>
      <c r="CD194" s="107">
        <f t="shared" ca="1" si="931"/>
        <v>12.577587930692562</v>
      </c>
      <c r="CE194" s="107">
        <f t="shared" ca="1" si="931"/>
        <v>11.879864776706158</v>
      </c>
      <c r="CF194" s="107">
        <f t="shared" ca="1" si="931"/>
        <v>11.079445657650151</v>
      </c>
      <c r="CG194" s="107">
        <f t="shared" ca="1" si="931"/>
        <v>10.675560520055249</v>
      </c>
      <c r="CH194" s="107">
        <f t="shared" ca="1" si="931"/>
        <v>10.385953860864818</v>
      </c>
      <c r="CI194" s="107">
        <f t="shared" ca="1" si="931"/>
        <v>9.6655393932941003</v>
      </c>
      <c r="CJ194" s="107">
        <f t="shared" ca="1" si="931"/>
        <v>8.8192318294452345</v>
      </c>
      <c r="CK194" s="107">
        <f t="shared" ca="1" si="931"/>
        <v>8.3699766432088758</v>
      </c>
      <c r="CL194" s="107">
        <f t="shared" ca="1" si="931"/>
        <v>8.0370875397626147</v>
      </c>
      <c r="CM194" s="107">
        <f t="shared" ca="1" si="931"/>
        <v>7.2629604353014408</v>
      </c>
      <c r="CN194" s="107">
        <f t="shared" ca="1" si="931"/>
        <v>6.3594996450558039</v>
      </c>
      <c r="CO194" s="107">
        <f t="shared" ca="1" si="931"/>
        <v>5.8616439273719365</v>
      </c>
      <c r="CP194" s="107">
        <f t="shared" ca="1" si="931"/>
        <v>5.4822567962264896</v>
      </c>
      <c r="CQ194" s="107">
        <f t="shared" ca="1" si="931"/>
        <v>4.6509285848536717</v>
      </c>
      <c r="CR194" s="107">
        <f t="shared" ca="1" si="931"/>
        <v>3.6867131128103683</v>
      </c>
      <c r="CS194" s="107">
        <f t="shared" ca="1" si="931"/>
        <v>3.136817150769911</v>
      </c>
      <c r="CT194" s="107">
        <f t="shared" ca="1" si="931"/>
        <v>2.7075054636799596</v>
      </c>
      <c r="CU194" s="263">
        <f t="shared" ca="1" si="931"/>
        <v>1.8152683796897389</v>
      </c>
      <c r="CV194" s="107">
        <f t="shared" si="931"/>
        <v>0</v>
      </c>
      <c r="CW194" s="107">
        <f t="shared" ca="1" si="931"/>
        <v>0</v>
      </c>
      <c r="CX194" s="107">
        <f t="shared" ca="1" si="931"/>
        <v>0</v>
      </c>
      <c r="CY194" s="107">
        <f t="shared" ca="1" si="931"/>
        <v>0</v>
      </c>
      <c r="CZ194" s="107">
        <f t="shared" ca="1" si="931"/>
        <v>0</v>
      </c>
      <c r="DA194" s="107">
        <f t="shared" ca="1" si="931"/>
        <v>0</v>
      </c>
      <c r="DB194" s="107">
        <f t="shared" ca="1" si="931"/>
        <v>0</v>
      </c>
      <c r="DC194" s="107">
        <f t="shared" ca="1" si="931"/>
        <v>0</v>
      </c>
      <c r="DD194" s="107">
        <f t="shared" ca="1" si="931"/>
        <v>0</v>
      </c>
      <c r="DE194" s="107">
        <f t="shared" ca="1" si="931"/>
        <v>0</v>
      </c>
      <c r="DF194" s="107">
        <f t="shared" ca="1" si="931"/>
        <v>0</v>
      </c>
      <c r="DG194" s="107">
        <f t="shared" ca="1" si="931"/>
        <v>0</v>
      </c>
      <c r="DH194" s="107">
        <f t="shared" ca="1" si="931"/>
        <v>0</v>
      </c>
      <c r="DI194" s="107">
        <f t="shared" ca="1" si="931"/>
        <v>0</v>
      </c>
      <c r="DJ194" s="107">
        <f t="shared" ca="1" si="931"/>
        <v>0</v>
      </c>
      <c r="DK194" s="107">
        <f t="shared" ca="1" si="931"/>
        <v>0</v>
      </c>
      <c r="DL194" s="107">
        <f t="shared" ca="1" si="931"/>
        <v>0</v>
      </c>
      <c r="DM194" s="107">
        <f t="shared" ca="1" si="931"/>
        <v>0</v>
      </c>
      <c r="DN194" s="107">
        <f t="shared" ca="1" si="931"/>
        <v>0</v>
      </c>
      <c r="DO194" s="107">
        <f t="shared" ca="1" si="931"/>
        <v>0</v>
      </c>
      <c r="DP194" s="107">
        <f t="shared" ca="1" si="931"/>
        <v>0</v>
      </c>
      <c r="DQ194" s="107">
        <f t="shared" ca="1" si="931"/>
        <v>0</v>
      </c>
      <c r="DR194" s="107">
        <f t="shared" ca="1" si="931"/>
        <v>0</v>
      </c>
      <c r="DS194" s="107">
        <f t="shared" ca="1" si="931"/>
        <v>0</v>
      </c>
      <c r="DT194" s="107">
        <f t="shared" ca="1" si="931"/>
        <v>0</v>
      </c>
      <c r="DU194" s="107">
        <f t="shared" ca="1" si="931"/>
        <v>0</v>
      </c>
      <c r="DV194" s="107">
        <f t="shared" ca="1" si="931"/>
        <v>0</v>
      </c>
      <c r="DW194" s="107">
        <f t="shared" ca="1" si="931"/>
        <v>0</v>
      </c>
      <c r="DX194" s="107">
        <f t="shared" ca="1" si="931"/>
        <v>0</v>
      </c>
      <c r="DY194" s="107">
        <f t="shared" ca="1" si="931"/>
        <v>0</v>
      </c>
      <c r="DZ194" s="107">
        <f t="shared" ca="1" si="931"/>
        <v>0</v>
      </c>
      <c r="EA194" s="107">
        <f t="shared" ca="1" si="931"/>
        <v>0</v>
      </c>
      <c r="EB194" s="107">
        <f t="shared" ca="1" si="931"/>
        <v>0</v>
      </c>
      <c r="EC194" s="107">
        <f t="shared" ca="1" si="931"/>
        <v>0</v>
      </c>
      <c r="ED194" s="107">
        <f t="shared" ca="1" si="931"/>
        <v>0</v>
      </c>
      <c r="EE194" s="107">
        <f t="shared" ca="1" si="931"/>
        <v>0</v>
      </c>
      <c r="EF194" s="107">
        <f t="shared" ref="EF194:FA194" ca="1" si="932">(EF188+EF180)</f>
        <v>0</v>
      </c>
      <c r="EG194" s="107">
        <f t="shared" ca="1" si="932"/>
        <v>0</v>
      </c>
      <c r="EH194" s="107">
        <f t="shared" ca="1" si="932"/>
        <v>0</v>
      </c>
      <c r="EI194" s="107">
        <f t="shared" ca="1" si="932"/>
        <v>0</v>
      </c>
      <c r="EJ194" s="107">
        <f t="shared" ca="1" si="932"/>
        <v>0</v>
      </c>
      <c r="EK194" s="107">
        <f t="shared" ca="1" si="932"/>
        <v>0</v>
      </c>
      <c r="EL194" s="107">
        <f t="shared" ca="1" si="932"/>
        <v>0</v>
      </c>
      <c r="EM194" s="107">
        <f t="shared" ca="1" si="932"/>
        <v>0</v>
      </c>
      <c r="EN194" s="107">
        <f t="shared" ca="1" si="932"/>
        <v>0</v>
      </c>
      <c r="EO194" s="107">
        <f t="shared" ca="1" si="932"/>
        <v>0</v>
      </c>
      <c r="EP194" s="107">
        <f t="shared" ca="1" si="932"/>
        <v>0</v>
      </c>
      <c r="EQ194" s="107">
        <f t="shared" ca="1" si="932"/>
        <v>0</v>
      </c>
      <c r="ER194" s="107">
        <f t="shared" ca="1" si="932"/>
        <v>0</v>
      </c>
      <c r="ES194" s="107">
        <f t="shared" ca="1" si="932"/>
        <v>0</v>
      </c>
      <c r="ET194" s="107">
        <f t="shared" ca="1" si="932"/>
        <v>0</v>
      </c>
      <c r="EU194" s="107">
        <f t="shared" ca="1" si="932"/>
        <v>0</v>
      </c>
      <c r="EV194" s="107">
        <f t="shared" ca="1" si="932"/>
        <v>0</v>
      </c>
      <c r="EW194" s="107">
        <f t="shared" ca="1" si="932"/>
        <v>0</v>
      </c>
      <c r="EX194" s="107">
        <f t="shared" ca="1" si="932"/>
        <v>0</v>
      </c>
      <c r="EY194" s="107">
        <f t="shared" ca="1" si="932"/>
        <v>0</v>
      </c>
      <c r="EZ194" s="107">
        <f t="shared" ca="1" si="932"/>
        <v>0</v>
      </c>
      <c r="FA194" s="107">
        <f t="shared" ca="1" si="932"/>
        <v>0</v>
      </c>
    </row>
    <row r="195" spans="2:157" outlineLevel="1" x14ac:dyDescent="0.2">
      <c r="C195" s="90" t="s">
        <v>45</v>
      </c>
      <c r="D195" s="87" t="s">
        <v>126</v>
      </c>
      <c r="E195" s="212"/>
      <c r="F195" s="117"/>
      <c r="G195" s="117">
        <f t="shared" ref="G195:AL195" ca="1" si="933">-(G165+G171)</f>
        <v>0</v>
      </c>
      <c r="H195" s="117">
        <f t="shared" ca="1" si="933"/>
        <v>0</v>
      </c>
      <c r="I195" s="117">
        <f t="shared" ca="1" si="933"/>
        <v>0</v>
      </c>
      <c r="J195" s="117">
        <f t="shared" ca="1" si="933"/>
        <v>0</v>
      </c>
      <c r="K195" s="117">
        <f t="shared" ca="1" si="933"/>
        <v>0</v>
      </c>
      <c r="L195" s="117">
        <f t="shared" ca="1" si="933"/>
        <v>0</v>
      </c>
      <c r="M195" s="117">
        <f t="shared" ca="1" si="933"/>
        <v>0</v>
      </c>
      <c r="N195" s="117">
        <f t="shared" ca="1" si="933"/>
        <v>0</v>
      </c>
      <c r="O195" s="117">
        <f t="shared" ca="1" si="933"/>
        <v>0</v>
      </c>
      <c r="P195" s="117">
        <f t="shared" ca="1" si="933"/>
        <v>0</v>
      </c>
      <c r="Q195" s="117">
        <f t="shared" ca="1" si="933"/>
        <v>0</v>
      </c>
      <c r="R195" s="117">
        <f t="shared" ca="1" si="933"/>
        <v>0</v>
      </c>
      <c r="S195" s="117">
        <f t="shared" ca="1" si="933"/>
        <v>0</v>
      </c>
      <c r="T195" s="117">
        <f t="shared" ca="1" si="933"/>
        <v>0</v>
      </c>
      <c r="U195" s="117">
        <f t="shared" ca="1" si="933"/>
        <v>0</v>
      </c>
      <c r="V195" s="117">
        <f t="shared" ca="1" si="933"/>
        <v>0</v>
      </c>
      <c r="W195" s="117">
        <f t="shared" ca="1" si="933"/>
        <v>0</v>
      </c>
      <c r="X195" s="117">
        <f t="shared" ca="1" si="933"/>
        <v>1.2893516080713354</v>
      </c>
      <c r="Y195" s="117">
        <f t="shared" ca="1" si="933"/>
        <v>0</v>
      </c>
      <c r="Z195" s="117">
        <f t="shared" ca="1" si="933"/>
        <v>16.530628783945957</v>
      </c>
      <c r="AA195" s="117">
        <f t="shared" ca="1" si="933"/>
        <v>22.503512274003064</v>
      </c>
      <c r="AB195" s="117">
        <f t="shared" ca="1" si="933"/>
        <v>2.5193256080765849</v>
      </c>
      <c r="AC195" s="117">
        <f t="shared" ca="1" si="933"/>
        <v>0</v>
      </c>
      <c r="AD195" s="117">
        <f t="shared" ca="1" si="933"/>
        <v>18.127335789053433</v>
      </c>
      <c r="AE195" s="117">
        <f t="shared" ca="1" si="933"/>
        <v>24.255104179280636</v>
      </c>
      <c r="AF195" s="117">
        <f t="shared" ca="1" si="933"/>
        <v>3.8303537420848599</v>
      </c>
      <c r="AG195" s="117">
        <f t="shared" ca="1" si="933"/>
        <v>0</v>
      </c>
      <c r="AH195" s="117">
        <f t="shared" ca="1" si="933"/>
        <v>19.81428142952079</v>
      </c>
      <c r="AI195" s="117">
        <f t="shared" ca="1" si="933"/>
        <v>25.51695035705346</v>
      </c>
      <c r="AJ195" s="117">
        <f t="shared" ca="1" si="933"/>
        <v>4.6446209236868228</v>
      </c>
      <c r="AK195" s="117">
        <f t="shared" ca="1" si="933"/>
        <v>0</v>
      </c>
      <c r="AL195" s="117">
        <f t="shared" ca="1" si="933"/>
        <v>20.83482594489298</v>
      </c>
      <c r="AM195" s="117">
        <f t="shared" ref="AM195:BR195" ca="1" si="934">-(AM165+AM171)</f>
        <v>27.209616290902421</v>
      </c>
      <c r="AN195" s="117">
        <f t="shared" ca="1" si="934"/>
        <v>6.0845290682977016</v>
      </c>
      <c r="AO195" s="117">
        <f t="shared" ca="1" si="934"/>
        <v>0.24338671540478884</v>
      </c>
      <c r="AP195" s="117">
        <f t="shared" ca="1" si="934"/>
        <v>22.668672057670925</v>
      </c>
      <c r="AQ195" s="117">
        <f t="shared" ca="1" si="934"/>
        <v>28.824728760453731</v>
      </c>
      <c r="AR195" s="117">
        <f t="shared" ca="1" si="934"/>
        <v>7.2364771355717288</v>
      </c>
      <c r="AS195" s="117">
        <f t="shared" ca="1" si="934"/>
        <v>0.86373406594914037</v>
      </c>
      <c r="AT195" s="117">
        <f t="shared" ca="1" si="934"/>
        <v>24.111917581710379</v>
      </c>
      <c r="AU195" s="117">
        <f t="shared" ca="1" si="934"/>
        <v>30.773829023581232</v>
      </c>
      <c r="AV195" s="117">
        <f t="shared" ca="1" si="934"/>
        <v>8.8473490221692952</v>
      </c>
      <c r="AW195" s="117">
        <f t="shared" ca="1" si="934"/>
        <v>2.2611980384037214</v>
      </c>
      <c r="AX195" s="117">
        <f t="shared" ca="1" si="934"/>
        <v>26.151317948816189</v>
      </c>
      <c r="AY195" s="117">
        <f t="shared" ca="1" si="934"/>
        <v>32.987906975227119</v>
      </c>
      <c r="AZ195" s="117">
        <f t="shared" ca="1" si="934"/>
        <v>10.580326903744959</v>
      </c>
      <c r="BA195" s="117">
        <f t="shared" ca="1" si="934"/>
        <v>3.8654672604220952</v>
      </c>
      <c r="BB195" s="117">
        <f t="shared" ca="1" si="934"/>
        <v>28.326644793497127</v>
      </c>
      <c r="BC195" s="117">
        <f t="shared" ca="1" si="934"/>
        <v>34.367852278774521</v>
      </c>
      <c r="BD195" s="117">
        <f t="shared" ca="1" si="934"/>
        <v>11.473302534209544</v>
      </c>
      <c r="BE195" s="117">
        <f t="shared" ca="1" si="934"/>
        <v>4.7200283019757183</v>
      </c>
      <c r="BF195" s="117">
        <f t="shared" ca="1" si="934"/>
        <v>29.362670252098368</v>
      </c>
      <c r="BG195" s="117">
        <f t="shared" ca="1" si="934"/>
        <v>36.437886810614067</v>
      </c>
      <c r="BH195" s="117">
        <f t="shared" ca="1" si="934"/>
        <v>13.387364667826462</v>
      </c>
      <c r="BI195" s="117">
        <f t="shared" ca="1" si="934"/>
        <v>6.5033418610253015</v>
      </c>
      <c r="BJ195" s="117">
        <f t="shared" ca="1" si="934"/>
        <v>31.73613447248454</v>
      </c>
      <c r="BK195" s="117">
        <f t="shared" ca="1" si="934"/>
        <v>38.998697733424898</v>
      </c>
      <c r="BL195" s="117">
        <f t="shared" ca="1" si="934"/>
        <v>15.44451062172379</v>
      </c>
      <c r="BM195" s="117">
        <f t="shared" ca="1" si="934"/>
        <v>8.4282237006645033</v>
      </c>
      <c r="BN195" s="117">
        <f t="shared" ca="1" si="934"/>
        <v>34.266218555955021</v>
      </c>
      <c r="BO195" s="117">
        <f t="shared" ca="1" si="934"/>
        <v>41.721958578347689</v>
      </c>
      <c r="BP195" s="117">
        <f t="shared" ca="1" si="934"/>
        <v>17.654101014208635</v>
      </c>
      <c r="BQ195" s="117">
        <f t="shared" ca="1" si="934"/>
        <v>10.504091673528691</v>
      </c>
      <c r="BR195" s="117">
        <f t="shared" ca="1" si="934"/>
        <v>36.962779207405035</v>
      </c>
      <c r="BS195" s="117">
        <f t="shared" ref="BS195:CX195" ca="1" si="935">-(BS165+BS171)</f>
        <v>44.617754692526674</v>
      </c>
      <c r="BT195" s="117">
        <f t="shared" ca="1" si="935"/>
        <v>20.026087854730541</v>
      </c>
      <c r="BU195" s="117">
        <f t="shared" ca="1" si="935"/>
        <v>12.740962077009613</v>
      </c>
      <c r="BV195" s="117">
        <f t="shared" ca="1" si="935"/>
        <v>39.836287476133002</v>
      </c>
      <c r="BW195" s="117">
        <f t="shared" ca="1" si="935"/>
        <v>47.696796932088276</v>
      </c>
      <c r="BX195" s="117">
        <f t="shared" ca="1" si="935"/>
        <v>22.57105160948457</v>
      </c>
      <c r="BY195" s="117">
        <f t="shared" ca="1" si="935"/>
        <v>15.149487240533283</v>
      </c>
      <c r="BZ195" s="117">
        <f t="shared" ca="1" si="935"/>
        <v>42.897867073339768</v>
      </c>
      <c r="CA195" s="117">
        <f t="shared" ca="1" si="935"/>
        <v>50.970460606808345</v>
      </c>
      <c r="CB195" s="117">
        <f t="shared" ca="1" si="935"/>
        <v>25.300240590372802</v>
      </c>
      <c r="CC195" s="117">
        <f t="shared" ca="1" si="935"/>
        <v>17.740995470807952</v>
      </c>
      <c r="CD195" s="117">
        <f t="shared" ca="1" si="935"/>
        <v>46.159335087345681</v>
      </c>
      <c r="CE195" s="117">
        <f t="shared" ca="1" si="935"/>
        <v>52.947584902393402</v>
      </c>
      <c r="CF195" s="117">
        <f t="shared" ca="1" si="935"/>
        <v>26.728254765815493</v>
      </c>
      <c r="CG195" s="117">
        <f t="shared" ca="1" si="935"/>
        <v>19.171766735680606</v>
      </c>
      <c r="CH195" s="117">
        <f t="shared" ca="1" si="935"/>
        <v>47.654708200352843</v>
      </c>
      <c r="CI195" s="117">
        <f t="shared" ca="1" si="935"/>
        <v>55.976524684357358</v>
      </c>
      <c r="CJ195" s="117">
        <f t="shared" ca="1" si="935"/>
        <v>29.722706719769825</v>
      </c>
      <c r="CK195" s="117">
        <f t="shared" ca="1" si="935"/>
        <v>22.027978832391256</v>
      </c>
      <c r="CL195" s="117">
        <f t="shared" ca="1" si="935"/>
        <v>51.200314085005246</v>
      </c>
      <c r="CM195" s="117">
        <f t="shared" ca="1" si="935"/>
        <v>59.749363299730007</v>
      </c>
      <c r="CN195" s="117">
        <f t="shared" ca="1" si="935"/>
        <v>32.929812161629123</v>
      </c>
      <c r="CO195" s="117">
        <f t="shared" ca="1" si="935"/>
        <v>25.09583539399641</v>
      </c>
      <c r="CP195" s="117">
        <f t="shared" ca="1" si="935"/>
        <v>54.975582437287635</v>
      </c>
      <c r="CQ195" s="117">
        <f t="shared" ca="1" si="935"/>
        <v>63.75930912406173</v>
      </c>
      <c r="CR195" s="117">
        <f t="shared" ca="1" si="935"/>
        <v>36.363304830084871</v>
      </c>
      <c r="CS195" s="117">
        <f t="shared" ca="1" si="935"/>
        <v>28.389181374934505</v>
      </c>
      <c r="CT195" s="117">
        <f t="shared" ca="1" si="935"/>
        <v>58.994908149289095</v>
      </c>
      <c r="CU195" s="270">
        <f t="shared" ca="1" si="935"/>
        <v>68.02106641386716</v>
      </c>
      <c r="CV195" s="117">
        <f t="shared" ca="1" si="935"/>
        <v>0</v>
      </c>
      <c r="CW195" s="117">
        <f t="shared" ca="1" si="935"/>
        <v>0</v>
      </c>
      <c r="CX195" s="117">
        <f t="shared" ca="1" si="935"/>
        <v>0</v>
      </c>
      <c r="CY195" s="117">
        <f t="shared" ref="CY195:ED195" ca="1" si="936">-(CY165+CY171)</f>
        <v>0</v>
      </c>
      <c r="CZ195" s="117">
        <f t="shared" ca="1" si="936"/>
        <v>0</v>
      </c>
      <c r="DA195" s="117">
        <f t="shared" ca="1" si="936"/>
        <v>0</v>
      </c>
      <c r="DB195" s="117">
        <f t="shared" ca="1" si="936"/>
        <v>0</v>
      </c>
      <c r="DC195" s="117">
        <f t="shared" ca="1" si="936"/>
        <v>0</v>
      </c>
      <c r="DD195" s="117">
        <f t="shared" ca="1" si="936"/>
        <v>0</v>
      </c>
      <c r="DE195" s="117">
        <f t="shared" ca="1" si="936"/>
        <v>0</v>
      </c>
      <c r="DF195" s="117">
        <f t="shared" ca="1" si="936"/>
        <v>0</v>
      </c>
      <c r="DG195" s="117">
        <f t="shared" ca="1" si="936"/>
        <v>0</v>
      </c>
      <c r="DH195" s="117">
        <f t="shared" ca="1" si="936"/>
        <v>0</v>
      </c>
      <c r="DI195" s="117">
        <f t="shared" ca="1" si="936"/>
        <v>0</v>
      </c>
      <c r="DJ195" s="117">
        <f t="shared" ca="1" si="936"/>
        <v>0</v>
      </c>
      <c r="DK195" s="117">
        <f t="shared" ca="1" si="936"/>
        <v>0</v>
      </c>
      <c r="DL195" s="117">
        <f t="shared" ca="1" si="936"/>
        <v>0</v>
      </c>
      <c r="DM195" s="117">
        <f t="shared" ca="1" si="936"/>
        <v>0</v>
      </c>
      <c r="DN195" s="117">
        <f t="shared" ca="1" si="936"/>
        <v>0</v>
      </c>
      <c r="DO195" s="117">
        <f t="shared" ca="1" si="936"/>
        <v>0</v>
      </c>
      <c r="DP195" s="117">
        <f t="shared" ca="1" si="936"/>
        <v>0</v>
      </c>
      <c r="DQ195" s="117">
        <f t="shared" ca="1" si="936"/>
        <v>0</v>
      </c>
      <c r="DR195" s="117">
        <f t="shared" ca="1" si="936"/>
        <v>0</v>
      </c>
      <c r="DS195" s="117">
        <f t="shared" ca="1" si="936"/>
        <v>0</v>
      </c>
      <c r="DT195" s="117">
        <f t="shared" ca="1" si="936"/>
        <v>0</v>
      </c>
      <c r="DU195" s="117">
        <f t="shared" ca="1" si="936"/>
        <v>0</v>
      </c>
      <c r="DV195" s="117">
        <f t="shared" ca="1" si="936"/>
        <v>0</v>
      </c>
      <c r="DW195" s="117">
        <f t="shared" ca="1" si="936"/>
        <v>0</v>
      </c>
      <c r="DX195" s="117">
        <f t="shared" ca="1" si="936"/>
        <v>0</v>
      </c>
      <c r="DY195" s="117">
        <f t="shared" ca="1" si="936"/>
        <v>0</v>
      </c>
      <c r="DZ195" s="117">
        <f t="shared" ca="1" si="936"/>
        <v>0</v>
      </c>
      <c r="EA195" s="117">
        <f t="shared" ca="1" si="936"/>
        <v>0</v>
      </c>
      <c r="EB195" s="117">
        <f t="shared" ca="1" si="936"/>
        <v>0</v>
      </c>
      <c r="EC195" s="117">
        <f t="shared" ca="1" si="936"/>
        <v>0</v>
      </c>
      <c r="ED195" s="117">
        <f t="shared" ca="1" si="936"/>
        <v>0</v>
      </c>
      <c r="EE195" s="117">
        <f t="shared" ref="EE195:FA195" ca="1" si="937">-(EE165+EE171)</f>
        <v>0</v>
      </c>
      <c r="EF195" s="117">
        <f t="shared" ca="1" si="937"/>
        <v>0</v>
      </c>
      <c r="EG195" s="117">
        <f t="shared" ca="1" si="937"/>
        <v>0</v>
      </c>
      <c r="EH195" s="117">
        <f t="shared" ca="1" si="937"/>
        <v>0</v>
      </c>
      <c r="EI195" s="117">
        <f t="shared" ca="1" si="937"/>
        <v>0</v>
      </c>
      <c r="EJ195" s="117">
        <f t="shared" ca="1" si="937"/>
        <v>0</v>
      </c>
      <c r="EK195" s="117">
        <f t="shared" ca="1" si="937"/>
        <v>0</v>
      </c>
      <c r="EL195" s="117">
        <f t="shared" ca="1" si="937"/>
        <v>0</v>
      </c>
      <c r="EM195" s="117">
        <f t="shared" ca="1" si="937"/>
        <v>0</v>
      </c>
      <c r="EN195" s="117">
        <f t="shared" ca="1" si="937"/>
        <v>0</v>
      </c>
      <c r="EO195" s="117">
        <f t="shared" ca="1" si="937"/>
        <v>0</v>
      </c>
      <c r="EP195" s="117">
        <f t="shared" ca="1" si="937"/>
        <v>0</v>
      </c>
      <c r="EQ195" s="117">
        <f t="shared" ca="1" si="937"/>
        <v>0</v>
      </c>
      <c r="ER195" s="117">
        <f t="shared" ca="1" si="937"/>
        <v>0</v>
      </c>
      <c r="ES195" s="117">
        <f t="shared" ca="1" si="937"/>
        <v>0</v>
      </c>
      <c r="ET195" s="117">
        <f t="shared" ca="1" si="937"/>
        <v>0</v>
      </c>
      <c r="EU195" s="117">
        <f t="shared" ca="1" si="937"/>
        <v>0</v>
      </c>
      <c r="EV195" s="117">
        <f t="shared" ca="1" si="937"/>
        <v>0</v>
      </c>
      <c r="EW195" s="117">
        <f t="shared" ca="1" si="937"/>
        <v>0</v>
      </c>
      <c r="EX195" s="117">
        <f t="shared" ca="1" si="937"/>
        <v>0</v>
      </c>
      <c r="EY195" s="117">
        <f t="shared" ca="1" si="937"/>
        <v>0</v>
      </c>
      <c r="EZ195" s="117">
        <f t="shared" ca="1" si="937"/>
        <v>0</v>
      </c>
      <c r="FA195" s="117">
        <f t="shared" ca="1" si="937"/>
        <v>0</v>
      </c>
    </row>
    <row r="196" spans="2:157" outlineLevel="1" x14ac:dyDescent="0.2">
      <c r="C196" s="2" t="s">
        <v>46</v>
      </c>
      <c r="D196" s="21" t="s">
        <v>126</v>
      </c>
      <c r="E196" s="45"/>
      <c r="F196" s="108"/>
      <c r="G196" s="106">
        <f ca="1">SUM(G194:G195)</f>
        <v>0</v>
      </c>
      <c r="H196" s="106">
        <f t="shared" ref="H196:BS196" ca="1" si="938">SUM(H194:H195)</f>
        <v>0</v>
      </c>
      <c r="I196" s="106">
        <f t="shared" ca="1" si="938"/>
        <v>0</v>
      </c>
      <c r="J196" s="106">
        <f t="shared" ca="1" si="938"/>
        <v>0</v>
      </c>
      <c r="K196" s="106">
        <f t="shared" ca="1" si="938"/>
        <v>0</v>
      </c>
      <c r="L196" s="106">
        <f t="shared" ca="1" si="938"/>
        <v>0</v>
      </c>
      <c r="M196" s="106">
        <f t="shared" ca="1" si="938"/>
        <v>0</v>
      </c>
      <c r="N196" s="106">
        <f t="shared" ca="1" si="938"/>
        <v>0</v>
      </c>
      <c r="O196" s="106">
        <f t="shared" ca="1" si="938"/>
        <v>0</v>
      </c>
      <c r="P196" s="106">
        <f t="shared" ca="1" si="938"/>
        <v>0</v>
      </c>
      <c r="Q196" s="106">
        <f t="shared" ca="1" si="938"/>
        <v>0</v>
      </c>
      <c r="R196" s="106">
        <f t="shared" ca="1" si="938"/>
        <v>0</v>
      </c>
      <c r="S196" s="106">
        <f t="shared" ca="1" si="938"/>
        <v>0</v>
      </c>
      <c r="T196" s="106">
        <f t="shared" ca="1" si="938"/>
        <v>0</v>
      </c>
      <c r="U196" s="106">
        <f t="shared" ca="1" si="938"/>
        <v>0</v>
      </c>
      <c r="V196" s="106">
        <f t="shared" ca="1" si="938"/>
        <v>0</v>
      </c>
      <c r="W196" s="106">
        <f t="shared" ca="1" si="938"/>
        <v>0</v>
      </c>
      <c r="X196" s="106">
        <f t="shared" ca="1" si="938"/>
        <v>30.961047262086112</v>
      </c>
      <c r="Y196" s="106">
        <f t="shared" ca="1" si="938"/>
        <v>29.652874343927259</v>
      </c>
      <c r="Z196" s="106">
        <f t="shared" ca="1" si="938"/>
        <v>46.183503127873216</v>
      </c>
      <c r="AA196" s="106">
        <f t="shared" ca="1" si="938"/>
        <v>51.907052777714114</v>
      </c>
      <c r="AB196" s="106">
        <f t="shared" ca="1" si="938"/>
        <v>31.583192687807554</v>
      </c>
      <c r="AC196" s="106">
        <f t="shared" ca="1" si="938"/>
        <v>29.026446989741849</v>
      </c>
      <c r="AD196" s="106">
        <f t="shared" ca="1" si="938"/>
        <v>47.153782778795282</v>
      </c>
      <c r="AE196" s="106">
        <f t="shared" ca="1" si="938"/>
        <v>53.008070998742731</v>
      </c>
      <c r="AF196" s="106">
        <f t="shared" ca="1" si="938"/>
        <v>32.217157169246818</v>
      </c>
      <c r="AG196" s="106">
        <f t="shared" ca="1" si="938"/>
        <v>28.329555685817454</v>
      </c>
      <c r="AH196" s="106">
        <f t="shared" ca="1" si="938"/>
        <v>48.143837115338243</v>
      </c>
      <c r="AI196" s="106">
        <f t="shared" ca="1" si="938"/>
        <v>53.547511656548998</v>
      </c>
      <c r="AJ196" s="106">
        <f t="shared" ca="1" si="938"/>
        <v>32.289933049132038</v>
      </c>
      <c r="AK196" s="106">
        <f t="shared" ca="1" si="938"/>
        <v>27.575747307038409</v>
      </c>
      <c r="AL196" s="106">
        <f t="shared" ca="1" si="938"/>
        <v>48.410573251931389</v>
      </c>
      <c r="AM196" s="106">
        <f t="shared" ca="1" si="938"/>
        <v>54.470931645804669</v>
      </c>
      <c r="AN196" s="106">
        <f t="shared" ca="1" si="938"/>
        <v>32.934991220731888</v>
      </c>
      <c r="AO196" s="106">
        <f t="shared" ca="1" si="938"/>
        <v>27.002501757478228</v>
      </c>
      <c r="AP196" s="106">
        <f t="shared" ca="1" si="938"/>
        <v>49.424273945982925</v>
      </c>
      <c r="AQ196" s="106">
        <f t="shared" ca="1" si="938"/>
        <v>55.238159538761764</v>
      </c>
      <c r="AR196" s="106">
        <f t="shared" ca="1" si="938"/>
        <v>33.214622587056795</v>
      </c>
      <c r="AS196" s="106">
        <f t="shared" ca="1" si="938"/>
        <v>26.733104425029566</v>
      </c>
      <c r="AT196" s="106">
        <f t="shared" ca="1" si="938"/>
        <v>49.968820413228237</v>
      </c>
      <c r="AU196" s="106">
        <f t="shared" ca="1" si="938"/>
        <v>56.266732255928474</v>
      </c>
      <c r="AV196" s="106">
        <f t="shared" ca="1" si="938"/>
        <v>33.87548648567391</v>
      </c>
      <c r="AW196" s="106">
        <f t="shared" ca="1" si="938"/>
        <v>27.15619429320509</v>
      </c>
      <c r="AX196" s="106">
        <f t="shared" ca="1" si="938"/>
        <v>51.012791975478464</v>
      </c>
      <c r="AY196" s="106">
        <f t="shared" ca="1" si="938"/>
        <v>57.454533045947159</v>
      </c>
      <c r="AZ196" s="106">
        <f t="shared" ca="1" si="938"/>
        <v>34.548695451056268</v>
      </c>
      <c r="BA196" s="106">
        <f t="shared" ca="1" si="938"/>
        <v>27.674477849584314</v>
      </c>
      <c r="BB196" s="106">
        <f t="shared" ca="1" si="938"/>
        <v>52.077861842479244</v>
      </c>
      <c r="BC196" s="106">
        <f t="shared" ca="1" si="938"/>
        <v>57.691311699976495</v>
      </c>
      <c r="BD196" s="106">
        <f t="shared" ca="1" si="938"/>
        <v>34.277623191865366</v>
      </c>
      <c r="BE196" s="106">
        <f t="shared" ca="1" si="938"/>
        <v>27.351474022106451</v>
      </c>
      <c r="BF196" s="106">
        <f t="shared" ca="1" si="938"/>
        <v>51.923385695261352</v>
      </c>
      <c r="BG196" s="106">
        <f t="shared" ca="1" si="938"/>
        <v>58.555162507395075</v>
      </c>
      <c r="BH196" s="106">
        <f t="shared" ca="1" si="938"/>
        <v>34.954179349901473</v>
      </c>
      <c r="BI196" s="106">
        <f t="shared" ca="1" si="938"/>
        <v>27.868316806825728</v>
      </c>
      <c r="BJ196" s="106">
        <f t="shared" ca="1" si="938"/>
        <v>53.003390369190221</v>
      </c>
      <c r="BK196" s="106">
        <f t="shared" ca="1" si="938"/>
        <v>59.786597705448735</v>
      </c>
      <c r="BL196" s="106">
        <f t="shared" ca="1" si="938"/>
        <v>35.643197924295734</v>
      </c>
      <c r="BM196" s="106">
        <f t="shared" ca="1" si="938"/>
        <v>28.393935432470641</v>
      </c>
      <c r="BN196" s="106">
        <f t="shared" ca="1" si="938"/>
        <v>54.105074149550838</v>
      </c>
      <c r="BO196" s="106">
        <f t="shared" ca="1" si="938"/>
        <v>61.043165893260777</v>
      </c>
      <c r="BP196" s="106">
        <f t="shared" ca="1" si="938"/>
        <v>36.34487943136115</v>
      </c>
      <c r="BQ196" s="106">
        <f t="shared" ca="1" si="938"/>
        <v>28.92844521698801</v>
      </c>
      <c r="BR196" s="106">
        <f t="shared" ca="1" si="938"/>
        <v>55.228847888673371</v>
      </c>
      <c r="BS196" s="106">
        <f t="shared" ca="1" si="938"/>
        <v>62.325356590095396</v>
      </c>
      <c r="BT196" s="106">
        <f t="shared" ref="BT196:EE196" ca="1" si="939">SUM(BT194:BT195)</f>
        <v>37.059426598706452</v>
      </c>
      <c r="BU196" s="106">
        <f t="shared" ca="1" si="939"/>
        <v>29.471961717746684</v>
      </c>
      <c r="BV196" s="106">
        <f t="shared" ca="1" si="939"/>
        <v>56.375129444138047</v>
      </c>
      <c r="BW196" s="106">
        <f t="shared" ca="1" si="939"/>
        <v>63.633668109070747</v>
      </c>
      <c r="BX196" s="106">
        <f t="shared" ca="1" si="939"/>
        <v>37.787044349006962</v>
      </c>
      <c r="BY196" s="106">
        <f t="shared" ca="1" si="939"/>
        <v>30.024600669588629</v>
      </c>
      <c r="BZ196" s="106">
        <f t="shared" ca="1" si="939"/>
        <v>57.544343771633081</v>
      </c>
      <c r="CA196" s="106">
        <f t="shared" ca="1" si="939"/>
        <v>64.96860769059397</v>
      </c>
      <c r="CB196" s="106">
        <f t="shared" ca="1" si="939"/>
        <v>38.527939781522434</v>
      </c>
      <c r="CC196" s="106">
        <f t="shared" ca="1" si="939"/>
        <v>30.586477919564935</v>
      </c>
      <c r="CD196" s="106">
        <f t="shared" ca="1" si="939"/>
        <v>58.73692301803824</v>
      </c>
      <c r="CE196" s="106">
        <f t="shared" ca="1" si="939"/>
        <v>64.827449679099558</v>
      </c>
      <c r="CF196" s="106">
        <f t="shared" ca="1" si="939"/>
        <v>37.807700423465647</v>
      </c>
      <c r="CG196" s="106">
        <f t="shared" ca="1" si="939"/>
        <v>29.847327255735856</v>
      </c>
      <c r="CH196" s="106">
        <f t="shared" ca="1" si="939"/>
        <v>58.04066206121766</v>
      </c>
      <c r="CI196" s="106">
        <f t="shared" ca="1" si="939"/>
        <v>65.642064077651455</v>
      </c>
      <c r="CJ196" s="106">
        <f t="shared" ca="1" si="939"/>
        <v>38.541938549215061</v>
      </c>
      <c r="CK196" s="106">
        <f t="shared" ca="1" si="939"/>
        <v>30.397955475600131</v>
      </c>
      <c r="CL196" s="106">
        <f t="shared" ca="1" si="939"/>
        <v>59.237401624767863</v>
      </c>
      <c r="CM196" s="106">
        <f t="shared" ca="1" si="939"/>
        <v>67.012323735031444</v>
      </c>
      <c r="CN196" s="106">
        <f t="shared" ca="1" si="939"/>
        <v>39.289311806684928</v>
      </c>
      <c r="CO196" s="106">
        <f t="shared" ca="1" si="939"/>
        <v>30.957479321368346</v>
      </c>
      <c r="CP196" s="106">
        <f t="shared" ca="1" si="939"/>
        <v>60.457839233514122</v>
      </c>
      <c r="CQ196" s="106">
        <f t="shared" ca="1" si="939"/>
        <v>68.410237708915403</v>
      </c>
      <c r="CR196" s="106">
        <f t="shared" ca="1" si="939"/>
        <v>40.050017942895238</v>
      </c>
      <c r="CS196" s="106">
        <f t="shared" ca="1" si="939"/>
        <v>31.525998525704416</v>
      </c>
      <c r="CT196" s="106">
        <f t="shared" ca="1" si="939"/>
        <v>61.702413612969053</v>
      </c>
      <c r="CU196" s="259">
        <f t="shared" ca="1" si="939"/>
        <v>69.836334793556901</v>
      </c>
      <c r="CV196" s="106">
        <f t="shared" ca="1" si="939"/>
        <v>0</v>
      </c>
      <c r="CW196" s="106">
        <f t="shared" ca="1" si="939"/>
        <v>0</v>
      </c>
      <c r="CX196" s="106">
        <f t="shared" ca="1" si="939"/>
        <v>0</v>
      </c>
      <c r="CY196" s="106">
        <f t="shared" ca="1" si="939"/>
        <v>0</v>
      </c>
      <c r="CZ196" s="106">
        <f t="shared" ca="1" si="939"/>
        <v>0</v>
      </c>
      <c r="DA196" s="106">
        <f t="shared" ca="1" si="939"/>
        <v>0</v>
      </c>
      <c r="DB196" s="106">
        <f t="shared" ca="1" si="939"/>
        <v>0</v>
      </c>
      <c r="DC196" s="106">
        <f t="shared" ca="1" si="939"/>
        <v>0</v>
      </c>
      <c r="DD196" s="106">
        <f t="shared" ca="1" si="939"/>
        <v>0</v>
      </c>
      <c r="DE196" s="106">
        <f t="shared" ca="1" si="939"/>
        <v>0</v>
      </c>
      <c r="DF196" s="106">
        <f t="shared" ca="1" si="939"/>
        <v>0</v>
      </c>
      <c r="DG196" s="106">
        <f t="shared" ca="1" si="939"/>
        <v>0</v>
      </c>
      <c r="DH196" s="106">
        <f t="shared" ca="1" si="939"/>
        <v>0</v>
      </c>
      <c r="DI196" s="106">
        <f t="shared" ca="1" si="939"/>
        <v>0</v>
      </c>
      <c r="DJ196" s="106">
        <f t="shared" ca="1" si="939"/>
        <v>0</v>
      </c>
      <c r="DK196" s="106">
        <f t="shared" ca="1" si="939"/>
        <v>0</v>
      </c>
      <c r="DL196" s="106">
        <f t="shared" ca="1" si="939"/>
        <v>0</v>
      </c>
      <c r="DM196" s="106">
        <f t="shared" ca="1" si="939"/>
        <v>0</v>
      </c>
      <c r="DN196" s="106">
        <f t="shared" ca="1" si="939"/>
        <v>0</v>
      </c>
      <c r="DO196" s="106">
        <f t="shared" ca="1" si="939"/>
        <v>0</v>
      </c>
      <c r="DP196" s="106">
        <f t="shared" ca="1" si="939"/>
        <v>0</v>
      </c>
      <c r="DQ196" s="106">
        <f t="shared" ca="1" si="939"/>
        <v>0</v>
      </c>
      <c r="DR196" s="106">
        <f t="shared" ca="1" si="939"/>
        <v>0</v>
      </c>
      <c r="DS196" s="106">
        <f t="shared" ca="1" si="939"/>
        <v>0</v>
      </c>
      <c r="DT196" s="106">
        <f t="shared" ca="1" si="939"/>
        <v>0</v>
      </c>
      <c r="DU196" s="106">
        <f t="shared" ca="1" si="939"/>
        <v>0</v>
      </c>
      <c r="DV196" s="106">
        <f t="shared" ca="1" si="939"/>
        <v>0</v>
      </c>
      <c r="DW196" s="106">
        <f t="shared" ca="1" si="939"/>
        <v>0</v>
      </c>
      <c r="DX196" s="106">
        <f t="shared" ca="1" si="939"/>
        <v>0</v>
      </c>
      <c r="DY196" s="106">
        <f t="shared" ca="1" si="939"/>
        <v>0</v>
      </c>
      <c r="DZ196" s="106">
        <f t="shared" ca="1" si="939"/>
        <v>0</v>
      </c>
      <c r="EA196" s="106">
        <f t="shared" ca="1" si="939"/>
        <v>0</v>
      </c>
      <c r="EB196" s="106">
        <f t="shared" ca="1" si="939"/>
        <v>0</v>
      </c>
      <c r="EC196" s="106">
        <f t="shared" ca="1" si="939"/>
        <v>0</v>
      </c>
      <c r="ED196" s="106">
        <f t="shared" ca="1" si="939"/>
        <v>0</v>
      </c>
      <c r="EE196" s="106">
        <f t="shared" ca="1" si="939"/>
        <v>0</v>
      </c>
      <c r="EF196" s="106">
        <f t="shared" ref="EF196:FA196" ca="1" si="940">SUM(EF194:EF195)</f>
        <v>0</v>
      </c>
      <c r="EG196" s="106">
        <f t="shared" ca="1" si="940"/>
        <v>0</v>
      </c>
      <c r="EH196" s="106">
        <f t="shared" ca="1" si="940"/>
        <v>0</v>
      </c>
      <c r="EI196" s="106">
        <f t="shared" ca="1" si="940"/>
        <v>0</v>
      </c>
      <c r="EJ196" s="106">
        <f t="shared" ca="1" si="940"/>
        <v>0</v>
      </c>
      <c r="EK196" s="106">
        <f t="shared" ca="1" si="940"/>
        <v>0</v>
      </c>
      <c r="EL196" s="106">
        <f t="shared" ca="1" si="940"/>
        <v>0</v>
      </c>
      <c r="EM196" s="106">
        <f t="shared" ca="1" si="940"/>
        <v>0</v>
      </c>
      <c r="EN196" s="106">
        <f t="shared" ca="1" si="940"/>
        <v>0</v>
      </c>
      <c r="EO196" s="106">
        <f t="shared" ca="1" si="940"/>
        <v>0</v>
      </c>
      <c r="EP196" s="106">
        <f t="shared" ca="1" si="940"/>
        <v>0</v>
      </c>
      <c r="EQ196" s="106">
        <f t="shared" ca="1" si="940"/>
        <v>0</v>
      </c>
      <c r="ER196" s="106">
        <f t="shared" ca="1" si="940"/>
        <v>0</v>
      </c>
      <c r="ES196" s="106">
        <f t="shared" ca="1" si="940"/>
        <v>0</v>
      </c>
      <c r="ET196" s="106">
        <f t="shared" ca="1" si="940"/>
        <v>0</v>
      </c>
      <c r="EU196" s="106">
        <f t="shared" ca="1" si="940"/>
        <v>0</v>
      </c>
      <c r="EV196" s="106">
        <f t="shared" ca="1" si="940"/>
        <v>0</v>
      </c>
      <c r="EW196" s="106">
        <f t="shared" ca="1" si="940"/>
        <v>0</v>
      </c>
      <c r="EX196" s="106">
        <f t="shared" ca="1" si="940"/>
        <v>0</v>
      </c>
      <c r="EY196" s="106">
        <f t="shared" ca="1" si="940"/>
        <v>0</v>
      </c>
      <c r="EZ196" s="106">
        <f t="shared" ca="1" si="940"/>
        <v>0</v>
      </c>
      <c r="FA196" s="106">
        <f t="shared" ca="1" si="940"/>
        <v>0</v>
      </c>
    </row>
    <row r="197" spans="2:157" outlineLevel="1" x14ac:dyDescent="0.2">
      <c r="C197" s="56"/>
      <c r="D197" s="45"/>
      <c r="E197" s="45"/>
      <c r="F197" s="4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274"/>
      <c r="CV197" s="15"/>
      <c r="CW197" s="15"/>
      <c r="CX197" s="15"/>
      <c r="CY197" s="15"/>
      <c r="CZ197" s="15"/>
      <c r="DA197" s="15"/>
      <c r="DB197" s="15"/>
      <c r="DC197" s="15"/>
      <c r="DD197" s="15"/>
      <c r="DE197" s="15"/>
      <c r="DF197" s="15"/>
      <c r="DG197" s="15"/>
      <c r="DH197" s="15"/>
      <c r="DI197" s="15"/>
      <c r="DJ197" s="15"/>
      <c r="DK197" s="15"/>
      <c r="DL197" s="15"/>
      <c r="DM197" s="15"/>
      <c r="DN197" s="15"/>
      <c r="DO197" s="15"/>
      <c r="DP197" s="15"/>
      <c r="DQ197" s="15"/>
      <c r="DR197" s="15"/>
      <c r="DS197" s="15"/>
      <c r="DT197" s="15"/>
      <c r="DU197" s="15"/>
      <c r="DV197" s="15"/>
      <c r="DW197" s="15"/>
      <c r="DX197" s="15"/>
      <c r="DY197" s="15"/>
      <c r="DZ197" s="15"/>
      <c r="EA197" s="15"/>
      <c r="EB197" s="15"/>
      <c r="EC197" s="15"/>
      <c r="ED197" s="15"/>
      <c r="EE197" s="15"/>
      <c r="EF197" s="15"/>
      <c r="EG197" s="15"/>
      <c r="EH197" s="15"/>
      <c r="EI197" s="15"/>
      <c r="EJ197" s="15"/>
      <c r="EK197" s="15"/>
      <c r="EL197" s="15"/>
      <c r="EM197" s="15"/>
      <c r="EN197" s="15"/>
      <c r="EO197" s="15"/>
      <c r="EP197" s="15"/>
      <c r="EQ197" s="15"/>
      <c r="ER197" s="15"/>
      <c r="ES197" s="15"/>
      <c r="ET197" s="15"/>
      <c r="EU197" s="15"/>
      <c r="EV197" s="15"/>
      <c r="EW197" s="15"/>
      <c r="EX197" s="15"/>
      <c r="EY197" s="15"/>
      <c r="EZ197" s="15"/>
      <c r="FA197" s="15"/>
    </row>
    <row r="198" spans="2:157" outlineLevel="1" x14ac:dyDescent="0.2">
      <c r="C198" s="60" t="s">
        <v>43</v>
      </c>
      <c r="D198" s="21" t="s">
        <v>34</v>
      </c>
      <c r="E198" s="5"/>
      <c r="F198" s="73"/>
      <c r="G198" s="73" t="str">
        <f t="shared" ref="G198:AL198" ca="1" si="941">IFERROR(G89/G196, "N/A")</f>
        <v>N/A</v>
      </c>
      <c r="H198" s="73" t="str">
        <f t="shared" ca="1" si="941"/>
        <v>N/A</v>
      </c>
      <c r="I198" s="73" t="str">
        <f t="shared" ca="1" si="941"/>
        <v>N/A</v>
      </c>
      <c r="J198" s="73" t="str">
        <f t="shared" ca="1" si="941"/>
        <v>N/A</v>
      </c>
      <c r="K198" s="73" t="str">
        <f t="shared" ca="1" si="941"/>
        <v>N/A</v>
      </c>
      <c r="L198" s="73" t="str">
        <f t="shared" ca="1" si="941"/>
        <v>N/A</v>
      </c>
      <c r="M198" s="73" t="str">
        <f t="shared" ca="1" si="941"/>
        <v>N/A</v>
      </c>
      <c r="N198" s="73" t="str">
        <f t="shared" ca="1" si="941"/>
        <v>N/A</v>
      </c>
      <c r="O198" s="73" t="str">
        <f t="shared" ca="1" si="941"/>
        <v>N/A</v>
      </c>
      <c r="P198" s="73" t="str">
        <f t="shared" ca="1" si="941"/>
        <v>N/A</v>
      </c>
      <c r="Q198" s="73" t="str">
        <f t="shared" ca="1" si="941"/>
        <v>N/A</v>
      </c>
      <c r="R198" s="73" t="str">
        <f t="shared" ca="1" si="941"/>
        <v>N/A</v>
      </c>
      <c r="S198" s="73" t="str">
        <f t="shared" ca="1" si="941"/>
        <v>N/A</v>
      </c>
      <c r="T198" s="73" t="str">
        <f t="shared" ca="1" si="941"/>
        <v>N/A</v>
      </c>
      <c r="U198" s="73" t="str">
        <f t="shared" ca="1" si="941"/>
        <v>N/A</v>
      </c>
      <c r="V198" s="73" t="str">
        <f t="shared" ca="1" si="941"/>
        <v>N/A</v>
      </c>
      <c r="W198" s="73" t="str">
        <f t="shared" ca="1" si="941"/>
        <v>N/A</v>
      </c>
      <c r="X198" s="73">
        <f t="shared" ca="1" si="941"/>
        <v>1.2998062630203508</v>
      </c>
      <c r="Y198" s="73">
        <f t="shared" ca="1" si="941"/>
        <v>1.0960023716167897</v>
      </c>
      <c r="Z198" s="73">
        <f t="shared" ca="1" si="941"/>
        <v>1.2998062630203506</v>
      </c>
      <c r="AA198" s="73">
        <f t="shared" ca="1" si="941"/>
        <v>1.2998062630203508</v>
      </c>
      <c r="AB198" s="73">
        <f t="shared" ca="1" si="941"/>
        <v>1.2998062630203508</v>
      </c>
      <c r="AC198" s="73">
        <f t="shared" ca="1" si="941"/>
        <v>1.1413652988644094</v>
      </c>
      <c r="AD198" s="73">
        <f t="shared" ca="1" si="941"/>
        <v>1.2998062630203508</v>
      </c>
      <c r="AE198" s="73">
        <f t="shared" ca="1" si="941"/>
        <v>1.2998062630203508</v>
      </c>
      <c r="AF198" s="73">
        <f t="shared" ca="1" si="941"/>
        <v>1.2998062630203508</v>
      </c>
      <c r="AG198" s="73">
        <f t="shared" ca="1" si="941"/>
        <v>1.1920829992873179</v>
      </c>
      <c r="AH198" s="73">
        <f t="shared" ca="1" si="941"/>
        <v>1.2998062630203508</v>
      </c>
      <c r="AI198" s="73">
        <f t="shared" ca="1" si="941"/>
        <v>1.2998062630203508</v>
      </c>
      <c r="AJ198" s="73">
        <f t="shared" ca="1" si="941"/>
        <v>1.2998062630203508</v>
      </c>
      <c r="AK198" s="73">
        <f t="shared" ca="1" si="941"/>
        <v>1.2243337017215024</v>
      </c>
      <c r="AL198" s="73">
        <f t="shared" ca="1" si="941"/>
        <v>1.2998062630203508</v>
      </c>
      <c r="AM198" s="73">
        <f t="shared" ref="AM198:BR198" ca="1" si="942">IFERROR(AM89/AM196, "N/A")</f>
        <v>1.2998062630203506</v>
      </c>
      <c r="AN198" s="73">
        <f t="shared" ca="1" si="942"/>
        <v>1.2998062630203511</v>
      </c>
      <c r="AO198" s="73">
        <f t="shared" ca="1" si="942"/>
        <v>1.274367768847978</v>
      </c>
      <c r="AP198" s="73">
        <f t="shared" ca="1" si="942"/>
        <v>1.2998062630203508</v>
      </c>
      <c r="AQ198" s="73">
        <f t="shared" ca="1" si="942"/>
        <v>1.2998062630203508</v>
      </c>
      <c r="AR198" s="73">
        <f t="shared" ca="1" si="942"/>
        <v>1.2998062630203511</v>
      </c>
      <c r="AS198" s="73">
        <f t="shared" ca="1" si="942"/>
        <v>1.2956081075600698</v>
      </c>
      <c r="AT198" s="73">
        <f t="shared" ca="1" si="942"/>
        <v>1.2998062630203508</v>
      </c>
      <c r="AU198" s="73">
        <f t="shared" ca="1" si="942"/>
        <v>1.2998062630203508</v>
      </c>
      <c r="AV198" s="73">
        <f t="shared" ca="1" si="942"/>
        <v>1.2998062630203511</v>
      </c>
      <c r="AW198" s="73">
        <f t="shared" ca="1" si="942"/>
        <v>1.2998062630203511</v>
      </c>
      <c r="AX198" s="73">
        <f t="shared" ca="1" si="942"/>
        <v>1.2998062630203508</v>
      </c>
      <c r="AY198" s="73">
        <f t="shared" ca="1" si="942"/>
        <v>1.2998062630203508</v>
      </c>
      <c r="AZ198" s="73">
        <f t="shared" ca="1" si="942"/>
        <v>1.2998062630203508</v>
      </c>
      <c r="BA198" s="73">
        <f t="shared" ca="1" si="942"/>
        <v>1.2998062630203508</v>
      </c>
      <c r="BB198" s="73">
        <f t="shared" ca="1" si="942"/>
        <v>1.2998062630203508</v>
      </c>
      <c r="BC198" s="73">
        <f t="shared" ca="1" si="942"/>
        <v>1.2998062630203508</v>
      </c>
      <c r="BD198" s="73">
        <f t="shared" ca="1" si="942"/>
        <v>1.2998062630203508</v>
      </c>
      <c r="BE198" s="73">
        <f t="shared" ca="1" si="942"/>
        <v>1.2998062630203508</v>
      </c>
      <c r="BF198" s="73">
        <f t="shared" ca="1" si="942"/>
        <v>1.2998062630203508</v>
      </c>
      <c r="BG198" s="73">
        <f t="shared" ca="1" si="942"/>
        <v>1.2998062630203508</v>
      </c>
      <c r="BH198" s="73">
        <f t="shared" ca="1" si="942"/>
        <v>1.2998062630203508</v>
      </c>
      <c r="BI198" s="73">
        <f t="shared" ca="1" si="942"/>
        <v>1.2998062630203508</v>
      </c>
      <c r="BJ198" s="73">
        <f t="shared" ca="1" si="942"/>
        <v>1.2998062630203508</v>
      </c>
      <c r="BK198" s="73">
        <f t="shared" ca="1" si="942"/>
        <v>1.2998062630203508</v>
      </c>
      <c r="BL198" s="73">
        <f t="shared" ca="1" si="942"/>
        <v>1.2998062630203511</v>
      </c>
      <c r="BM198" s="73">
        <f t="shared" ca="1" si="942"/>
        <v>1.2998062630203506</v>
      </c>
      <c r="BN198" s="73">
        <f t="shared" ca="1" si="942"/>
        <v>1.2998062630203508</v>
      </c>
      <c r="BO198" s="73">
        <f t="shared" ca="1" si="942"/>
        <v>1.2998062630203508</v>
      </c>
      <c r="BP198" s="73">
        <f t="shared" ca="1" si="942"/>
        <v>1.2998062630203508</v>
      </c>
      <c r="BQ198" s="73">
        <f t="shared" ca="1" si="942"/>
        <v>1.2998062630203508</v>
      </c>
      <c r="BR198" s="73">
        <f t="shared" ca="1" si="942"/>
        <v>1.2998062630203511</v>
      </c>
      <c r="BS198" s="73">
        <f t="shared" ref="BS198:CX198" ca="1" si="943">IFERROR(BS89/BS196, "N/A")</f>
        <v>1.2998062630203506</v>
      </c>
      <c r="BT198" s="73">
        <f t="shared" ca="1" si="943"/>
        <v>1.2998062630203506</v>
      </c>
      <c r="BU198" s="73">
        <f t="shared" ca="1" si="943"/>
        <v>1.2998062630203508</v>
      </c>
      <c r="BV198" s="73">
        <f t="shared" ca="1" si="943"/>
        <v>1.2998062630203508</v>
      </c>
      <c r="BW198" s="73">
        <f t="shared" ca="1" si="943"/>
        <v>1.2998062630203508</v>
      </c>
      <c r="BX198" s="73">
        <f t="shared" ca="1" si="943"/>
        <v>1.2998062630203506</v>
      </c>
      <c r="BY198" s="73">
        <f t="shared" ca="1" si="943"/>
        <v>1.2998062630203508</v>
      </c>
      <c r="BZ198" s="73">
        <f t="shared" ca="1" si="943"/>
        <v>1.2998062630203506</v>
      </c>
      <c r="CA198" s="73">
        <f t="shared" ca="1" si="943"/>
        <v>1.2998062630203506</v>
      </c>
      <c r="CB198" s="73">
        <f t="shared" ca="1" si="943"/>
        <v>1.2998062630203506</v>
      </c>
      <c r="CC198" s="73">
        <f t="shared" ca="1" si="943"/>
        <v>1.2998062630203508</v>
      </c>
      <c r="CD198" s="73">
        <f t="shared" ca="1" si="943"/>
        <v>1.2998062630203511</v>
      </c>
      <c r="CE198" s="73">
        <f t="shared" ca="1" si="943"/>
        <v>1.2998062630203508</v>
      </c>
      <c r="CF198" s="73">
        <f t="shared" ca="1" si="943"/>
        <v>1.2998062630203508</v>
      </c>
      <c r="CG198" s="73">
        <f t="shared" ca="1" si="943"/>
        <v>1.2998062630203508</v>
      </c>
      <c r="CH198" s="73">
        <f t="shared" ca="1" si="943"/>
        <v>1.2998062630203511</v>
      </c>
      <c r="CI198" s="73">
        <f t="shared" ca="1" si="943"/>
        <v>1.2998062630203508</v>
      </c>
      <c r="CJ198" s="73">
        <f t="shared" ca="1" si="943"/>
        <v>1.2998062630203508</v>
      </c>
      <c r="CK198" s="73">
        <f t="shared" ca="1" si="943"/>
        <v>1.2998062630203508</v>
      </c>
      <c r="CL198" s="73">
        <f t="shared" ca="1" si="943"/>
        <v>1.2998062630203506</v>
      </c>
      <c r="CM198" s="73">
        <f t="shared" ca="1" si="943"/>
        <v>1.2998062630203508</v>
      </c>
      <c r="CN198" s="73">
        <f t="shared" ca="1" si="943"/>
        <v>1.2998062630203508</v>
      </c>
      <c r="CO198" s="73">
        <f t="shared" ca="1" si="943"/>
        <v>1.2998062630203508</v>
      </c>
      <c r="CP198" s="73">
        <f t="shared" ca="1" si="943"/>
        <v>1.2998062630203508</v>
      </c>
      <c r="CQ198" s="73">
        <f t="shared" ca="1" si="943"/>
        <v>1.2998062630203508</v>
      </c>
      <c r="CR198" s="73">
        <f t="shared" ca="1" si="943"/>
        <v>1.2998062630203511</v>
      </c>
      <c r="CS198" s="73">
        <f t="shared" ca="1" si="943"/>
        <v>1.2998062630203508</v>
      </c>
      <c r="CT198" s="73">
        <f t="shared" ca="1" si="943"/>
        <v>1.2998062630203508</v>
      </c>
      <c r="CU198" s="267">
        <f t="shared" ca="1" si="943"/>
        <v>1.2998062630203506</v>
      </c>
      <c r="CV198" s="73" t="str">
        <f t="shared" ca="1" si="943"/>
        <v>N/A</v>
      </c>
      <c r="CW198" s="73" t="str">
        <f t="shared" ca="1" si="943"/>
        <v>N/A</v>
      </c>
      <c r="CX198" s="73" t="str">
        <f t="shared" ca="1" si="943"/>
        <v>N/A</v>
      </c>
      <c r="CY198" s="73" t="str">
        <f t="shared" ref="CY198:ED198" ca="1" si="944">IFERROR(CY89/CY196, "N/A")</f>
        <v>N/A</v>
      </c>
      <c r="CZ198" s="73" t="str">
        <f t="shared" ca="1" si="944"/>
        <v>N/A</v>
      </c>
      <c r="DA198" s="73" t="str">
        <f t="shared" ca="1" si="944"/>
        <v>N/A</v>
      </c>
      <c r="DB198" s="73" t="str">
        <f t="shared" ca="1" si="944"/>
        <v>N/A</v>
      </c>
      <c r="DC198" s="73" t="str">
        <f t="shared" ca="1" si="944"/>
        <v>N/A</v>
      </c>
      <c r="DD198" s="73" t="str">
        <f t="shared" ca="1" si="944"/>
        <v>N/A</v>
      </c>
      <c r="DE198" s="73" t="str">
        <f t="shared" ca="1" si="944"/>
        <v>N/A</v>
      </c>
      <c r="DF198" s="73" t="str">
        <f t="shared" ca="1" si="944"/>
        <v>N/A</v>
      </c>
      <c r="DG198" s="73" t="str">
        <f t="shared" ca="1" si="944"/>
        <v>N/A</v>
      </c>
      <c r="DH198" s="73" t="str">
        <f t="shared" ca="1" si="944"/>
        <v>N/A</v>
      </c>
      <c r="DI198" s="73" t="str">
        <f t="shared" ca="1" si="944"/>
        <v>N/A</v>
      </c>
      <c r="DJ198" s="73" t="str">
        <f t="shared" ca="1" si="944"/>
        <v>N/A</v>
      </c>
      <c r="DK198" s="73" t="str">
        <f t="shared" ca="1" si="944"/>
        <v>N/A</v>
      </c>
      <c r="DL198" s="73" t="str">
        <f t="shared" ca="1" si="944"/>
        <v>N/A</v>
      </c>
      <c r="DM198" s="73" t="str">
        <f t="shared" ca="1" si="944"/>
        <v>N/A</v>
      </c>
      <c r="DN198" s="73" t="str">
        <f t="shared" ca="1" si="944"/>
        <v>N/A</v>
      </c>
      <c r="DO198" s="73" t="str">
        <f t="shared" ca="1" si="944"/>
        <v>N/A</v>
      </c>
      <c r="DP198" s="73" t="str">
        <f t="shared" ca="1" si="944"/>
        <v>N/A</v>
      </c>
      <c r="DQ198" s="73" t="str">
        <f t="shared" ca="1" si="944"/>
        <v>N/A</v>
      </c>
      <c r="DR198" s="73" t="str">
        <f t="shared" ca="1" si="944"/>
        <v>N/A</v>
      </c>
      <c r="DS198" s="73" t="str">
        <f t="shared" ca="1" si="944"/>
        <v>N/A</v>
      </c>
      <c r="DT198" s="73" t="str">
        <f t="shared" ca="1" si="944"/>
        <v>N/A</v>
      </c>
      <c r="DU198" s="73" t="str">
        <f t="shared" ca="1" si="944"/>
        <v>N/A</v>
      </c>
      <c r="DV198" s="73" t="str">
        <f t="shared" ca="1" si="944"/>
        <v>N/A</v>
      </c>
      <c r="DW198" s="73" t="str">
        <f t="shared" ca="1" si="944"/>
        <v>N/A</v>
      </c>
      <c r="DX198" s="73" t="str">
        <f t="shared" ca="1" si="944"/>
        <v>N/A</v>
      </c>
      <c r="DY198" s="73" t="str">
        <f t="shared" ca="1" si="944"/>
        <v>N/A</v>
      </c>
      <c r="DZ198" s="73" t="str">
        <f t="shared" ca="1" si="944"/>
        <v>N/A</v>
      </c>
      <c r="EA198" s="73" t="str">
        <f t="shared" ca="1" si="944"/>
        <v>N/A</v>
      </c>
      <c r="EB198" s="73" t="str">
        <f t="shared" ca="1" si="944"/>
        <v>N/A</v>
      </c>
      <c r="EC198" s="73" t="str">
        <f t="shared" ca="1" si="944"/>
        <v>N/A</v>
      </c>
      <c r="ED198" s="73" t="str">
        <f t="shared" ca="1" si="944"/>
        <v>N/A</v>
      </c>
      <c r="EE198" s="73" t="str">
        <f t="shared" ref="EE198:FA198" ca="1" si="945">IFERROR(EE89/EE196, "N/A")</f>
        <v>N/A</v>
      </c>
      <c r="EF198" s="73" t="str">
        <f t="shared" ca="1" si="945"/>
        <v>N/A</v>
      </c>
      <c r="EG198" s="73" t="str">
        <f t="shared" ca="1" si="945"/>
        <v>N/A</v>
      </c>
      <c r="EH198" s="73" t="str">
        <f t="shared" ca="1" si="945"/>
        <v>N/A</v>
      </c>
      <c r="EI198" s="73" t="str">
        <f t="shared" ca="1" si="945"/>
        <v>N/A</v>
      </c>
      <c r="EJ198" s="73" t="str">
        <f t="shared" ca="1" si="945"/>
        <v>N/A</v>
      </c>
      <c r="EK198" s="73" t="str">
        <f t="shared" ca="1" si="945"/>
        <v>N/A</v>
      </c>
      <c r="EL198" s="73" t="str">
        <f t="shared" ca="1" si="945"/>
        <v>N/A</v>
      </c>
      <c r="EM198" s="73" t="str">
        <f t="shared" ca="1" si="945"/>
        <v>N/A</v>
      </c>
      <c r="EN198" s="73" t="str">
        <f t="shared" ca="1" si="945"/>
        <v>N/A</v>
      </c>
      <c r="EO198" s="73" t="str">
        <f t="shared" ca="1" si="945"/>
        <v>N/A</v>
      </c>
      <c r="EP198" s="73" t="str">
        <f t="shared" ca="1" si="945"/>
        <v>N/A</v>
      </c>
      <c r="EQ198" s="73" t="str">
        <f t="shared" ca="1" si="945"/>
        <v>N/A</v>
      </c>
      <c r="ER198" s="73" t="str">
        <f t="shared" ca="1" si="945"/>
        <v>N/A</v>
      </c>
      <c r="ES198" s="73" t="str">
        <f t="shared" ca="1" si="945"/>
        <v>N/A</v>
      </c>
      <c r="ET198" s="73" t="str">
        <f t="shared" ca="1" si="945"/>
        <v>N/A</v>
      </c>
      <c r="EU198" s="73" t="str">
        <f t="shared" ca="1" si="945"/>
        <v>N/A</v>
      </c>
      <c r="EV198" s="73" t="str">
        <f t="shared" ca="1" si="945"/>
        <v>N/A</v>
      </c>
      <c r="EW198" s="73" t="str">
        <f t="shared" ca="1" si="945"/>
        <v>N/A</v>
      </c>
      <c r="EX198" s="73" t="str">
        <f t="shared" ca="1" si="945"/>
        <v>N/A</v>
      </c>
      <c r="EY198" s="73" t="str">
        <f t="shared" ca="1" si="945"/>
        <v>N/A</v>
      </c>
      <c r="EZ198" s="73" t="str">
        <f t="shared" ca="1" si="945"/>
        <v>N/A</v>
      </c>
      <c r="FA198" s="73" t="str">
        <f t="shared" ca="1" si="945"/>
        <v>N/A</v>
      </c>
    </row>
    <row r="200" spans="2:157" x14ac:dyDescent="0.2">
      <c r="B200" s="23"/>
      <c r="C200" s="24"/>
      <c r="D200" s="24"/>
      <c r="E200" s="23"/>
      <c r="F200" s="24"/>
      <c r="G200" s="52" t="str">
        <f>$G$4</f>
        <v>Construction &amp; Operation Period (See Flags):</v>
      </c>
      <c r="H200" s="53"/>
      <c r="I200" s="53"/>
      <c r="J200" s="53"/>
      <c r="K200" s="53"/>
      <c r="L200" s="53"/>
      <c r="M200" s="53"/>
      <c r="N200" s="53"/>
      <c r="O200" s="96"/>
      <c r="P200" s="52"/>
      <c r="Q200" s="25"/>
      <c r="R200" s="25"/>
      <c r="S200" s="25"/>
      <c r="T200" s="25"/>
      <c r="U200" s="25"/>
      <c r="V200" s="25"/>
      <c r="W200" s="25"/>
      <c r="X200" s="25"/>
      <c r="Y200" s="25"/>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237"/>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row>
    <row r="201" spans="2:157" x14ac:dyDescent="0.2">
      <c r="B201" s="26" t="s">
        <v>64</v>
      </c>
      <c r="C201" s="35"/>
      <c r="D201" s="19" t="str">
        <f>Inputs_Assumptions!$D$4</f>
        <v>Units:</v>
      </c>
      <c r="E201" s="65"/>
      <c r="F201" s="19"/>
      <c r="G201" s="77">
        <f>$G$5</f>
        <v>46112</v>
      </c>
      <c r="H201" s="77">
        <f>$H$5</f>
        <v>46203</v>
      </c>
      <c r="I201" s="77">
        <f>$I$5</f>
        <v>46295</v>
      </c>
      <c r="J201" s="77">
        <f>$J$5</f>
        <v>46387</v>
      </c>
      <c r="K201" s="77">
        <f>$K$5</f>
        <v>46477</v>
      </c>
      <c r="L201" s="77">
        <f>$L$5</f>
        <v>46568</v>
      </c>
      <c r="M201" s="77">
        <f>$M$5</f>
        <v>46660</v>
      </c>
      <c r="N201" s="77">
        <f>$N$5</f>
        <v>46752</v>
      </c>
      <c r="O201" s="77">
        <f>$O$5</f>
        <v>46843</v>
      </c>
      <c r="P201" s="77">
        <f>$P$5</f>
        <v>46934</v>
      </c>
      <c r="Q201" s="78">
        <f>$Q$5</f>
        <v>47026</v>
      </c>
      <c r="R201" s="76">
        <f>$R$5</f>
        <v>47118</v>
      </c>
      <c r="S201" s="76">
        <f>$S$5</f>
        <v>47208</v>
      </c>
      <c r="T201" s="76">
        <f>$T$5</f>
        <v>47299</v>
      </c>
      <c r="U201" s="76">
        <f>$U$5</f>
        <v>47391</v>
      </c>
      <c r="V201" s="76">
        <f>$V$5</f>
        <v>47483</v>
      </c>
      <c r="W201" s="76">
        <f>$W$5</f>
        <v>47573</v>
      </c>
      <c r="X201" s="76">
        <f>$X$5</f>
        <v>47664</v>
      </c>
      <c r="Y201" s="76">
        <f>$Y$5</f>
        <v>47756</v>
      </c>
      <c r="Z201" s="76">
        <f>$Z$5</f>
        <v>47848</v>
      </c>
      <c r="AA201" s="76">
        <f>$AA$5</f>
        <v>47938</v>
      </c>
      <c r="AB201" s="76">
        <f>$AB$5</f>
        <v>48029</v>
      </c>
      <c r="AC201" s="76">
        <f>$AC$5</f>
        <v>48121</v>
      </c>
      <c r="AD201" s="76">
        <f>$AD$5</f>
        <v>48213</v>
      </c>
      <c r="AE201" s="76">
        <f>$AE$5</f>
        <v>48304</v>
      </c>
      <c r="AF201" s="76">
        <f>$AF$5</f>
        <v>48395</v>
      </c>
      <c r="AG201" s="76">
        <f>$AG$5</f>
        <v>48487</v>
      </c>
      <c r="AH201" s="76">
        <f>$AH$5</f>
        <v>48579</v>
      </c>
      <c r="AI201" s="76">
        <f>$AI$5</f>
        <v>48669</v>
      </c>
      <c r="AJ201" s="76">
        <f>$AJ$5</f>
        <v>48760</v>
      </c>
      <c r="AK201" s="76">
        <f>$AK$5</f>
        <v>48852</v>
      </c>
      <c r="AL201" s="76">
        <f>$AL$5</f>
        <v>48944</v>
      </c>
      <c r="AM201" s="76">
        <f>$AM$5</f>
        <v>49034</v>
      </c>
      <c r="AN201" s="76">
        <f>$AN$5</f>
        <v>49125</v>
      </c>
      <c r="AO201" s="76">
        <f>$AO$5</f>
        <v>49217</v>
      </c>
      <c r="AP201" s="76">
        <f>$AP$5</f>
        <v>49309</v>
      </c>
      <c r="AQ201" s="76">
        <f>$AQ$5</f>
        <v>49399</v>
      </c>
      <c r="AR201" s="76">
        <f>$AR$5</f>
        <v>49490</v>
      </c>
      <c r="AS201" s="76">
        <f>$AS$5</f>
        <v>49582</v>
      </c>
      <c r="AT201" s="76">
        <f>$AT$5</f>
        <v>49674</v>
      </c>
      <c r="AU201" s="76">
        <f>$AU$5</f>
        <v>49765</v>
      </c>
      <c r="AV201" s="76">
        <f>$AV$5</f>
        <v>49856</v>
      </c>
      <c r="AW201" s="76">
        <f>$AW$5</f>
        <v>49948</v>
      </c>
      <c r="AX201" s="76">
        <f>$AX$5</f>
        <v>50040</v>
      </c>
      <c r="AY201" s="76">
        <f>$AY$5</f>
        <v>50130</v>
      </c>
      <c r="AZ201" s="76">
        <f>$AZ$5</f>
        <v>50221</v>
      </c>
      <c r="BA201" s="76">
        <f>$BA$5</f>
        <v>50313</v>
      </c>
      <c r="BB201" s="76">
        <f>$BB$5</f>
        <v>50405</v>
      </c>
      <c r="BC201" s="76">
        <f>$BC$5</f>
        <v>50495</v>
      </c>
      <c r="BD201" s="76">
        <f>$BD$5</f>
        <v>50586</v>
      </c>
      <c r="BE201" s="76">
        <f>$BE$5</f>
        <v>50678</v>
      </c>
      <c r="BF201" s="76">
        <f>$BF$5</f>
        <v>50770</v>
      </c>
      <c r="BG201" s="76">
        <f>$BG$5</f>
        <v>50860</v>
      </c>
      <c r="BH201" s="76">
        <f>$BH$5</f>
        <v>50951</v>
      </c>
      <c r="BI201" s="76">
        <f>$BI$5</f>
        <v>51043</v>
      </c>
      <c r="BJ201" s="76">
        <f>$BJ$5</f>
        <v>51135</v>
      </c>
      <c r="BK201" s="76">
        <f>$BK$5</f>
        <v>51226</v>
      </c>
      <c r="BL201" s="76">
        <f>$BL$5</f>
        <v>51317</v>
      </c>
      <c r="BM201" s="76">
        <f>$BM$5</f>
        <v>51409</v>
      </c>
      <c r="BN201" s="76">
        <f>$BN$5</f>
        <v>51501</v>
      </c>
      <c r="BO201" s="76">
        <f>$BO$5</f>
        <v>51591</v>
      </c>
      <c r="BP201" s="76">
        <f>$BP$5</f>
        <v>51682</v>
      </c>
      <c r="BQ201" s="76">
        <f>$BQ$5</f>
        <v>51774</v>
      </c>
      <c r="BR201" s="76">
        <f>$BR$5</f>
        <v>51866</v>
      </c>
      <c r="BS201" s="76">
        <f>$BS$5</f>
        <v>51956</v>
      </c>
      <c r="BT201" s="76">
        <f>$BT$5</f>
        <v>52047</v>
      </c>
      <c r="BU201" s="76">
        <f>$BU$5</f>
        <v>52139</v>
      </c>
      <c r="BV201" s="76">
        <f>$BV$5</f>
        <v>52231</v>
      </c>
      <c r="BW201" s="76">
        <f>$BW$5</f>
        <v>52321</v>
      </c>
      <c r="BX201" s="76">
        <f>$BX$5</f>
        <v>52412</v>
      </c>
      <c r="BY201" s="76">
        <f>$BY$5</f>
        <v>52504</v>
      </c>
      <c r="BZ201" s="76">
        <f>$BZ$5</f>
        <v>52596</v>
      </c>
      <c r="CA201" s="76">
        <f>$CA$5</f>
        <v>52687</v>
      </c>
      <c r="CB201" s="76">
        <f>$CB$5</f>
        <v>52778</v>
      </c>
      <c r="CC201" s="76">
        <f>$CC$5</f>
        <v>52870</v>
      </c>
      <c r="CD201" s="76">
        <f>$CD$5</f>
        <v>52962</v>
      </c>
      <c r="CE201" s="76">
        <f>$CE$5</f>
        <v>53052</v>
      </c>
      <c r="CF201" s="76">
        <f>$CF$5</f>
        <v>53143</v>
      </c>
      <c r="CG201" s="76">
        <f>$CG$5</f>
        <v>53235</v>
      </c>
      <c r="CH201" s="76">
        <f>$CH$5</f>
        <v>53327</v>
      </c>
      <c r="CI201" s="76">
        <f>$CI$5</f>
        <v>53417</v>
      </c>
      <c r="CJ201" s="76">
        <f>$CJ$5</f>
        <v>53508</v>
      </c>
      <c r="CK201" s="76">
        <f>$CK$5</f>
        <v>53600</v>
      </c>
      <c r="CL201" s="76">
        <f>$CL$5</f>
        <v>53692</v>
      </c>
      <c r="CM201" s="76">
        <f>$CM$5</f>
        <v>53782</v>
      </c>
      <c r="CN201" s="76">
        <f>$CN$5</f>
        <v>53873</v>
      </c>
      <c r="CO201" s="76">
        <f>$CO$5</f>
        <v>53965</v>
      </c>
      <c r="CP201" s="76">
        <f>$CP$5</f>
        <v>54057</v>
      </c>
      <c r="CQ201" s="76">
        <f>$CQ$5</f>
        <v>54148</v>
      </c>
      <c r="CR201" s="76">
        <f>$CR$5</f>
        <v>54239</v>
      </c>
      <c r="CS201" s="76">
        <f>$CS$5</f>
        <v>54331</v>
      </c>
      <c r="CT201" s="76">
        <f>$CT$5</f>
        <v>54423</v>
      </c>
      <c r="CU201" s="255">
        <f>$CU$5</f>
        <v>54513</v>
      </c>
      <c r="CV201" s="76">
        <f>$CV$5</f>
        <v>54604</v>
      </c>
      <c r="CW201" s="76">
        <f>$CW$5</f>
        <v>54696</v>
      </c>
      <c r="CX201" s="76">
        <f>$CX$5</f>
        <v>54788</v>
      </c>
      <c r="CY201" s="76">
        <f>$CY$5</f>
        <v>54878</v>
      </c>
      <c r="CZ201" s="76">
        <f>$CZ$5</f>
        <v>54969</v>
      </c>
      <c r="DA201" s="76">
        <f>$DA$5</f>
        <v>55061</v>
      </c>
      <c r="DB201" s="76">
        <f>$DB$5</f>
        <v>55153</v>
      </c>
      <c r="DC201" s="76">
        <f>$DC$5</f>
        <v>55243</v>
      </c>
      <c r="DD201" s="76">
        <f>$DD$5</f>
        <v>55334</v>
      </c>
      <c r="DE201" s="76">
        <f>$DE$5</f>
        <v>55426</v>
      </c>
      <c r="DF201" s="76">
        <f>$DF$5</f>
        <v>55518</v>
      </c>
      <c r="DG201" s="76">
        <f>$DG$5</f>
        <v>55609</v>
      </c>
      <c r="DH201" s="76">
        <f>$DH$5</f>
        <v>55700</v>
      </c>
      <c r="DI201" s="76">
        <f>$DI$5</f>
        <v>55792</v>
      </c>
      <c r="DJ201" s="76">
        <f>$DJ$5</f>
        <v>55884</v>
      </c>
      <c r="DK201" s="76">
        <f>$DK$5</f>
        <v>55974</v>
      </c>
      <c r="DL201" s="76">
        <f>$DL$5</f>
        <v>56065</v>
      </c>
      <c r="DM201" s="76">
        <f>$DM$5</f>
        <v>56157</v>
      </c>
      <c r="DN201" s="76">
        <f>$DN$5</f>
        <v>56249</v>
      </c>
      <c r="DO201" s="76">
        <f>$DO$5</f>
        <v>56339</v>
      </c>
      <c r="DP201" s="76">
        <f>$DP$5</f>
        <v>56430</v>
      </c>
      <c r="DQ201" s="76">
        <f>$DQ$5</f>
        <v>56522</v>
      </c>
      <c r="DR201" s="76">
        <f>$DR$5</f>
        <v>56614</v>
      </c>
      <c r="DS201" s="76">
        <f>$DS$5</f>
        <v>56704</v>
      </c>
      <c r="DT201" s="76">
        <f>$DT$5</f>
        <v>56795</v>
      </c>
      <c r="DU201" s="76">
        <f>$DU$5</f>
        <v>56887</v>
      </c>
      <c r="DV201" s="76">
        <f>$DV$5</f>
        <v>56979</v>
      </c>
      <c r="DW201" s="76">
        <f>$DW$5</f>
        <v>57070</v>
      </c>
      <c r="DX201" s="76">
        <f>$DX$5</f>
        <v>57161</v>
      </c>
      <c r="DY201" s="76">
        <f>$DY$5</f>
        <v>57253</v>
      </c>
      <c r="DZ201" s="76">
        <f>$DZ$5</f>
        <v>57345</v>
      </c>
      <c r="EA201" s="76">
        <f>$EA$5</f>
        <v>57435</v>
      </c>
      <c r="EB201" s="76">
        <f>$EB$5</f>
        <v>57526</v>
      </c>
      <c r="EC201" s="76">
        <f>$EC$5</f>
        <v>57618</v>
      </c>
      <c r="ED201" s="76">
        <f>$ED$5</f>
        <v>57710</v>
      </c>
      <c r="EE201" s="76">
        <f>$EE$5</f>
        <v>57800</v>
      </c>
      <c r="EF201" s="76">
        <f>$EF$5</f>
        <v>57891</v>
      </c>
      <c r="EG201" s="76">
        <f>$EG$5</f>
        <v>57983</v>
      </c>
      <c r="EH201" s="76">
        <f>$EH$5</f>
        <v>58075</v>
      </c>
      <c r="EI201" s="76">
        <f>$EI$5</f>
        <v>58165</v>
      </c>
      <c r="EJ201" s="76">
        <f>$EJ$5</f>
        <v>58256</v>
      </c>
      <c r="EK201" s="76">
        <f>$EK$5</f>
        <v>58348</v>
      </c>
      <c r="EL201" s="76">
        <f>$EL$5</f>
        <v>58440</v>
      </c>
      <c r="EM201" s="76">
        <f>$EM$5</f>
        <v>58531</v>
      </c>
      <c r="EN201" s="76">
        <f>$EN$5</f>
        <v>58622</v>
      </c>
      <c r="EO201" s="76">
        <f>$EO$5</f>
        <v>58714</v>
      </c>
      <c r="EP201" s="76">
        <f>$EP$5</f>
        <v>58806</v>
      </c>
      <c r="EQ201" s="76">
        <f>$EQ$5</f>
        <v>58896</v>
      </c>
      <c r="ER201" s="76">
        <f>$ER$5</f>
        <v>58987</v>
      </c>
      <c r="ES201" s="76">
        <f>$ES$5</f>
        <v>59079</v>
      </c>
      <c r="ET201" s="76">
        <f>$ET$5</f>
        <v>59171</v>
      </c>
      <c r="EU201" s="76">
        <f>$EU$5</f>
        <v>59261</v>
      </c>
      <c r="EV201" s="76">
        <f>$EV$5</f>
        <v>59352</v>
      </c>
      <c r="EW201" s="76">
        <f>$EW$5</f>
        <v>59444</v>
      </c>
      <c r="EX201" s="76">
        <f>$EX$5</f>
        <v>59536</v>
      </c>
      <c r="EY201" s="76">
        <f>$EY$5</f>
        <v>59626</v>
      </c>
      <c r="EZ201" s="76">
        <f>$EZ$5</f>
        <v>59717</v>
      </c>
      <c r="FA201" s="76">
        <f>$FA$5</f>
        <v>59809</v>
      </c>
    </row>
    <row r="202" spans="2:157" outlineLevel="1" x14ac:dyDescent="0.2"/>
    <row r="203" spans="2:157" outlineLevel="1" x14ac:dyDescent="0.2">
      <c r="C203" s="2" t="s">
        <v>40</v>
      </c>
      <c r="D203" s="5"/>
      <c r="E203" s="5"/>
      <c r="F203" s="5"/>
      <c r="H203" s="55"/>
    </row>
    <row r="204" spans="2:157" outlineLevel="1" x14ac:dyDescent="0.2">
      <c r="C204" s="9" t="s">
        <v>415</v>
      </c>
      <c r="D204" s="21" t="s">
        <v>126</v>
      </c>
      <c r="E204" s="121">
        <f ca="1">SUM(G204:CU204)</f>
        <v>171.86634519097919</v>
      </c>
      <c r="F204" s="5"/>
      <c r="G204" s="109">
        <f>IF(AND(G5&gt;Debt_Refinance_Date,G5&lt;=Terminal_Exit_Date),G108*G17,0)</f>
        <v>0</v>
      </c>
      <c r="H204" s="109">
        <f>IF(AND(H5&gt;Debt_Refinance_Date,H5&lt;=Terminal_Exit_Date),H108*H17,0)</f>
        <v>0</v>
      </c>
      <c r="I204" s="109">
        <f>IF(AND(I5&gt;Debt_Refinance_Date,I5&lt;=Terminal_Exit_Date),I108*I17,0)</f>
        <v>0</v>
      </c>
      <c r="J204" s="109">
        <f>IF(AND(J5&gt;Debt_Refinance_Date,J5&lt;=Terminal_Exit_Date),J108*J17,0)</f>
        <v>0</v>
      </c>
      <c r="K204" s="109">
        <f>IF(AND(K5&gt;Debt_Refinance_Date,K5&lt;=Terminal_Exit_Date),K108*K17,0)</f>
        <v>0</v>
      </c>
      <c r="L204" s="109">
        <f>IF(AND(L5&gt;Debt_Refinance_Date,L5&lt;=Terminal_Exit_Date),L108*L17,0)</f>
        <v>0</v>
      </c>
      <c r="M204" s="109">
        <f>IF(AND(M5&gt;Debt_Refinance_Date,M5&lt;=Terminal_Exit_Date),M108*M17,0)</f>
        <v>0</v>
      </c>
      <c r="N204" s="109">
        <f>IF(AND(N5&gt;Debt_Refinance_Date,N5&lt;=Terminal_Exit_Date),N108*N17,0)</f>
        <v>0</v>
      </c>
      <c r="O204" s="109">
        <f>IF(AND(O5&gt;Debt_Refinance_Date,O5&lt;=Terminal_Exit_Date),O108*O17,0)</f>
        <v>0</v>
      </c>
      <c r="P204" s="109">
        <f>IF(AND(P5&gt;Debt_Refinance_Date,P5&lt;=Terminal_Exit_Date),P108*P17,0)</f>
        <v>0</v>
      </c>
      <c r="Q204" s="109">
        <f>IF(AND(Q5&gt;Debt_Refinance_Date,Q5&lt;=Terminal_Exit_Date),Q108*Q17,0)</f>
        <v>0</v>
      </c>
      <c r="R204" s="109">
        <f>IF(AND(R5&gt;Debt_Refinance_Date,R5&lt;=Terminal_Exit_Date),R108*R17,0)</f>
        <v>0</v>
      </c>
      <c r="S204" s="109">
        <f>IF(AND(S5&gt;Debt_Refinance_Date,S5&lt;=Terminal_Exit_Date),S108*S17,0)</f>
        <v>0</v>
      </c>
      <c r="T204" s="109">
        <f>IF(AND(T5&gt;Debt_Refinance_Date,T5&lt;=Terminal_Exit_Date),T108*T17,0)</f>
        <v>0</v>
      </c>
      <c r="U204" s="109">
        <f>IF(AND(U5&gt;Debt_Refinance_Date,U5&lt;=Terminal_Exit_Date),U108*U17,0)</f>
        <v>0</v>
      </c>
      <c r="V204" s="109">
        <f>IF(AND(V5&gt;Debt_Refinance_Date,V5&lt;=Terminal_Exit_Date),V108*V17,0)</f>
        <v>0</v>
      </c>
      <c r="W204" s="109">
        <f>IF(AND(W5&gt;Debt_Refinance_Date,W5&lt;=Terminal_Exit_Date),W108*W17,0)</f>
        <v>0</v>
      </c>
      <c r="X204" s="109">
        <f ca="1">IF(AND(X5&gt;Debt_Refinance_Date,X5&lt;=Terminal_Exit_Date),X108*X17,0)</f>
        <v>0</v>
      </c>
      <c r="Y204" s="109">
        <f ca="1">IF(AND(Y5&gt;Debt_Refinance_Date,Y5&lt;=Terminal_Exit_Date),Y108*Y17,0)</f>
        <v>-0.11854117212105564</v>
      </c>
      <c r="Z204" s="109">
        <f ca="1">IF(AND(Z5&gt;Debt_Refinance_Date,Z5&lt;=Terminal_Exit_Date),Z108*Z17,0)</f>
        <v>3.0988417675622202</v>
      </c>
      <c r="AA204" s="109">
        <f ca="1">IF(AND(AA5&gt;Debt_Refinance_Date,AA5&lt;=Terminal_Exit_Date),AA108*AA17,0)</f>
        <v>38.442665305658856</v>
      </c>
      <c r="AB204" s="109">
        <f ca="1">IF(AND(AB5&gt;Debt_Refinance_Date,AB5&lt;=Terminal_Exit_Date),AB108*AB17,0)</f>
        <v>0</v>
      </c>
      <c r="AC204" s="109">
        <f ca="1">IF(AND(AC5&gt;Debt_Refinance_Date,AC5&lt;=Terminal_Exit_Date),AC108*AC17,0)</f>
        <v>0</v>
      </c>
      <c r="AD204" s="109">
        <f ca="1">IF(AND(AD5&gt;Debt_Refinance_Date,AD5&lt;=Terminal_Exit_Date),AD108*AD17,0)</f>
        <v>3.0935822394039008</v>
      </c>
      <c r="AE204" s="109">
        <f ca="1">IF(AND(AE5&gt;Debt_Refinance_Date,AE5&lt;=Terminal_Exit_Date),AE108*AE17,0)</f>
        <v>40.570666988975766</v>
      </c>
      <c r="AF204" s="109">
        <f ca="1">IF(AND(AF5&gt;Debt_Refinance_Date,AF5&lt;=Terminal_Exit_Date),AF108*AF17,0)</f>
        <v>0</v>
      </c>
      <c r="AG204" s="109">
        <f ca="1">IF(AND(AG5&gt;Debt_Refinance_Date,AG5&lt;=Terminal_Exit_Date),AG108*AG17,0)</f>
        <v>0</v>
      </c>
      <c r="AH204" s="109">
        <f ca="1">IF(AND(AH5&gt;Debt_Refinance_Date,AH5&lt;=Terminal_Exit_Date),AH108*AH17,0)</f>
        <v>4.2436235630533616</v>
      </c>
      <c r="AI204" s="109">
        <f ca="1">IF(AND(AI5&gt;Debt_Refinance_Date,AI5&lt;=Terminal_Exit_Date),AI108*AI17,0)</f>
        <v>42.025643713299218</v>
      </c>
      <c r="AJ204" s="109">
        <f ca="1">IF(AND(AJ5&gt;Debt_Refinance_Date,AJ5&lt;=Terminal_Exit_Date),AJ108*AJ17,0)</f>
        <v>0</v>
      </c>
      <c r="AK204" s="109">
        <f ca="1">IF(AND(AK5&gt;Debt_Refinance_Date,AK5&lt;=Terminal_Exit_Date),AK108*AK17,0)</f>
        <v>0</v>
      </c>
      <c r="AL204" s="109">
        <f ca="1">IF(AND(AL5&gt;Debt_Refinance_Date,AL5&lt;=Terminal_Exit_Date),AL108*AL17,0)</f>
        <v>2.8404441787306673</v>
      </c>
      <c r="AM204" s="109">
        <f ca="1">IF(AND(AM5&gt;Debt_Refinance_Date,AM5&lt;=Terminal_Exit_Date),AM108*AM17,0)</f>
        <v>37.669418606416244</v>
      </c>
      <c r="AN204" s="109">
        <f>IF(AND(AN5&gt;Debt_Refinance_Date,AN5&lt;=Terminal_Exit_Date),AN108*AN17,0)</f>
        <v>0</v>
      </c>
      <c r="AO204" s="109">
        <f>IF(AND(AO5&gt;Debt_Refinance_Date,AO5&lt;=Terminal_Exit_Date),AO108*AO17,0)</f>
        <v>0</v>
      </c>
      <c r="AP204" s="109">
        <f>IF(AND(AP5&gt;Debt_Refinance_Date,AP5&lt;=Terminal_Exit_Date),AP108*AP17,0)</f>
        <v>0</v>
      </c>
      <c r="AQ204" s="109">
        <f>IF(AND(AQ5&gt;Debt_Refinance_Date,AQ5&lt;=Terminal_Exit_Date),AQ108*AQ17,0)</f>
        <v>0</v>
      </c>
      <c r="AR204" s="109">
        <f>IF(AND(AR5&gt;Debt_Refinance_Date,AR5&lt;=Terminal_Exit_Date),AR108*AR17,0)</f>
        <v>0</v>
      </c>
      <c r="AS204" s="109">
        <f>IF(AND(AS5&gt;Debt_Refinance_Date,AS5&lt;=Terminal_Exit_Date),AS108*AS17,0)</f>
        <v>0</v>
      </c>
      <c r="AT204" s="109">
        <f>IF(AND(AT5&gt;Debt_Refinance_Date,AT5&lt;=Terminal_Exit_Date),AT108*AT17,0)</f>
        <v>0</v>
      </c>
      <c r="AU204" s="109">
        <f>IF(AND(AU5&gt;Debt_Refinance_Date,AU5&lt;=Terminal_Exit_Date),AU108*AU17,0)</f>
        <v>0</v>
      </c>
      <c r="AV204" s="109">
        <f>IF(AND(AV5&gt;Debt_Refinance_Date,AV5&lt;=Terminal_Exit_Date),AV108*AV17,0)</f>
        <v>0</v>
      </c>
      <c r="AW204" s="109">
        <f>IF(AND(AW5&gt;Debt_Refinance_Date,AW5&lt;=Terminal_Exit_Date),AW108*AW17,0)</f>
        <v>0</v>
      </c>
      <c r="AX204" s="109">
        <f>IF(AND(AX5&gt;Debt_Refinance_Date,AX5&lt;=Terminal_Exit_Date),AX108*AX17,0)</f>
        <v>0</v>
      </c>
      <c r="AY204" s="109">
        <f>IF(AND(AY5&gt;Debt_Refinance_Date,AY5&lt;=Terminal_Exit_Date),AY108*AY17,0)</f>
        <v>0</v>
      </c>
      <c r="AZ204" s="109">
        <f>IF(AND(AZ5&gt;Debt_Refinance_Date,AZ5&lt;=Terminal_Exit_Date),AZ108*AZ17,0)</f>
        <v>0</v>
      </c>
      <c r="BA204" s="109">
        <f>IF(AND(BA5&gt;Debt_Refinance_Date,BA5&lt;=Terminal_Exit_Date),BA108*BA17,0)</f>
        <v>0</v>
      </c>
      <c r="BB204" s="109">
        <f>IF(AND(BB5&gt;Debt_Refinance_Date,BB5&lt;=Terminal_Exit_Date),BB108*BB17,0)</f>
        <v>0</v>
      </c>
      <c r="BC204" s="109">
        <f>IF(AND(BC5&gt;Debt_Refinance_Date,BC5&lt;=Terminal_Exit_Date),BC108*BC17,0)</f>
        <v>0</v>
      </c>
      <c r="BD204" s="109">
        <f>IF(AND(BD5&gt;Debt_Refinance_Date,BD5&lt;=Terminal_Exit_Date),BD108*BD17,0)</f>
        <v>0</v>
      </c>
      <c r="BE204" s="109">
        <f>IF(AND(BE5&gt;Debt_Refinance_Date,BE5&lt;=Terminal_Exit_Date),BE108*BE17,0)</f>
        <v>0</v>
      </c>
      <c r="BF204" s="109">
        <f>IF(AND(BF5&gt;Debt_Refinance_Date,BF5&lt;=Terminal_Exit_Date),BF108*BF17,0)</f>
        <v>0</v>
      </c>
      <c r="BG204" s="109">
        <f>IF(AND(BG5&gt;Debt_Refinance_Date,BG5&lt;=Terminal_Exit_Date),BG108*BG17,0)</f>
        <v>0</v>
      </c>
      <c r="BH204" s="109">
        <f>IF(AND(BH5&gt;Debt_Refinance_Date,BH5&lt;=Terminal_Exit_Date),BH108*BH17,0)</f>
        <v>0</v>
      </c>
      <c r="BI204" s="109">
        <f>IF(AND(BI5&gt;Debt_Refinance_Date,BI5&lt;=Terminal_Exit_Date),BI108*BI17,0)</f>
        <v>0</v>
      </c>
      <c r="BJ204" s="109">
        <f>IF(AND(BJ5&gt;Debt_Refinance_Date,BJ5&lt;=Terminal_Exit_Date),BJ108*BJ17,0)</f>
        <v>0</v>
      </c>
      <c r="BK204" s="109">
        <f>IF(AND(BK5&gt;Debt_Refinance_Date,BK5&lt;=Terminal_Exit_Date),BK108*BK17,0)</f>
        <v>0</v>
      </c>
      <c r="BL204" s="109">
        <f>IF(AND(BL5&gt;Debt_Refinance_Date,BL5&lt;=Terminal_Exit_Date),BL108*BL17,0)</f>
        <v>0</v>
      </c>
      <c r="BM204" s="109">
        <f>IF(AND(BM5&gt;Debt_Refinance_Date,BM5&lt;=Terminal_Exit_Date),BM108*BM17,0)</f>
        <v>0</v>
      </c>
      <c r="BN204" s="109">
        <f>IF(AND(BN5&gt;Debt_Refinance_Date,BN5&lt;=Terminal_Exit_Date),BN108*BN17,0)</f>
        <v>0</v>
      </c>
      <c r="BO204" s="109">
        <f>IF(AND(BO5&gt;Debt_Refinance_Date,BO5&lt;=Terminal_Exit_Date),BO108*BO17,0)</f>
        <v>0</v>
      </c>
      <c r="BP204" s="109">
        <f>IF(AND(BP5&gt;Debt_Refinance_Date,BP5&lt;=Terminal_Exit_Date),BP108*BP17,0)</f>
        <v>0</v>
      </c>
      <c r="BQ204" s="109">
        <f>IF(AND(BQ5&gt;Debt_Refinance_Date,BQ5&lt;=Terminal_Exit_Date),BQ108*BQ17,0)</f>
        <v>0</v>
      </c>
      <c r="BR204" s="109">
        <f>IF(AND(BR5&gt;Debt_Refinance_Date,BR5&lt;=Terminal_Exit_Date),BR108*BR17,0)</f>
        <v>0</v>
      </c>
      <c r="BS204" s="109">
        <f>IF(AND(BS5&gt;Debt_Refinance_Date,BS5&lt;=Terminal_Exit_Date),BS108*BS17,0)</f>
        <v>0</v>
      </c>
      <c r="BT204" s="109">
        <f>IF(AND(BT5&gt;Debt_Refinance_Date,BT5&lt;=Terminal_Exit_Date),BT108*BT17,0)</f>
        <v>0</v>
      </c>
      <c r="BU204" s="109">
        <f>IF(AND(BU5&gt;Debt_Refinance_Date,BU5&lt;=Terminal_Exit_Date),BU108*BU17,0)</f>
        <v>0</v>
      </c>
      <c r="BV204" s="109">
        <f>IF(AND(BV5&gt;Debt_Refinance_Date,BV5&lt;=Terminal_Exit_Date),BV108*BV17,0)</f>
        <v>0</v>
      </c>
      <c r="BW204" s="109">
        <f>IF(AND(BW5&gt;Debt_Refinance_Date,BW5&lt;=Terminal_Exit_Date),BW108*BW17,0)</f>
        <v>0</v>
      </c>
      <c r="BX204" s="109">
        <f>IF(AND(BX5&gt;Debt_Refinance_Date,BX5&lt;=Terminal_Exit_Date),BX108*BX17,0)</f>
        <v>0</v>
      </c>
      <c r="BY204" s="109">
        <f>IF(AND(BY5&gt;Debt_Refinance_Date,BY5&lt;=Terminal_Exit_Date),BY108*BY17,0)</f>
        <v>0</v>
      </c>
      <c r="BZ204" s="109">
        <f>IF(AND(BZ5&gt;Debt_Refinance_Date,BZ5&lt;=Terminal_Exit_Date),BZ108*BZ17,0)</f>
        <v>0</v>
      </c>
      <c r="CA204" s="109">
        <f>IF(AND(CA5&gt;Debt_Refinance_Date,CA5&lt;=Terminal_Exit_Date),CA108*CA17,0)</f>
        <v>0</v>
      </c>
      <c r="CB204" s="109">
        <f>IF(AND(CB5&gt;Debt_Refinance_Date,CB5&lt;=Terminal_Exit_Date),CB108*CB17,0)</f>
        <v>0</v>
      </c>
      <c r="CC204" s="109">
        <f>IF(AND(CC5&gt;Debt_Refinance_Date,CC5&lt;=Terminal_Exit_Date),CC108*CC17,0)</f>
        <v>0</v>
      </c>
      <c r="CD204" s="109">
        <f>IF(AND(CD5&gt;Debt_Refinance_Date,CD5&lt;=Terminal_Exit_Date),CD108*CD17,0)</f>
        <v>0</v>
      </c>
      <c r="CE204" s="109">
        <f>IF(AND(CE5&gt;Debt_Refinance_Date,CE5&lt;=Terminal_Exit_Date),CE108*CE17,0)</f>
        <v>0</v>
      </c>
      <c r="CF204" s="109">
        <f>IF(AND(CF5&gt;Debt_Refinance_Date,CF5&lt;=Terminal_Exit_Date),CF108*CF17,0)</f>
        <v>0</v>
      </c>
      <c r="CG204" s="109">
        <f>IF(AND(CG5&gt;Debt_Refinance_Date,CG5&lt;=Terminal_Exit_Date),CG108*CG17,0)</f>
        <v>0</v>
      </c>
      <c r="CH204" s="109">
        <f>IF(AND(CH5&gt;Debt_Refinance_Date,CH5&lt;=Terminal_Exit_Date),CH108*CH17,0)</f>
        <v>0</v>
      </c>
      <c r="CI204" s="109">
        <f>IF(AND(CI5&gt;Debt_Refinance_Date,CI5&lt;=Terminal_Exit_Date),CI108*CI17,0)</f>
        <v>0</v>
      </c>
      <c r="CJ204" s="109">
        <f>IF(AND(CJ5&gt;Debt_Refinance_Date,CJ5&lt;=Terminal_Exit_Date),CJ108*CJ17,0)</f>
        <v>0</v>
      </c>
      <c r="CK204" s="109">
        <f>IF(AND(CK5&gt;Debt_Refinance_Date,CK5&lt;=Terminal_Exit_Date),CK108*CK17,0)</f>
        <v>0</v>
      </c>
      <c r="CL204" s="109">
        <f>IF(AND(CL5&gt;Debt_Refinance_Date,CL5&lt;=Terminal_Exit_Date),CL108*CL17,0)</f>
        <v>0</v>
      </c>
      <c r="CM204" s="109">
        <f>IF(AND(CM5&gt;Debt_Refinance_Date,CM5&lt;=Terminal_Exit_Date),CM108*CM17,0)</f>
        <v>0</v>
      </c>
      <c r="CN204" s="109">
        <f>IF(AND(CN5&gt;Debt_Refinance_Date,CN5&lt;=Terminal_Exit_Date),CN108*CN17,0)</f>
        <v>0</v>
      </c>
      <c r="CO204" s="109">
        <f>IF(AND(CO5&gt;Debt_Refinance_Date,CO5&lt;=Terminal_Exit_Date),CO108*CO17,0)</f>
        <v>0</v>
      </c>
      <c r="CP204" s="109">
        <f>IF(AND(CP5&gt;Debt_Refinance_Date,CP5&lt;=Terminal_Exit_Date),CP108*CP17,0)</f>
        <v>0</v>
      </c>
      <c r="CQ204" s="109">
        <f>IF(AND(CQ5&gt;Debt_Refinance_Date,CQ5&lt;=Terminal_Exit_Date),CQ108*CQ17,0)</f>
        <v>0</v>
      </c>
      <c r="CR204" s="109">
        <f>IF(AND(CR5&gt;Debt_Refinance_Date,CR5&lt;=Terminal_Exit_Date),CR108*CR17,0)</f>
        <v>0</v>
      </c>
      <c r="CS204" s="109">
        <f>IF(AND(CS5&gt;Debt_Refinance_Date,CS5&lt;=Terminal_Exit_Date),CS108*CS17,0)</f>
        <v>0</v>
      </c>
      <c r="CT204" s="109">
        <f>IF(AND(CT5&gt;Debt_Refinance_Date,CT5&lt;=Terminal_Exit_Date),CT108*CT17,0)</f>
        <v>0</v>
      </c>
      <c r="CU204" s="257">
        <f>IF(AND(CU5&gt;Debt_Refinance_Date,CU5&lt;=Terminal_Exit_Date),CU108*CU17,0)</f>
        <v>0</v>
      </c>
      <c r="CV204" s="109">
        <f>IF(AND(CV5&gt;Debt_Refinance_Date,CV5&lt;=Terminal_Exit_Date),CV108*CV17,0)</f>
        <v>0</v>
      </c>
      <c r="CW204" s="109">
        <f>IF(AND(CW5&gt;Debt_Refinance_Date,CW5&lt;=Terminal_Exit_Date),CW108*CW17,0)</f>
        <v>0</v>
      </c>
      <c r="CX204" s="109">
        <f>IF(AND(CX5&gt;Debt_Refinance_Date,CX5&lt;=Terminal_Exit_Date),CX108*CX17,0)</f>
        <v>0</v>
      </c>
      <c r="CY204" s="109">
        <f>IF(AND(CY5&gt;Debt_Refinance_Date,CY5&lt;=Terminal_Exit_Date),CY108*CY17,0)</f>
        <v>0</v>
      </c>
      <c r="CZ204" s="109">
        <f>IF(AND(CZ5&gt;Debt_Refinance_Date,CZ5&lt;=Terminal_Exit_Date),CZ108*CZ17,0)</f>
        <v>0</v>
      </c>
      <c r="DA204" s="109">
        <f>IF(AND(DA5&gt;Debt_Refinance_Date,DA5&lt;=Terminal_Exit_Date),DA108*DA17,0)</f>
        <v>0</v>
      </c>
      <c r="DB204" s="109">
        <f>IF(AND(DB5&gt;Debt_Refinance_Date,DB5&lt;=Terminal_Exit_Date),DB108*DB17,0)</f>
        <v>0</v>
      </c>
      <c r="DC204" s="109">
        <f>IF(AND(DC5&gt;Debt_Refinance_Date,DC5&lt;=Terminal_Exit_Date),DC108*DC17,0)</f>
        <v>0</v>
      </c>
      <c r="DD204" s="109">
        <f>IF(AND(DD5&gt;Debt_Refinance_Date,DD5&lt;=Terminal_Exit_Date),DD108*DD17,0)</f>
        <v>0</v>
      </c>
      <c r="DE204" s="109">
        <f>IF(AND(DE5&gt;Debt_Refinance_Date,DE5&lt;=Terminal_Exit_Date),DE108*DE17,0)</f>
        <v>0</v>
      </c>
      <c r="DF204" s="109">
        <f>IF(AND(DF5&gt;Debt_Refinance_Date,DF5&lt;=Terminal_Exit_Date),DF108*DF17,0)</f>
        <v>0</v>
      </c>
      <c r="DG204" s="109">
        <f>IF(AND(DG5&gt;Debt_Refinance_Date,DG5&lt;=Terminal_Exit_Date),DG108*DG17,0)</f>
        <v>0</v>
      </c>
      <c r="DH204" s="109">
        <f>IF(AND(DH5&gt;Debt_Refinance_Date,DH5&lt;=Terminal_Exit_Date),DH108*DH17,0)</f>
        <v>0</v>
      </c>
      <c r="DI204" s="109">
        <f>IF(AND(DI5&gt;Debt_Refinance_Date,DI5&lt;=Terminal_Exit_Date),DI108*DI17,0)</f>
        <v>0</v>
      </c>
      <c r="DJ204" s="109">
        <f>IF(AND(DJ5&gt;Debt_Refinance_Date,DJ5&lt;=Terminal_Exit_Date),DJ108*DJ17,0)</f>
        <v>0</v>
      </c>
      <c r="DK204" s="109">
        <f>IF(AND(DK5&gt;Debt_Refinance_Date,DK5&lt;=Terminal_Exit_Date),DK108*DK17,0)</f>
        <v>0</v>
      </c>
      <c r="DL204" s="109">
        <f>IF(AND(DL5&gt;Debt_Refinance_Date,DL5&lt;=Terminal_Exit_Date),DL108*DL17,0)</f>
        <v>0</v>
      </c>
      <c r="DM204" s="109">
        <f>IF(AND(DM5&gt;Debt_Refinance_Date,DM5&lt;=Terminal_Exit_Date),DM108*DM17,0)</f>
        <v>0</v>
      </c>
      <c r="DN204" s="109">
        <f>IF(AND(DN5&gt;Debt_Refinance_Date,DN5&lt;=Terminal_Exit_Date),DN108*DN17,0)</f>
        <v>0</v>
      </c>
      <c r="DO204" s="109">
        <f>IF(AND(DO5&gt;Debt_Refinance_Date,DO5&lt;=Terminal_Exit_Date),DO108*DO17,0)</f>
        <v>0</v>
      </c>
      <c r="DP204" s="109">
        <f>IF(AND(DP5&gt;Debt_Refinance_Date,DP5&lt;=Terminal_Exit_Date),DP108*DP17,0)</f>
        <v>0</v>
      </c>
      <c r="DQ204" s="109">
        <f>IF(AND(DQ5&gt;Debt_Refinance_Date,DQ5&lt;=Terminal_Exit_Date),DQ108*DQ17,0)</f>
        <v>0</v>
      </c>
      <c r="DR204" s="109">
        <f>IF(AND(DR5&gt;Debt_Refinance_Date,DR5&lt;=Terminal_Exit_Date),DR108*DR17,0)</f>
        <v>0</v>
      </c>
      <c r="DS204" s="109">
        <f>IF(AND(DS5&gt;Debt_Refinance_Date,DS5&lt;=Terminal_Exit_Date),DS108*DS17,0)</f>
        <v>0</v>
      </c>
      <c r="DT204" s="109">
        <f>IF(AND(DT5&gt;Debt_Refinance_Date,DT5&lt;=Terminal_Exit_Date),DT108*DT17,0)</f>
        <v>0</v>
      </c>
      <c r="DU204" s="109">
        <f>IF(AND(DU5&gt;Debt_Refinance_Date,DU5&lt;=Terminal_Exit_Date),DU108*DU17,0)</f>
        <v>0</v>
      </c>
      <c r="DV204" s="109">
        <f>IF(AND(DV5&gt;Debt_Refinance_Date,DV5&lt;=Terminal_Exit_Date),DV108*DV17,0)</f>
        <v>0</v>
      </c>
      <c r="DW204" s="109">
        <f>IF(AND(DW5&gt;Debt_Refinance_Date,DW5&lt;=Terminal_Exit_Date),DW108*DW17,0)</f>
        <v>0</v>
      </c>
      <c r="DX204" s="109">
        <f>IF(AND(DX5&gt;Debt_Refinance_Date,DX5&lt;=Terminal_Exit_Date),DX108*DX17,0)</f>
        <v>0</v>
      </c>
      <c r="DY204" s="109">
        <f>IF(AND(DY5&gt;Debt_Refinance_Date,DY5&lt;=Terminal_Exit_Date),DY108*DY17,0)</f>
        <v>0</v>
      </c>
      <c r="DZ204" s="109">
        <f>IF(AND(DZ5&gt;Debt_Refinance_Date,DZ5&lt;=Terminal_Exit_Date),DZ108*DZ17,0)</f>
        <v>0</v>
      </c>
      <c r="EA204" s="109">
        <f>IF(AND(EA5&gt;Debt_Refinance_Date,EA5&lt;=Terminal_Exit_Date),EA108*EA17,0)</f>
        <v>0</v>
      </c>
      <c r="EB204" s="109">
        <f>IF(AND(EB5&gt;Debt_Refinance_Date,EB5&lt;=Terminal_Exit_Date),EB108*EB17,0)</f>
        <v>0</v>
      </c>
      <c r="EC204" s="109">
        <f>IF(AND(EC5&gt;Debt_Refinance_Date,EC5&lt;=Terminal_Exit_Date),EC108*EC17,0)</f>
        <v>0</v>
      </c>
      <c r="ED204" s="109">
        <f>IF(AND(ED5&gt;Debt_Refinance_Date,ED5&lt;=Terminal_Exit_Date),ED108*ED17,0)</f>
        <v>0</v>
      </c>
      <c r="EE204" s="109">
        <f>IF(AND(EE5&gt;Debt_Refinance_Date,EE5&lt;=Terminal_Exit_Date),EE108*EE17,0)</f>
        <v>0</v>
      </c>
      <c r="EF204" s="109">
        <f>IF(AND(EF5&gt;Debt_Refinance_Date,EF5&lt;=Terminal_Exit_Date),EF108*EF17,0)</f>
        <v>0</v>
      </c>
      <c r="EG204" s="109">
        <f>IF(AND(EG5&gt;Debt_Refinance_Date,EG5&lt;=Terminal_Exit_Date),EG108*EG17,0)</f>
        <v>0</v>
      </c>
      <c r="EH204" s="109">
        <f>IF(AND(EH5&gt;Debt_Refinance_Date,EH5&lt;=Terminal_Exit_Date),EH108*EH17,0)</f>
        <v>0</v>
      </c>
      <c r="EI204" s="109">
        <f>IF(AND(EI5&gt;Debt_Refinance_Date,EI5&lt;=Terminal_Exit_Date),EI108*EI17,0)</f>
        <v>0</v>
      </c>
      <c r="EJ204" s="109">
        <f>IF(AND(EJ5&gt;Debt_Refinance_Date,EJ5&lt;=Terminal_Exit_Date),EJ108*EJ17,0)</f>
        <v>0</v>
      </c>
      <c r="EK204" s="109">
        <f>IF(AND(EK5&gt;Debt_Refinance_Date,EK5&lt;=Terminal_Exit_Date),EK108*EK17,0)</f>
        <v>0</v>
      </c>
      <c r="EL204" s="109">
        <f>IF(AND(EL5&gt;Debt_Refinance_Date,EL5&lt;=Terminal_Exit_Date),EL108*EL17,0)</f>
        <v>0</v>
      </c>
      <c r="EM204" s="109">
        <f>IF(AND(EM5&gt;Debt_Refinance_Date,EM5&lt;=Terminal_Exit_Date),EM108*EM17,0)</f>
        <v>0</v>
      </c>
      <c r="EN204" s="109">
        <f>IF(AND(EN5&gt;Debt_Refinance_Date,EN5&lt;=Terminal_Exit_Date),EN108*EN17,0)</f>
        <v>0</v>
      </c>
      <c r="EO204" s="109">
        <f>IF(AND(EO5&gt;Debt_Refinance_Date,EO5&lt;=Terminal_Exit_Date),EO108*EO17,0)</f>
        <v>0</v>
      </c>
      <c r="EP204" s="109">
        <f>IF(AND(EP5&gt;Debt_Refinance_Date,EP5&lt;=Terminal_Exit_Date),EP108*EP17,0)</f>
        <v>0</v>
      </c>
      <c r="EQ204" s="109">
        <f>IF(AND(EQ5&gt;Debt_Refinance_Date,EQ5&lt;=Terminal_Exit_Date),EQ108*EQ17,0)</f>
        <v>0</v>
      </c>
      <c r="ER204" s="109">
        <f>IF(AND(ER5&gt;Debt_Refinance_Date,ER5&lt;=Terminal_Exit_Date),ER108*ER17,0)</f>
        <v>0</v>
      </c>
      <c r="ES204" s="109">
        <f>IF(AND(ES5&gt;Debt_Refinance_Date,ES5&lt;=Terminal_Exit_Date),ES108*ES17,0)</f>
        <v>0</v>
      </c>
      <c r="ET204" s="109">
        <f>IF(AND(ET5&gt;Debt_Refinance_Date,ET5&lt;=Terminal_Exit_Date),ET108*ET17,0)</f>
        <v>0</v>
      </c>
      <c r="EU204" s="109">
        <f>IF(AND(EU5&gt;Debt_Refinance_Date,EU5&lt;=Terminal_Exit_Date),EU108*EU17,0)</f>
        <v>0</v>
      </c>
      <c r="EV204" s="109">
        <f>IF(AND(EV5&gt;Debt_Refinance_Date,EV5&lt;=Terminal_Exit_Date),EV108*EV17,0)</f>
        <v>0</v>
      </c>
      <c r="EW204" s="109">
        <f>IF(AND(EW5&gt;Debt_Refinance_Date,EW5&lt;=Terminal_Exit_Date),EW108*EW17,0)</f>
        <v>0</v>
      </c>
      <c r="EX204" s="109">
        <f>IF(AND(EX5&gt;Debt_Refinance_Date,EX5&lt;=Terminal_Exit_Date),EX108*EX17,0)</f>
        <v>0</v>
      </c>
      <c r="EY204" s="109">
        <f>IF(AND(EY5&gt;Debt_Refinance_Date,EY5&lt;=Terminal_Exit_Date),EY108*EY17,0)</f>
        <v>0</v>
      </c>
      <c r="EZ204" s="109">
        <f>IF(AND(EZ5&gt;Debt_Refinance_Date,EZ5&lt;=Terminal_Exit_Date),EZ108*EZ17,0)</f>
        <v>0</v>
      </c>
      <c r="FA204" s="109">
        <f>IF(AND(FA5&gt;Debt_Refinance_Date,FA5&lt;=Terminal_Exit_Date),FA108*FA17,0)</f>
        <v>0</v>
      </c>
    </row>
    <row r="205" spans="2:157" outlineLevel="1" x14ac:dyDescent="0.2">
      <c r="C205" s="9" t="s">
        <v>416</v>
      </c>
      <c r="D205" s="21" t="s">
        <v>126</v>
      </c>
      <c r="E205" s="121">
        <f t="shared" ref="E205:E209" ca="1" si="946">SUM(G205:CU205)</f>
        <v>583.33406484014677</v>
      </c>
      <c r="F205" s="5"/>
      <c r="G205" s="107">
        <f ca="1">IF(G5&lt;=Terminal_Exit_Date,(G159+G164+G170)*G12,0)</f>
        <v>0</v>
      </c>
      <c r="H205" s="107">
        <f ca="1">IF(H5&lt;=Terminal_Exit_Date,(H159+H164+H170)*H12,0)</f>
        <v>0</v>
      </c>
      <c r="I205" s="107">
        <f ca="1">IF(I5&lt;=Terminal_Exit_Date,(I159+I164+I170)*I12,0)</f>
        <v>0</v>
      </c>
      <c r="J205" s="107">
        <f ca="1">IF(J5&lt;=Terminal_Exit_Date,(J159+J164+J170)*J12,0)</f>
        <v>0</v>
      </c>
      <c r="K205" s="107">
        <f ca="1">IF(K5&lt;=Terminal_Exit_Date,(K159+K164+K170)*K12,0)</f>
        <v>0</v>
      </c>
      <c r="L205" s="107">
        <f ca="1">IF(L5&lt;=Terminal_Exit_Date,(L159+L164+L170)*L12,0)</f>
        <v>0</v>
      </c>
      <c r="M205" s="107">
        <f ca="1">IF(M5&lt;=Terminal_Exit_Date,(M159+M164+M170)*M12,0)</f>
        <v>0</v>
      </c>
      <c r="N205" s="107">
        <f ca="1">IF(N5&lt;=Terminal_Exit_Date,(N159+N164+N170)*N12,0)</f>
        <v>0</v>
      </c>
      <c r="O205" s="107">
        <f ca="1">IF(O5&lt;=Terminal_Exit_Date,(O159+O164+O170)*O12,0)</f>
        <v>0</v>
      </c>
      <c r="P205" s="107">
        <f ca="1">IF(P5&lt;=Terminal_Exit_Date,(P159+P164+P170)*P12,0)</f>
        <v>0</v>
      </c>
      <c r="Q205" s="107">
        <f ca="1">IF(Q5&lt;=Terminal_Exit_Date,(Q159+Q164+Q170)*Q12,0)</f>
        <v>0</v>
      </c>
      <c r="R205" s="107">
        <f ca="1">IF(R5&lt;=Terminal_Exit_Date,(R159+R164+R170)*R12,0)</f>
        <v>0</v>
      </c>
      <c r="S205" s="107">
        <f ca="1">IF(S5&lt;=Terminal_Exit_Date,(S159+S164+S170)*S12,0)</f>
        <v>0</v>
      </c>
      <c r="T205" s="107">
        <f ca="1">IF(T5&lt;=Terminal_Exit_Date,(T159+T164+T170)*T12,0)</f>
        <v>0</v>
      </c>
      <c r="U205" s="107">
        <f ca="1">IF(U5&lt;=Terminal_Exit_Date,(U159+U164+U170)*U12,0)</f>
        <v>0</v>
      </c>
      <c r="V205" s="107">
        <f ca="1">IF(V5&lt;=Terminal_Exit_Date,(V159+V164+V170)*V12,0)</f>
        <v>0</v>
      </c>
      <c r="W205" s="107">
        <f ca="1">IF(W5&lt;=Terminal_Exit_Date,(W159+W164+W170)*W12,0)</f>
        <v>583.33406484014677</v>
      </c>
      <c r="X205" s="107">
        <f ca="1">IF(X5&lt;=Terminal_Exit_Date,(X159+X164+X170)*X12,0)</f>
        <v>0</v>
      </c>
      <c r="Y205" s="107">
        <f ca="1">IF(Y5&lt;=Terminal_Exit_Date,(Y159+Y164+Y170)*Y12,0)</f>
        <v>0</v>
      </c>
      <c r="Z205" s="107">
        <f ca="1">IF(Z5&lt;=Terminal_Exit_Date,(Z159+Z164+Z170)*Z12,0)</f>
        <v>0</v>
      </c>
      <c r="AA205" s="107">
        <f ca="1">IF(AA5&lt;=Terminal_Exit_Date,(AA159+AA164+AA170)*AA12,0)</f>
        <v>0</v>
      </c>
      <c r="AB205" s="107">
        <f ca="1">IF(AB5&lt;=Terminal_Exit_Date,(AB159+AB164+AB170)*AB12,0)</f>
        <v>0</v>
      </c>
      <c r="AC205" s="107">
        <f ca="1">IF(AC5&lt;=Terminal_Exit_Date,(AC159+AC164+AC170)*AC12,0)</f>
        <v>0</v>
      </c>
      <c r="AD205" s="107">
        <f ca="1">IF(AD5&lt;=Terminal_Exit_Date,(AD159+AD164+AD170)*AD12,0)</f>
        <v>0</v>
      </c>
      <c r="AE205" s="107">
        <f ca="1">IF(AE5&lt;=Terminal_Exit_Date,(AE159+AE164+AE170)*AE12,0)</f>
        <v>0</v>
      </c>
      <c r="AF205" s="107">
        <f ca="1">IF(AF5&lt;=Terminal_Exit_Date,(AF159+AF164+AF170)*AF12,0)</f>
        <v>0</v>
      </c>
      <c r="AG205" s="107">
        <f ca="1">IF(AG5&lt;=Terminal_Exit_Date,(AG159+AG164+AG170)*AG12,0)</f>
        <v>0</v>
      </c>
      <c r="AH205" s="107">
        <f ca="1">IF(AH5&lt;=Terminal_Exit_Date,(AH159+AH164+AH170)*AH12,0)</f>
        <v>0</v>
      </c>
      <c r="AI205" s="107">
        <f ca="1">IF(AI5&lt;=Terminal_Exit_Date,(AI159+AI164+AI170)*AI12,0)</f>
        <v>0</v>
      </c>
      <c r="AJ205" s="107">
        <f ca="1">IF(AJ5&lt;=Terminal_Exit_Date,(AJ159+AJ164+AJ170)*AJ12,0)</f>
        <v>0</v>
      </c>
      <c r="AK205" s="107">
        <f ca="1">IF(AK5&lt;=Terminal_Exit_Date,(AK159+AK164+AK170)*AK12,0)</f>
        <v>0</v>
      </c>
      <c r="AL205" s="107">
        <f ca="1">IF(AL5&lt;=Terminal_Exit_Date,(AL159+AL164+AL170)*AL12,0)</f>
        <v>0</v>
      </c>
      <c r="AM205" s="107">
        <f ca="1">IF(AM5&lt;=Terminal_Exit_Date,(AM159+AM164+AM170)*AM12,0)</f>
        <v>0</v>
      </c>
      <c r="AN205" s="107">
        <f>IF(AN5&lt;=Terminal_Exit_Date,(AN159+AN164+AN170)*AN12,0)</f>
        <v>0</v>
      </c>
      <c r="AO205" s="107">
        <f>IF(AO5&lt;=Terminal_Exit_Date,(AO159+AO164+AO170)*AO12,0)</f>
        <v>0</v>
      </c>
      <c r="AP205" s="107">
        <f>IF(AP5&lt;=Terminal_Exit_Date,(AP159+AP164+AP170)*AP12,0)</f>
        <v>0</v>
      </c>
      <c r="AQ205" s="107">
        <f>IF(AQ5&lt;=Terminal_Exit_Date,(AQ159+AQ164+AQ170)*AQ12,0)</f>
        <v>0</v>
      </c>
      <c r="AR205" s="107">
        <f>IF(AR5&lt;=Terminal_Exit_Date,(AR159+AR164+AR170)*AR12,0)</f>
        <v>0</v>
      </c>
      <c r="AS205" s="107">
        <f>IF(AS5&lt;=Terminal_Exit_Date,(AS159+AS164+AS170)*AS12,0)</f>
        <v>0</v>
      </c>
      <c r="AT205" s="107">
        <f>IF(AT5&lt;=Terminal_Exit_Date,(AT159+AT164+AT170)*AT12,0)</f>
        <v>0</v>
      </c>
      <c r="AU205" s="107">
        <f>IF(AU5&lt;=Terminal_Exit_Date,(AU159+AU164+AU170)*AU12,0)</f>
        <v>0</v>
      </c>
      <c r="AV205" s="107">
        <f>IF(AV5&lt;=Terminal_Exit_Date,(AV159+AV164+AV170)*AV12,0)</f>
        <v>0</v>
      </c>
      <c r="AW205" s="107">
        <f>IF(AW5&lt;=Terminal_Exit_Date,(AW159+AW164+AW170)*AW12,0)</f>
        <v>0</v>
      </c>
      <c r="AX205" s="107">
        <f>IF(AX5&lt;=Terminal_Exit_Date,(AX159+AX164+AX170)*AX12,0)</f>
        <v>0</v>
      </c>
      <c r="AY205" s="107">
        <f>IF(AY5&lt;=Terminal_Exit_Date,(AY159+AY164+AY170)*AY12,0)</f>
        <v>0</v>
      </c>
      <c r="AZ205" s="107">
        <f>IF(AZ5&lt;=Terminal_Exit_Date,(AZ159+AZ164+AZ170)*AZ12,0)</f>
        <v>0</v>
      </c>
      <c r="BA205" s="107">
        <f>IF(BA5&lt;=Terminal_Exit_Date,(BA159+BA164+BA170)*BA12,0)</f>
        <v>0</v>
      </c>
      <c r="BB205" s="107">
        <f>IF(BB5&lt;=Terminal_Exit_Date,(BB159+BB164+BB170)*BB12,0)</f>
        <v>0</v>
      </c>
      <c r="BC205" s="107">
        <f>IF(BC5&lt;=Terminal_Exit_Date,(BC159+BC164+BC170)*BC12,0)</f>
        <v>0</v>
      </c>
      <c r="BD205" s="107">
        <f>IF(BD5&lt;=Terminal_Exit_Date,(BD159+BD164+BD170)*BD12,0)</f>
        <v>0</v>
      </c>
      <c r="BE205" s="107">
        <f>IF(BE5&lt;=Terminal_Exit_Date,(BE159+BE164+BE170)*BE12,0)</f>
        <v>0</v>
      </c>
      <c r="BF205" s="107">
        <f>IF(BF5&lt;=Terminal_Exit_Date,(BF159+BF164+BF170)*BF12,0)</f>
        <v>0</v>
      </c>
      <c r="BG205" s="107">
        <f>IF(BG5&lt;=Terminal_Exit_Date,(BG159+BG164+BG170)*BG12,0)</f>
        <v>0</v>
      </c>
      <c r="BH205" s="107">
        <f>IF(BH5&lt;=Terminal_Exit_Date,(BH159+BH164+BH170)*BH12,0)</f>
        <v>0</v>
      </c>
      <c r="BI205" s="107">
        <f>IF(BI5&lt;=Terminal_Exit_Date,(BI159+BI164+BI170)*BI12,0)</f>
        <v>0</v>
      </c>
      <c r="BJ205" s="107">
        <f>IF(BJ5&lt;=Terminal_Exit_Date,(BJ159+BJ164+BJ170)*BJ12,0)</f>
        <v>0</v>
      </c>
      <c r="BK205" s="107">
        <f>IF(BK5&lt;=Terminal_Exit_Date,(BK159+BK164+BK170)*BK12,0)</f>
        <v>0</v>
      </c>
      <c r="BL205" s="107">
        <f>IF(BL5&lt;=Terminal_Exit_Date,(BL159+BL164+BL170)*BL12,0)</f>
        <v>0</v>
      </c>
      <c r="BM205" s="107">
        <f>IF(BM5&lt;=Terminal_Exit_Date,(BM159+BM164+BM170)*BM12,0)</f>
        <v>0</v>
      </c>
      <c r="BN205" s="107">
        <f>IF(BN5&lt;=Terminal_Exit_Date,(BN159+BN164+BN170)*BN12,0)</f>
        <v>0</v>
      </c>
      <c r="BO205" s="107">
        <f>IF(BO5&lt;=Terminal_Exit_Date,(BO159+BO164+BO170)*BO12,0)</f>
        <v>0</v>
      </c>
      <c r="BP205" s="107">
        <f>IF(BP5&lt;=Terminal_Exit_Date,(BP159+BP164+BP170)*BP12,0)</f>
        <v>0</v>
      </c>
      <c r="BQ205" s="107">
        <f>IF(BQ5&lt;=Terminal_Exit_Date,(BQ159+BQ164+BQ170)*BQ12,0)</f>
        <v>0</v>
      </c>
      <c r="BR205" s="107">
        <f>IF(BR5&lt;=Terminal_Exit_Date,(BR159+BR164+BR170)*BR12,0)</f>
        <v>0</v>
      </c>
      <c r="BS205" s="107">
        <f>IF(BS5&lt;=Terminal_Exit_Date,(BS159+BS164+BS170)*BS12,0)</f>
        <v>0</v>
      </c>
      <c r="BT205" s="107">
        <f>IF(BT5&lt;=Terminal_Exit_Date,(BT159+BT164+BT170)*BT12,0)</f>
        <v>0</v>
      </c>
      <c r="BU205" s="107">
        <f>IF(BU5&lt;=Terminal_Exit_Date,(BU159+BU164+BU170)*BU12,0)</f>
        <v>0</v>
      </c>
      <c r="BV205" s="107">
        <f>IF(BV5&lt;=Terminal_Exit_Date,(BV159+BV164+BV170)*BV12,0)</f>
        <v>0</v>
      </c>
      <c r="BW205" s="107">
        <f>IF(BW5&lt;=Terminal_Exit_Date,(BW159+BW164+BW170)*BW12,0)</f>
        <v>0</v>
      </c>
      <c r="BX205" s="107">
        <f>IF(BX5&lt;=Terminal_Exit_Date,(BX159+BX164+BX170)*BX12,0)</f>
        <v>0</v>
      </c>
      <c r="BY205" s="107">
        <f>IF(BY5&lt;=Terminal_Exit_Date,(BY159+BY164+BY170)*BY12,0)</f>
        <v>0</v>
      </c>
      <c r="BZ205" s="107">
        <f>IF(BZ5&lt;=Terminal_Exit_Date,(BZ159+BZ164+BZ170)*BZ12,0)</f>
        <v>0</v>
      </c>
      <c r="CA205" s="107">
        <f>IF(CA5&lt;=Terminal_Exit_Date,(CA159+CA164+CA170)*CA12,0)</f>
        <v>0</v>
      </c>
      <c r="CB205" s="107">
        <f>IF(CB5&lt;=Terminal_Exit_Date,(CB159+CB164+CB170)*CB12,0)</f>
        <v>0</v>
      </c>
      <c r="CC205" s="107">
        <f>IF(CC5&lt;=Terminal_Exit_Date,(CC159+CC164+CC170)*CC12,0)</f>
        <v>0</v>
      </c>
      <c r="CD205" s="107">
        <f>IF(CD5&lt;=Terminal_Exit_Date,(CD159+CD164+CD170)*CD12,0)</f>
        <v>0</v>
      </c>
      <c r="CE205" s="107">
        <f>IF(CE5&lt;=Terminal_Exit_Date,(CE159+CE164+CE170)*CE12,0)</f>
        <v>0</v>
      </c>
      <c r="CF205" s="107">
        <f>IF(CF5&lt;=Terminal_Exit_Date,(CF159+CF164+CF170)*CF12,0)</f>
        <v>0</v>
      </c>
      <c r="CG205" s="107">
        <f>IF(CG5&lt;=Terminal_Exit_Date,(CG159+CG164+CG170)*CG12,0)</f>
        <v>0</v>
      </c>
      <c r="CH205" s="107">
        <f>IF(CH5&lt;=Terminal_Exit_Date,(CH159+CH164+CH170)*CH12,0)</f>
        <v>0</v>
      </c>
      <c r="CI205" s="107">
        <f>IF(CI5&lt;=Terminal_Exit_Date,(CI159+CI164+CI170)*CI12,0)</f>
        <v>0</v>
      </c>
      <c r="CJ205" s="107">
        <f>IF(CJ5&lt;=Terminal_Exit_Date,(CJ159+CJ164+CJ170)*CJ12,0)</f>
        <v>0</v>
      </c>
      <c r="CK205" s="107">
        <f>IF(CK5&lt;=Terminal_Exit_Date,(CK159+CK164+CK170)*CK12,0)</f>
        <v>0</v>
      </c>
      <c r="CL205" s="107">
        <f>IF(CL5&lt;=Terminal_Exit_Date,(CL159+CL164+CL170)*CL12,0)</f>
        <v>0</v>
      </c>
      <c r="CM205" s="107">
        <f>IF(CM5&lt;=Terminal_Exit_Date,(CM159+CM164+CM170)*CM12,0)</f>
        <v>0</v>
      </c>
      <c r="CN205" s="107">
        <f>IF(CN5&lt;=Terminal_Exit_Date,(CN159+CN164+CN170)*CN12,0)</f>
        <v>0</v>
      </c>
      <c r="CO205" s="107">
        <f>IF(CO5&lt;=Terminal_Exit_Date,(CO159+CO164+CO170)*CO12,0)</f>
        <v>0</v>
      </c>
      <c r="CP205" s="107">
        <f>IF(CP5&lt;=Terminal_Exit_Date,(CP159+CP164+CP170)*CP12,0)</f>
        <v>0</v>
      </c>
      <c r="CQ205" s="107">
        <f>IF(CQ5&lt;=Terminal_Exit_Date,(CQ159+CQ164+CQ170)*CQ12,0)</f>
        <v>0</v>
      </c>
      <c r="CR205" s="107">
        <f>IF(CR5&lt;=Terminal_Exit_Date,(CR159+CR164+CR170)*CR12,0)</f>
        <v>0</v>
      </c>
      <c r="CS205" s="107">
        <f>IF(CS5&lt;=Terminal_Exit_Date,(CS159+CS164+CS170)*CS12,0)</f>
        <v>0</v>
      </c>
      <c r="CT205" s="107">
        <f>IF(CT5&lt;=Terminal_Exit_Date,(CT159+CT164+CT170)*CT12,0)</f>
        <v>0</v>
      </c>
      <c r="CU205" s="263">
        <f>IF(CU5&lt;=Terminal_Exit_Date,(CU159+CU164+CU170)*CU12,0)</f>
        <v>0</v>
      </c>
      <c r="CV205" s="107">
        <f>IF(CV5&lt;=Terminal_Exit_Date,(CV159+CV164+CV170)*CV12,0)</f>
        <v>0</v>
      </c>
      <c r="CW205" s="107">
        <f>IF(CW5&lt;=Terminal_Exit_Date,(CW159+CW164+CW170)*CW12,0)</f>
        <v>0</v>
      </c>
      <c r="CX205" s="107">
        <f>IF(CX5&lt;=Terminal_Exit_Date,(CX159+CX164+CX170)*CX12,0)</f>
        <v>0</v>
      </c>
      <c r="CY205" s="107">
        <f>IF(CY5&lt;=Terminal_Exit_Date,(CY159+CY164+CY170)*CY12,0)</f>
        <v>0</v>
      </c>
      <c r="CZ205" s="107">
        <f>IF(CZ5&lt;=Terminal_Exit_Date,(CZ159+CZ164+CZ170)*CZ12,0)</f>
        <v>0</v>
      </c>
      <c r="DA205" s="107">
        <f>IF(DA5&lt;=Terminal_Exit_Date,(DA159+DA164+DA170)*DA12,0)</f>
        <v>0</v>
      </c>
      <c r="DB205" s="107">
        <f>IF(DB5&lt;=Terminal_Exit_Date,(DB159+DB164+DB170)*DB12,0)</f>
        <v>0</v>
      </c>
      <c r="DC205" s="107">
        <f>IF(DC5&lt;=Terminal_Exit_Date,(DC159+DC164+DC170)*DC12,0)</f>
        <v>0</v>
      </c>
      <c r="DD205" s="107">
        <f>IF(DD5&lt;=Terminal_Exit_Date,(DD159+DD164+DD170)*DD12,0)</f>
        <v>0</v>
      </c>
      <c r="DE205" s="107">
        <f>IF(DE5&lt;=Terminal_Exit_Date,(DE159+DE164+DE170)*DE12,0)</f>
        <v>0</v>
      </c>
      <c r="DF205" s="107">
        <f>IF(DF5&lt;=Terminal_Exit_Date,(DF159+DF164+DF170)*DF12,0)</f>
        <v>0</v>
      </c>
      <c r="DG205" s="107">
        <f>IF(DG5&lt;=Terminal_Exit_Date,(DG159+DG164+DG170)*DG12,0)</f>
        <v>0</v>
      </c>
      <c r="DH205" s="107">
        <f>IF(DH5&lt;=Terminal_Exit_Date,(DH159+DH164+DH170)*DH12,0)</f>
        <v>0</v>
      </c>
      <c r="DI205" s="107">
        <f>IF(DI5&lt;=Terminal_Exit_Date,(DI159+DI164+DI170)*DI12,0)</f>
        <v>0</v>
      </c>
      <c r="DJ205" s="107">
        <f>IF(DJ5&lt;=Terminal_Exit_Date,(DJ159+DJ164+DJ170)*DJ12,0)</f>
        <v>0</v>
      </c>
      <c r="DK205" s="107">
        <f>IF(DK5&lt;=Terminal_Exit_Date,(DK159+DK164+DK170)*DK12,0)</f>
        <v>0</v>
      </c>
      <c r="DL205" s="107">
        <f>IF(DL5&lt;=Terminal_Exit_Date,(DL159+DL164+DL170)*DL12,0)</f>
        <v>0</v>
      </c>
      <c r="DM205" s="107">
        <f>IF(DM5&lt;=Terminal_Exit_Date,(DM159+DM164+DM170)*DM12,0)</f>
        <v>0</v>
      </c>
      <c r="DN205" s="107">
        <f>IF(DN5&lt;=Terminal_Exit_Date,(DN159+DN164+DN170)*DN12,0)</f>
        <v>0</v>
      </c>
      <c r="DO205" s="107">
        <f>IF(DO5&lt;=Terminal_Exit_Date,(DO159+DO164+DO170)*DO12,0)</f>
        <v>0</v>
      </c>
      <c r="DP205" s="107">
        <f>IF(DP5&lt;=Terminal_Exit_Date,(DP159+DP164+DP170)*DP12,0)</f>
        <v>0</v>
      </c>
      <c r="DQ205" s="107">
        <f>IF(DQ5&lt;=Terminal_Exit_Date,(DQ159+DQ164+DQ170)*DQ12,0)</f>
        <v>0</v>
      </c>
      <c r="DR205" s="107">
        <f>IF(DR5&lt;=Terminal_Exit_Date,(DR159+DR164+DR170)*DR12,0)</f>
        <v>0</v>
      </c>
      <c r="DS205" s="107">
        <f>IF(DS5&lt;=Terminal_Exit_Date,(DS159+DS164+DS170)*DS12,0)</f>
        <v>0</v>
      </c>
      <c r="DT205" s="107">
        <f>IF(DT5&lt;=Terminal_Exit_Date,(DT159+DT164+DT170)*DT12,0)</f>
        <v>0</v>
      </c>
      <c r="DU205" s="107">
        <f>IF(DU5&lt;=Terminal_Exit_Date,(DU159+DU164+DU170)*DU12,0)</f>
        <v>0</v>
      </c>
      <c r="DV205" s="107">
        <f>IF(DV5&lt;=Terminal_Exit_Date,(DV159+DV164+DV170)*DV12,0)</f>
        <v>0</v>
      </c>
      <c r="DW205" s="107">
        <f>IF(DW5&lt;=Terminal_Exit_Date,(DW159+DW164+DW170)*DW12,0)</f>
        <v>0</v>
      </c>
      <c r="DX205" s="107">
        <f>IF(DX5&lt;=Terminal_Exit_Date,(DX159+DX164+DX170)*DX12,0)</f>
        <v>0</v>
      </c>
      <c r="DY205" s="107">
        <f>IF(DY5&lt;=Terminal_Exit_Date,(DY159+DY164+DY170)*DY12,0)</f>
        <v>0</v>
      </c>
      <c r="DZ205" s="107">
        <f>IF(DZ5&lt;=Terminal_Exit_Date,(DZ159+DZ164+DZ170)*DZ12,0)</f>
        <v>0</v>
      </c>
      <c r="EA205" s="107">
        <f>IF(EA5&lt;=Terminal_Exit_Date,(EA159+EA164+EA170)*EA12,0)</f>
        <v>0</v>
      </c>
      <c r="EB205" s="107">
        <f>IF(EB5&lt;=Terminal_Exit_Date,(EB159+EB164+EB170)*EB12,0)</f>
        <v>0</v>
      </c>
      <c r="EC205" s="107">
        <f>IF(EC5&lt;=Terminal_Exit_Date,(EC159+EC164+EC170)*EC12,0)</f>
        <v>0</v>
      </c>
      <c r="ED205" s="107">
        <f>IF(ED5&lt;=Terminal_Exit_Date,(ED159+ED164+ED170)*ED12,0)</f>
        <v>0</v>
      </c>
      <c r="EE205" s="107">
        <f>IF(EE5&lt;=Terminal_Exit_Date,(EE159+EE164+EE170)*EE12,0)</f>
        <v>0</v>
      </c>
      <c r="EF205" s="107">
        <f>IF(EF5&lt;=Terminal_Exit_Date,(EF159+EF164+EF170)*EF12,0)</f>
        <v>0</v>
      </c>
      <c r="EG205" s="107">
        <f>IF(EG5&lt;=Terminal_Exit_Date,(EG159+EG164+EG170)*EG12,0)</f>
        <v>0</v>
      </c>
      <c r="EH205" s="107">
        <f>IF(EH5&lt;=Terminal_Exit_Date,(EH159+EH164+EH170)*EH12,0)</f>
        <v>0</v>
      </c>
      <c r="EI205" s="107">
        <f>IF(EI5&lt;=Terminal_Exit_Date,(EI159+EI164+EI170)*EI12,0)</f>
        <v>0</v>
      </c>
      <c r="EJ205" s="107">
        <f>IF(EJ5&lt;=Terminal_Exit_Date,(EJ159+EJ164+EJ170)*EJ12,0)</f>
        <v>0</v>
      </c>
      <c r="EK205" s="107">
        <f>IF(EK5&lt;=Terminal_Exit_Date,(EK159+EK164+EK170)*EK12,0)</f>
        <v>0</v>
      </c>
      <c r="EL205" s="107">
        <f>IF(EL5&lt;=Terminal_Exit_Date,(EL159+EL164+EL170)*EL12,0)</f>
        <v>0</v>
      </c>
      <c r="EM205" s="107">
        <f>IF(EM5&lt;=Terminal_Exit_Date,(EM159+EM164+EM170)*EM12,0)</f>
        <v>0</v>
      </c>
      <c r="EN205" s="107">
        <f>IF(EN5&lt;=Terminal_Exit_Date,(EN159+EN164+EN170)*EN12,0)</f>
        <v>0</v>
      </c>
      <c r="EO205" s="107">
        <f>IF(EO5&lt;=Terminal_Exit_Date,(EO159+EO164+EO170)*EO12,0)</f>
        <v>0</v>
      </c>
      <c r="EP205" s="107">
        <f>IF(EP5&lt;=Terminal_Exit_Date,(EP159+EP164+EP170)*EP12,0)</f>
        <v>0</v>
      </c>
      <c r="EQ205" s="107">
        <f>IF(EQ5&lt;=Terminal_Exit_Date,(EQ159+EQ164+EQ170)*EQ12,0)</f>
        <v>0</v>
      </c>
      <c r="ER205" s="107">
        <f>IF(ER5&lt;=Terminal_Exit_Date,(ER159+ER164+ER170)*ER12,0)</f>
        <v>0</v>
      </c>
      <c r="ES205" s="107">
        <f>IF(ES5&lt;=Terminal_Exit_Date,(ES159+ES164+ES170)*ES12,0)</f>
        <v>0</v>
      </c>
      <c r="ET205" s="107">
        <f>IF(ET5&lt;=Terminal_Exit_Date,(ET159+ET164+ET170)*ET12,0)</f>
        <v>0</v>
      </c>
      <c r="EU205" s="107">
        <f>IF(EU5&lt;=Terminal_Exit_Date,(EU159+EU164+EU170)*EU12,0)</f>
        <v>0</v>
      </c>
      <c r="EV205" s="107">
        <f>IF(EV5&lt;=Terminal_Exit_Date,(EV159+EV164+EV170)*EV12,0)</f>
        <v>0</v>
      </c>
      <c r="EW205" s="107">
        <f>IF(EW5&lt;=Terminal_Exit_Date,(EW159+EW164+EW170)*EW12,0)</f>
        <v>0</v>
      </c>
      <c r="EX205" s="107">
        <f>IF(EX5&lt;=Terminal_Exit_Date,(EX159+EX164+EX170)*EX12,0)</f>
        <v>0</v>
      </c>
      <c r="EY205" s="107">
        <f>IF(EY5&lt;=Terminal_Exit_Date,(EY159+EY164+EY170)*EY12,0)</f>
        <v>0</v>
      </c>
      <c r="EZ205" s="107">
        <f>IF(EZ5&lt;=Terminal_Exit_Date,(EZ159+EZ164+EZ170)*EZ12,0)</f>
        <v>0</v>
      </c>
      <c r="FA205" s="107">
        <f>IF(FA5&lt;=Terminal_Exit_Date,(FA159+FA164+FA170)*FA12,0)</f>
        <v>0</v>
      </c>
    </row>
    <row r="206" spans="2:157" outlineLevel="1" x14ac:dyDescent="0.2">
      <c r="C206" s="9" t="s">
        <v>417</v>
      </c>
      <c r="D206" s="21" t="s">
        <v>126</v>
      </c>
      <c r="E206" s="121">
        <f t="shared" ca="1" si="946"/>
        <v>4.5973033064068947</v>
      </c>
      <c r="F206" s="5"/>
      <c r="G206" s="107">
        <f>IF(G201=Terminal_Exit_Date,G139,0)</f>
        <v>0</v>
      </c>
      <c r="H206" s="107">
        <f>IF(H201=Terminal_Exit_Date,H139,0)</f>
        <v>0</v>
      </c>
      <c r="I206" s="107">
        <f>IF(I201=Terminal_Exit_Date,I139,0)</f>
        <v>0</v>
      </c>
      <c r="J206" s="107">
        <f>IF(J201=Terminal_Exit_Date,J139,0)</f>
        <v>0</v>
      </c>
      <c r="K206" s="107">
        <f>IF(K201=Terminal_Exit_Date,K139,0)</f>
        <v>0</v>
      </c>
      <c r="L206" s="107">
        <f>IF(L201=Terminal_Exit_Date,L139,0)</f>
        <v>0</v>
      </c>
      <c r="M206" s="107">
        <f>IF(M201=Terminal_Exit_Date,M139,0)</f>
        <v>0</v>
      </c>
      <c r="N206" s="107">
        <f>IF(N201=Terminal_Exit_Date,N139,0)</f>
        <v>0</v>
      </c>
      <c r="O206" s="107">
        <f>IF(O201=Terminal_Exit_Date,O139,0)</f>
        <v>0</v>
      </c>
      <c r="P206" s="107">
        <f>IF(P201=Terminal_Exit_Date,P139,0)</f>
        <v>0</v>
      </c>
      <c r="Q206" s="107">
        <f>IF(Q201=Terminal_Exit_Date,Q139,0)</f>
        <v>0</v>
      </c>
      <c r="R206" s="107">
        <f>IF(R201=Terminal_Exit_Date,R139,0)</f>
        <v>0</v>
      </c>
      <c r="S206" s="107">
        <f>IF(S201=Terminal_Exit_Date,S139,0)</f>
        <v>0</v>
      </c>
      <c r="T206" s="107">
        <f>IF(T201=Terminal_Exit_Date,T139,0)</f>
        <v>0</v>
      </c>
      <c r="U206" s="107">
        <f>IF(U201=Terminal_Exit_Date,U139,0)</f>
        <v>0</v>
      </c>
      <c r="V206" s="107">
        <f>IF(V201=Terminal_Exit_Date,V139,0)</f>
        <v>0</v>
      </c>
      <c r="W206" s="107">
        <f>IF(W201=Terminal_Exit_Date,W139,0)</f>
        <v>0</v>
      </c>
      <c r="X206" s="107">
        <f>IF(X201=Terminal_Exit_Date,X139,0)</f>
        <v>0</v>
      </c>
      <c r="Y206" s="107">
        <f>IF(Y201=Terminal_Exit_Date,Y139,0)</f>
        <v>0</v>
      </c>
      <c r="Z206" s="107">
        <f>IF(Z201=Terminal_Exit_Date,Z139,0)</f>
        <v>0</v>
      </c>
      <c r="AA206" s="107">
        <f>IF(AA201=Terminal_Exit_Date,AA139,0)</f>
        <v>0</v>
      </c>
      <c r="AB206" s="107">
        <f>IF(AB201=Terminal_Exit_Date,AB139,0)</f>
        <v>0</v>
      </c>
      <c r="AC206" s="107">
        <f>IF(AC201=Terminal_Exit_Date,AC139,0)</f>
        <v>0</v>
      </c>
      <c r="AD206" s="107">
        <f>IF(AD201=Terminal_Exit_Date,AD139,0)</f>
        <v>0</v>
      </c>
      <c r="AE206" s="107">
        <f>IF(AE201=Terminal_Exit_Date,AE139,0)</f>
        <v>0</v>
      </c>
      <c r="AF206" s="107">
        <f>IF(AF201=Terminal_Exit_Date,AF139,0)</f>
        <v>0</v>
      </c>
      <c r="AG206" s="107">
        <f>IF(AG201=Terminal_Exit_Date,AG139,0)</f>
        <v>0</v>
      </c>
      <c r="AH206" s="107">
        <f>IF(AH201=Terminal_Exit_Date,AH139,0)</f>
        <v>0</v>
      </c>
      <c r="AI206" s="107">
        <f>IF(AI201=Terminal_Exit_Date,AI139,0)</f>
        <v>0</v>
      </c>
      <c r="AJ206" s="107">
        <f>IF(AJ201=Terminal_Exit_Date,AJ139,0)</f>
        <v>0</v>
      </c>
      <c r="AK206" s="107">
        <f>IF(AK201=Terminal_Exit_Date,AK139,0)</f>
        <v>0</v>
      </c>
      <c r="AL206" s="107">
        <f>IF(AL201=Terminal_Exit_Date,AL139,0)</f>
        <v>0</v>
      </c>
      <c r="AM206" s="107">
        <f ca="1">IF(AM201=Terminal_Exit_Date,AM139,0)</f>
        <v>4.5973033064068947</v>
      </c>
      <c r="AN206" s="107">
        <f>IF(AN201=Terminal_Exit_Date,AN139,0)</f>
        <v>0</v>
      </c>
      <c r="AO206" s="107">
        <f>IF(AO201=Terminal_Exit_Date,AO139,0)</f>
        <v>0</v>
      </c>
      <c r="AP206" s="107">
        <f>IF(AP201=Terminal_Exit_Date,AP139,0)</f>
        <v>0</v>
      </c>
      <c r="AQ206" s="107">
        <f>IF(AQ201=Terminal_Exit_Date,AQ139,0)</f>
        <v>0</v>
      </c>
      <c r="AR206" s="107">
        <f>IF(AR201=Terminal_Exit_Date,AR139,0)</f>
        <v>0</v>
      </c>
      <c r="AS206" s="107">
        <f>IF(AS201=Terminal_Exit_Date,AS139,0)</f>
        <v>0</v>
      </c>
      <c r="AT206" s="107">
        <f>IF(AT201=Terminal_Exit_Date,AT139,0)</f>
        <v>0</v>
      </c>
      <c r="AU206" s="107">
        <f>IF(AU201=Terminal_Exit_Date,AU139,0)</f>
        <v>0</v>
      </c>
      <c r="AV206" s="107">
        <f>IF(AV201=Terminal_Exit_Date,AV139,0)</f>
        <v>0</v>
      </c>
      <c r="AW206" s="107">
        <f>IF(AW201=Terminal_Exit_Date,AW139,0)</f>
        <v>0</v>
      </c>
      <c r="AX206" s="107">
        <f>IF(AX201=Terminal_Exit_Date,AX139,0)</f>
        <v>0</v>
      </c>
      <c r="AY206" s="107">
        <f>IF(AY201=Terminal_Exit_Date,AY139,0)</f>
        <v>0</v>
      </c>
      <c r="AZ206" s="107">
        <f>IF(AZ201=Terminal_Exit_Date,AZ139,0)</f>
        <v>0</v>
      </c>
      <c r="BA206" s="107">
        <f>IF(BA201=Terminal_Exit_Date,BA139,0)</f>
        <v>0</v>
      </c>
      <c r="BB206" s="107">
        <f>IF(BB201=Terminal_Exit_Date,BB139,0)</f>
        <v>0</v>
      </c>
      <c r="BC206" s="107">
        <f>IF(BC201=Terminal_Exit_Date,BC139,0)</f>
        <v>0</v>
      </c>
      <c r="BD206" s="107">
        <f>IF(BD201=Terminal_Exit_Date,BD139,0)</f>
        <v>0</v>
      </c>
      <c r="BE206" s="107">
        <f>IF(BE201=Terminal_Exit_Date,BE139,0)</f>
        <v>0</v>
      </c>
      <c r="BF206" s="107">
        <f>IF(BF201=Terminal_Exit_Date,BF139,0)</f>
        <v>0</v>
      </c>
      <c r="BG206" s="107">
        <f>IF(BG201=Terminal_Exit_Date,BG139,0)</f>
        <v>0</v>
      </c>
      <c r="BH206" s="107">
        <f>IF(BH201=Terminal_Exit_Date,BH139,0)</f>
        <v>0</v>
      </c>
      <c r="BI206" s="107">
        <f>IF(BI201=Terminal_Exit_Date,BI139,0)</f>
        <v>0</v>
      </c>
      <c r="BJ206" s="107">
        <f>IF(BJ201=Terminal_Exit_Date,BJ139,0)</f>
        <v>0</v>
      </c>
      <c r="BK206" s="107">
        <f>IF(BK201=Terminal_Exit_Date,BK139,0)</f>
        <v>0</v>
      </c>
      <c r="BL206" s="107">
        <f>IF(BL201=Terminal_Exit_Date,BL139,0)</f>
        <v>0</v>
      </c>
      <c r="BM206" s="107">
        <f>IF(BM201=Terminal_Exit_Date,BM139,0)</f>
        <v>0</v>
      </c>
      <c r="BN206" s="107">
        <f>IF(BN201=Terminal_Exit_Date,BN139,0)</f>
        <v>0</v>
      </c>
      <c r="BO206" s="107">
        <f>IF(BO201=Terminal_Exit_Date,BO139,0)</f>
        <v>0</v>
      </c>
      <c r="BP206" s="107">
        <f>IF(BP201=Terminal_Exit_Date,BP139,0)</f>
        <v>0</v>
      </c>
      <c r="BQ206" s="107">
        <f>IF(BQ201=Terminal_Exit_Date,BQ139,0)</f>
        <v>0</v>
      </c>
      <c r="BR206" s="107">
        <f>IF(BR201=Terminal_Exit_Date,BR139,0)</f>
        <v>0</v>
      </c>
      <c r="BS206" s="107">
        <f>IF(BS201=Terminal_Exit_Date,BS139,0)</f>
        <v>0</v>
      </c>
      <c r="BT206" s="107">
        <f>IF(BT201=Terminal_Exit_Date,BT139,0)</f>
        <v>0</v>
      </c>
      <c r="BU206" s="107">
        <f>IF(BU201=Terminal_Exit_Date,BU139,0)</f>
        <v>0</v>
      </c>
      <c r="BV206" s="107">
        <f>IF(BV201=Terminal_Exit_Date,BV139,0)</f>
        <v>0</v>
      </c>
      <c r="BW206" s="107">
        <f>IF(BW201=Terminal_Exit_Date,BW139,0)</f>
        <v>0</v>
      </c>
      <c r="BX206" s="107">
        <f>IF(BX201=Terminal_Exit_Date,BX139,0)</f>
        <v>0</v>
      </c>
      <c r="BY206" s="107">
        <f>IF(BY201=Terminal_Exit_Date,BY139,0)</f>
        <v>0</v>
      </c>
      <c r="BZ206" s="107">
        <f>IF(BZ201=Terminal_Exit_Date,BZ139,0)</f>
        <v>0</v>
      </c>
      <c r="CA206" s="107">
        <f>IF(CA201=Terminal_Exit_Date,CA139,0)</f>
        <v>0</v>
      </c>
      <c r="CB206" s="107">
        <f>IF(CB201=Terminal_Exit_Date,CB139,0)</f>
        <v>0</v>
      </c>
      <c r="CC206" s="107">
        <f>IF(CC201=Terminal_Exit_Date,CC139,0)</f>
        <v>0</v>
      </c>
      <c r="CD206" s="107">
        <f>IF(CD201=Terminal_Exit_Date,CD139,0)</f>
        <v>0</v>
      </c>
      <c r="CE206" s="107">
        <f>IF(CE201=Terminal_Exit_Date,CE139,0)</f>
        <v>0</v>
      </c>
      <c r="CF206" s="107">
        <f>IF(CF201=Terminal_Exit_Date,CF139,0)</f>
        <v>0</v>
      </c>
      <c r="CG206" s="107">
        <f>IF(CG201=Terminal_Exit_Date,CG139,0)</f>
        <v>0</v>
      </c>
      <c r="CH206" s="107">
        <f>IF(CH201=Terminal_Exit_Date,CH139,0)</f>
        <v>0</v>
      </c>
      <c r="CI206" s="107">
        <f>IF(CI201=Terminal_Exit_Date,CI139,0)</f>
        <v>0</v>
      </c>
      <c r="CJ206" s="107">
        <f>IF(CJ201=Terminal_Exit_Date,CJ139,0)</f>
        <v>0</v>
      </c>
      <c r="CK206" s="107">
        <f>IF(CK201=Terminal_Exit_Date,CK139,0)</f>
        <v>0</v>
      </c>
      <c r="CL206" s="107">
        <f>IF(CL201=Terminal_Exit_Date,CL139,0)</f>
        <v>0</v>
      </c>
      <c r="CM206" s="107">
        <f>IF(CM201=Terminal_Exit_Date,CM139,0)</f>
        <v>0</v>
      </c>
      <c r="CN206" s="107">
        <f>IF(CN201=Terminal_Exit_Date,CN139,0)</f>
        <v>0</v>
      </c>
      <c r="CO206" s="107">
        <f>IF(CO201=Terminal_Exit_Date,CO139,0)</f>
        <v>0</v>
      </c>
      <c r="CP206" s="107">
        <f>IF(CP201=Terminal_Exit_Date,CP139,0)</f>
        <v>0</v>
      </c>
      <c r="CQ206" s="107">
        <f>IF(CQ201=Terminal_Exit_Date,CQ139,0)</f>
        <v>0</v>
      </c>
      <c r="CR206" s="107">
        <f>IF(CR201=Terminal_Exit_Date,CR139,0)</f>
        <v>0</v>
      </c>
      <c r="CS206" s="107">
        <f>IF(CS201=Terminal_Exit_Date,CS139,0)</f>
        <v>0</v>
      </c>
      <c r="CT206" s="107">
        <f>IF(CT201=Terminal_Exit_Date,CT139,0)</f>
        <v>0</v>
      </c>
      <c r="CU206" s="263">
        <f>IF(CU201=Terminal_Exit_Date,CU139,0)</f>
        <v>0</v>
      </c>
      <c r="CV206" s="107">
        <f>IF(CV201=Terminal_Exit_Date,CV139,0)</f>
        <v>0</v>
      </c>
      <c r="CW206" s="107">
        <f>IF(CW201=Terminal_Exit_Date,CW139,0)</f>
        <v>0</v>
      </c>
      <c r="CX206" s="107">
        <f>IF(CX201=Terminal_Exit_Date,CX139,0)</f>
        <v>0</v>
      </c>
      <c r="CY206" s="107">
        <f>IF(CY201=Terminal_Exit_Date,CY139,0)</f>
        <v>0</v>
      </c>
      <c r="CZ206" s="107">
        <f>IF(CZ201=Terminal_Exit_Date,CZ139,0)</f>
        <v>0</v>
      </c>
      <c r="DA206" s="107">
        <f>IF(DA201=Terminal_Exit_Date,DA139,0)</f>
        <v>0</v>
      </c>
      <c r="DB206" s="107">
        <f>IF(DB201=Terminal_Exit_Date,DB139,0)</f>
        <v>0</v>
      </c>
      <c r="DC206" s="107">
        <f>IF(DC201=Terminal_Exit_Date,DC139,0)</f>
        <v>0</v>
      </c>
      <c r="DD206" s="107">
        <f>IF(DD201=Terminal_Exit_Date,DD139,0)</f>
        <v>0</v>
      </c>
      <c r="DE206" s="107">
        <f>IF(DE201=Terminal_Exit_Date,DE139,0)</f>
        <v>0</v>
      </c>
      <c r="DF206" s="107">
        <f>IF(DF201=Terminal_Exit_Date,DF139,0)</f>
        <v>0</v>
      </c>
      <c r="DG206" s="107">
        <f>IF(DG201=Terminal_Exit_Date,DG139,0)</f>
        <v>0</v>
      </c>
      <c r="DH206" s="107">
        <f>IF(DH201=Terminal_Exit_Date,DH139,0)</f>
        <v>0</v>
      </c>
      <c r="DI206" s="107">
        <f>IF(DI201=Terminal_Exit_Date,DI139,0)</f>
        <v>0</v>
      </c>
      <c r="DJ206" s="107">
        <f>IF(DJ201=Terminal_Exit_Date,DJ139,0)</f>
        <v>0</v>
      </c>
      <c r="DK206" s="107">
        <f>IF(DK201=Terminal_Exit_Date,DK139,0)</f>
        <v>0</v>
      </c>
      <c r="DL206" s="107">
        <f>IF(DL201=Terminal_Exit_Date,DL139,0)</f>
        <v>0</v>
      </c>
      <c r="DM206" s="107">
        <f>IF(DM201=Terminal_Exit_Date,DM139,0)</f>
        <v>0</v>
      </c>
      <c r="DN206" s="107">
        <f>IF(DN201=Terminal_Exit_Date,DN139,0)</f>
        <v>0</v>
      </c>
      <c r="DO206" s="107">
        <f>IF(DO201=Terminal_Exit_Date,DO139,0)</f>
        <v>0</v>
      </c>
      <c r="DP206" s="107">
        <f>IF(DP201=Terminal_Exit_Date,DP139,0)</f>
        <v>0</v>
      </c>
      <c r="DQ206" s="107">
        <f>IF(DQ201=Terminal_Exit_Date,DQ139,0)</f>
        <v>0</v>
      </c>
      <c r="DR206" s="107">
        <f>IF(DR201=Terminal_Exit_Date,DR139,0)</f>
        <v>0</v>
      </c>
      <c r="DS206" s="107">
        <f>IF(DS201=Terminal_Exit_Date,DS139,0)</f>
        <v>0</v>
      </c>
      <c r="DT206" s="107">
        <f>IF(DT201=Terminal_Exit_Date,DT139,0)</f>
        <v>0</v>
      </c>
      <c r="DU206" s="107">
        <f>IF(DU201=Terminal_Exit_Date,DU139,0)</f>
        <v>0</v>
      </c>
      <c r="DV206" s="107">
        <f>IF(DV201=Terminal_Exit_Date,DV139,0)</f>
        <v>0</v>
      </c>
      <c r="DW206" s="107">
        <f>IF(DW201=Terminal_Exit_Date,DW139,0)</f>
        <v>0</v>
      </c>
      <c r="DX206" s="107">
        <f>IF(DX201=Terminal_Exit_Date,DX139,0)</f>
        <v>0</v>
      </c>
      <c r="DY206" s="107">
        <f>IF(DY201=Terminal_Exit_Date,DY139,0)</f>
        <v>0</v>
      </c>
      <c r="DZ206" s="107">
        <f>IF(DZ201=Terminal_Exit_Date,DZ139,0)</f>
        <v>0</v>
      </c>
      <c r="EA206" s="107">
        <f>IF(EA201=Terminal_Exit_Date,EA139,0)</f>
        <v>0</v>
      </c>
      <c r="EB206" s="107">
        <f>IF(EB201=Terminal_Exit_Date,EB139,0)</f>
        <v>0</v>
      </c>
      <c r="EC206" s="107">
        <f>IF(EC201=Terminal_Exit_Date,EC139,0)</f>
        <v>0</v>
      </c>
      <c r="ED206" s="107">
        <f>IF(ED201=Terminal_Exit_Date,ED139,0)</f>
        <v>0</v>
      </c>
      <c r="EE206" s="107">
        <f>IF(EE201=Terminal_Exit_Date,EE139,0)</f>
        <v>0</v>
      </c>
      <c r="EF206" s="107">
        <f>IF(EF201=Terminal_Exit_Date,EF139,0)</f>
        <v>0</v>
      </c>
      <c r="EG206" s="107">
        <f>IF(EG201=Terminal_Exit_Date,EG139,0)</f>
        <v>0</v>
      </c>
      <c r="EH206" s="107">
        <f>IF(EH201=Terminal_Exit_Date,EH139,0)</f>
        <v>0</v>
      </c>
      <c r="EI206" s="107">
        <f>IF(EI201=Terminal_Exit_Date,EI139,0)</f>
        <v>0</v>
      </c>
      <c r="EJ206" s="107">
        <f>IF(EJ201=Terminal_Exit_Date,EJ139,0)</f>
        <v>0</v>
      </c>
      <c r="EK206" s="107">
        <f>IF(EK201=Terminal_Exit_Date,EK139,0)</f>
        <v>0</v>
      </c>
      <c r="EL206" s="107">
        <f>IF(EL201=Terminal_Exit_Date,EL139,0)</f>
        <v>0</v>
      </c>
      <c r="EM206" s="107">
        <f>IF(EM201=Terminal_Exit_Date,EM139,0)</f>
        <v>0</v>
      </c>
      <c r="EN206" s="107">
        <f>IF(EN201=Terminal_Exit_Date,EN139,0)</f>
        <v>0</v>
      </c>
      <c r="EO206" s="107">
        <f>IF(EO201=Terminal_Exit_Date,EO139,0)</f>
        <v>0</v>
      </c>
      <c r="EP206" s="107">
        <f>IF(EP201=Terminal_Exit_Date,EP139,0)</f>
        <v>0</v>
      </c>
      <c r="EQ206" s="107">
        <f>IF(EQ201=Terminal_Exit_Date,EQ139,0)</f>
        <v>0</v>
      </c>
      <c r="ER206" s="107">
        <f>IF(ER201=Terminal_Exit_Date,ER139,0)</f>
        <v>0</v>
      </c>
      <c r="ES206" s="107">
        <f>IF(ES201=Terminal_Exit_Date,ES139,0)</f>
        <v>0</v>
      </c>
      <c r="ET206" s="107">
        <f>IF(ET201=Terminal_Exit_Date,ET139,0)</f>
        <v>0</v>
      </c>
      <c r="EU206" s="107">
        <f>IF(EU201=Terminal_Exit_Date,EU139,0)</f>
        <v>0</v>
      </c>
      <c r="EV206" s="107">
        <f>IF(EV201=Terminal_Exit_Date,EV139,0)</f>
        <v>0</v>
      </c>
      <c r="EW206" s="107">
        <f>IF(EW201=Terminal_Exit_Date,EW139,0)</f>
        <v>0</v>
      </c>
      <c r="EX206" s="107">
        <f>IF(EX201=Terminal_Exit_Date,EX139,0)</f>
        <v>0</v>
      </c>
      <c r="EY206" s="107">
        <f>IF(EY201=Terminal_Exit_Date,EY139,0)</f>
        <v>0</v>
      </c>
      <c r="EZ206" s="107">
        <f>IF(EZ201=Terminal_Exit_Date,EZ139,0)</f>
        <v>0</v>
      </c>
      <c r="FA206" s="107">
        <f>IF(FA201=Terminal_Exit_Date,FA139,0)</f>
        <v>0</v>
      </c>
    </row>
    <row r="207" spans="2:157" outlineLevel="1" x14ac:dyDescent="0.2">
      <c r="C207" s="9" t="s">
        <v>457</v>
      </c>
      <c r="D207" s="21" t="s">
        <v>126</v>
      </c>
      <c r="E207" s="121">
        <f t="shared" si="946"/>
        <v>2564.1573768731546</v>
      </c>
      <c r="F207" s="5"/>
      <c r="G207" s="107">
        <f>IF(G201=Terminal_Exit_Date,SUM(H64:K64)*Inputs_Assumptions!$E$123,0)</f>
        <v>0</v>
      </c>
      <c r="H207" s="107">
        <f>IF(H201=Terminal_Exit_Date,SUM(I64:L64)*Inputs_Assumptions!$E$123,0)</f>
        <v>0</v>
      </c>
      <c r="I207" s="107">
        <f>IF(I201=Terminal_Exit_Date,SUM(J64:M64)*Inputs_Assumptions!$E$123,0)</f>
        <v>0</v>
      </c>
      <c r="J207" s="107">
        <f>IF(J201=Terminal_Exit_Date,SUM(K64:N64)*Inputs_Assumptions!$E$123,0)</f>
        <v>0</v>
      </c>
      <c r="K207" s="107">
        <f>IF(K201=Terminal_Exit_Date,SUM(L64:O64)*Inputs_Assumptions!$E$123,0)</f>
        <v>0</v>
      </c>
      <c r="L207" s="107">
        <f>IF(L201=Terminal_Exit_Date,SUM(M64:P64)*Inputs_Assumptions!$E$123,0)</f>
        <v>0</v>
      </c>
      <c r="M207" s="107">
        <f>IF(M201=Terminal_Exit_Date,SUM(N64:Q64)*Inputs_Assumptions!$E$123,0)</f>
        <v>0</v>
      </c>
      <c r="N207" s="107">
        <f>IF(N201=Terminal_Exit_Date,SUM(O64:R64)*Inputs_Assumptions!$E$123,0)</f>
        <v>0</v>
      </c>
      <c r="O207" s="107">
        <f>IF(O201=Terminal_Exit_Date,SUM(P64:S64)*Inputs_Assumptions!$E$123,0)</f>
        <v>0</v>
      </c>
      <c r="P207" s="107">
        <f>IF(P201=Terminal_Exit_Date,SUM(Q64:T64)*Inputs_Assumptions!$E$123,0)</f>
        <v>0</v>
      </c>
      <c r="Q207" s="107">
        <f>IF(Q201=Terminal_Exit_Date,SUM(R64:U64)*Inputs_Assumptions!$E$123,0)</f>
        <v>0</v>
      </c>
      <c r="R207" s="107">
        <f>IF(R201=Terminal_Exit_Date,SUM(S64:V64)*Inputs_Assumptions!$E$123,0)</f>
        <v>0</v>
      </c>
      <c r="S207" s="107">
        <f>IF(S201=Terminal_Exit_Date,SUM(T64:W64)*Inputs_Assumptions!$E$123,0)</f>
        <v>0</v>
      </c>
      <c r="T207" s="107">
        <f>IF(T201=Terminal_Exit_Date,SUM(U64:X64)*Inputs_Assumptions!$E$123,0)</f>
        <v>0</v>
      </c>
      <c r="U207" s="107">
        <f>IF(U201=Terminal_Exit_Date,SUM(V64:Y64)*Inputs_Assumptions!$E$123,0)</f>
        <v>0</v>
      </c>
      <c r="V207" s="107">
        <f>IF(V201=Terminal_Exit_Date,SUM(W64:Z64)*Inputs_Assumptions!$E$123,0)</f>
        <v>0</v>
      </c>
      <c r="W207" s="107">
        <f>IF(W201=Terminal_Exit_Date,SUM(X64:AA64)*Inputs_Assumptions!$E$123,0)</f>
        <v>0</v>
      </c>
      <c r="X207" s="107">
        <f>IF(X201=Terminal_Exit_Date,SUM(Y64:AB64)*Inputs_Assumptions!$E$123,0)</f>
        <v>0</v>
      </c>
      <c r="Y207" s="107">
        <f>IF(Y201=Terminal_Exit_Date,SUM(Z64:AC64)*Inputs_Assumptions!$E$123,0)</f>
        <v>0</v>
      </c>
      <c r="Z207" s="107">
        <f>IF(Z201=Terminal_Exit_Date,SUM(AA64:AD64)*Inputs_Assumptions!$E$123,0)</f>
        <v>0</v>
      </c>
      <c r="AA207" s="107">
        <f>IF(AA201=Terminal_Exit_Date,SUM(AB64:AE64)*Inputs_Assumptions!$E$123,0)</f>
        <v>0</v>
      </c>
      <c r="AB207" s="107">
        <f>IF(AB201=Terminal_Exit_Date,SUM(AC64:AF64)*Inputs_Assumptions!$E$123,0)</f>
        <v>0</v>
      </c>
      <c r="AC207" s="107">
        <f>IF(AC201=Terminal_Exit_Date,SUM(AD64:AG64)*Inputs_Assumptions!$E$123,0)</f>
        <v>0</v>
      </c>
      <c r="AD207" s="107">
        <f>IF(AD201=Terminal_Exit_Date,SUM(AE64:AH64)*Inputs_Assumptions!$E$123,0)</f>
        <v>0</v>
      </c>
      <c r="AE207" s="107">
        <f>IF(AE201=Terminal_Exit_Date,SUM(AF64:AI64)*Inputs_Assumptions!$E$123,0)</f>
        <v>0</v>
      </c>
      <c r="AF207" s="107">
        <f>IF(AF201=Terminal_Exit_Date,SUM(AG64:AJ64)*Inputs_Assumptions!$E$123,0)</f>
        <v>0</v>
      </c>
      <c r="AG207" s="107">
        <f>IF(AG201=Terminal_Exit_Date,SUM(AH64:AK64)*Inputs_Assumptions!$E$123,0)</f>
        <v>0</v>
      </c>
      <c r="AH207" s="107">
        <f>IF(AH201=Terminal_Exit_Date,SUM(AI64:AL64)*Inputs_Assumptions!$E$123,0)</f>
        <v>0</v>
      </c>
      <c r="AI207" s="107">
        <f>IF(AI201=Terminal_Exit_Date,SUM(AJ64:AM64)*Inputs_Assumptions!$E$123,0)</f>
        <v>0</v>
      </c>
      <c r="AJ207" s="107">
        <f>IF(AJ201=Terminal_Exit_Date,SUM(AK64:AN64)*Inputs_Assumptions!$E$123,0)</f>
        <v>0</v>
      </c>
      <c r="AK207" s="107">
        <f>IF(AK201=Terminal_Exit_Date,SUM(AL64:AO64)*Inputs_Assumptions!$E$123,0)</f>
        <v>0</v>
      </c>
      <c r="AL207" s="107">
        <f>IF(AL201=Terminal_Exit_Date,SUM(AM64:AP64)*Inputs_Assumptions!$E$123,0)</f>
        <v>0</v>
      </c>
      <c r="AM207" s="107">
        <f>IF(AM201=Terminal_Exit_Date,SUM(AN64:AQ64)*Inputs_Assumptions!$E$123,0)</f>
        <v>2564.1573768731546</v>
      </c>
      <c r="AN207" s="107">
        <f>IF(AN201=Terminal_Exit_Date,SUM(AO64:AR64)*Inputs_Assumptions!$E$123,0)</f>
        <v>0</v>
      </c>
      <c r="AO207" s="107">
        <f>IF(AO201=Terminal_Exit_Date,SUM(AP64:AS64)*Inputs_Assumptions!$E$123,0)</f>
        <v>0</v>
      </c>
      <c r="AP207" s="107">
        <f>IF(AP201=Terminal_Exit_Date,SUM(AQ64:AT64)*Inputs_Assumptions!$E$123,0)</f>
        <v>0</v>
      </c>
      <c r="AQ207" s="107">
        <f>IF(AQ201=Terminal_Exit_Date,SUM(AR64:AU64)*Inputs_Assumptions!$E$123,0)</f>
        <v>0</v>
      </c>
      <c r="AR207" s="107">
        <f>IF(AR201=Terminal_Exit_Date,SUM(AS64:AV64)*Inputs_Assumptions!$E$123,0)</f>
        <v>0</v>
      </c>
      <c r="AS207" s="107">
        <f>IF(AS201=Terminal_Exit_Date,SUM(AT64:AW64)*Inputs_Assumptions!$E$123,0)</f>
        <v>0</v>
      </c>
      <c r="AT207" s="107">
        <f>IF(AT201=Terminal_Exit_Date,SUM(AU64:AX64)*Inputs_Assumptions!$E$123,0)</f>
        <v>0</v>
      </c>
      <c r="AU207" s="107">
        <f>IF(AU201=Terminal_Exit_Date,SUM(AV64:AY64)*Inputs_Assumptions!$E$123,0)</f>
        <v>0</v>
      </c>
      <c r="AV207" s="107">
        <f>IF(AV201=Terminal_Exit_Date,SUM(AW64:AZ64)*Inputs_Assumptions!$E$123,0)</f>
        <v>0</v>
      </c>
      <c r="AW207" s="107">
        <f>IF(AW201=Terminal_Exit_Date,SUM(AX64:BA64)*Inputs_Assumptions!$E$123,0)</f>
        <v>0</v>
      </c>
      <c r="AX207" s="107">
        <f>IF(AX201=Terminal_Exit_Date,SUM(AY64:BB64)*Inputs_Assumptions!$E$123,0)</f>
        <v>0</v>
      </c>
      <c r="AY207" s="107">
        <f>IF(AY201=Terminal_Exit_Date,SUM(AZ64:BC64)*Inputs_Assumptions!$E$123,0)</f>
        <v>0</v>
      </c>
      <c r="AZ207" s="107">
        <f>IF(AZ201=Terminal_Exit_Date,SUM(BA64:BD64)*Inputs_Assumptions!$E$123,0)</f>
        <v>0</v>
      </c>
      <c r="BA207" s="107">
        <f>IF(BA201=Terminal_Exit_Date,SUM(BB64:BE64)*Inputs_Assumptions!$E$123,0)</f>
        <v>0</v>
      </c>
      <c r="BB207" s="107">
        <f>IF(BB201=Terminal_Exit_Date,SUM(BC64:BF64)*Inputs_Assumptions!$E$123,0)</f>
        <v>0</v>
      </c>
      <c r="BC207" s="107">
        <f>IF(BC201=Terminal_Exit_Date,SUM(BD64:BG64)*Inputs_Assumptions!$E$123,0)</f>
        <v>0</v>
      </c>
      <c r="BD207" s="107">
        <f>IF(BD201=Terminal_Exit_Date,SUM(BE64:BH64)*Inputs_Assumptions!$E$123,0)</f>
        <v>0</v>
      </c>
      <c r="BE207" s="107">
        <f>IF(BE201=Terminal_Exit_Date,SUM(BF64:BI64)*Inputs_Assumptions!$E$123,0)</f>
        <v>0</v>
      </c>
      <c r="BF207" s="107">
        <f>IF(BF201=Terminal_Exit_Date,SUM(BG64:BJ64)*Inputs_Assumptions!$E$123,0)</f>
        <v>0</v>
      </c>
      <c r="BG207" s="107">
        <f>IF(BG201=Terminal_Exit_Date,SUM(BH64:BK64)*Inputs_Assumptions!$E$123,0)</f>
        <v>0</v>
      </c>
      <c r="BH207" s="107">
        <f>IF(BH201=Terminal_Exit_Date,SUM(BI64:BL64)*Inputs_Assumptions!$E$123,0)</f>
        <v>0</v>
      </c>
      <c r="BI207" s="107">
        <f>IF(BI201=Terminal_Exit_Date,SUM(BJ64:BM64)*Inputs_Assumptions!$E$123,0)</f>
        <v>0</v>
      </c>
      <c r="BJ207" s="107">
        <f>IF(BJ201=Terminal_Exit_Date,SUM(BK64:BN64)*Inputs_Assumptions!$E$123,0)</f>
        <v>0</v>
      </c>
      <c r="BK207" s="107">
        <f>IF(BK201=Terminal_Exit_Date,SUM(BL64:BO64)*Inputs_Assumptions!$E$123,0)</f>
        <v>0</v>
      </c>
      <c r="BL207" s="107">
        <f>IF(BL201=Terminal_Exit_Date,SUM(BM64:BP64)*Inputs_Assumptions!$E$123,0)</f>
        <v>0</v>
      </c>
      <c r="BM207" s="107">
        <f>IF(BM201=Terminal_Exit_Date,SUM(BN64:BQ64)*Inputs_Assumptions!$E$123,0)</f>
        <v>0</v>
      </c>
      <c r="BN207" s="107">
        <f>IF(BN201=Terminal_Exit_Date,SUM(BO64:BR64)*Inputs_Assumptions!$E$123,0)</f>
        <v>0</v>
      </c>
      <c r="BO207" s="107">
        <f>IF(BO201=Terminal_Exit_Date,SUM(BP64:BS64)*Inputs_Assumptions!$E$123,0)</f>
        <v>0</v>
      </c>
      <c r="BP207" s="107">
        <f>IF(BP201=Terminal_Exit_Date,SUM(BQ64:BT64)*Inputs_Assumptions!$E$123,0)</f>
        <v>0</v>
      </c>
      <c r="BQ207" s="107">
        <f>IF(BQ201=Terminal_Exit_Date,SUM(BR64:BU64)*Inputs_Assumptions!$E$123,0)</f>
        <v>0</v>
      </c>
      <c r="BR207" s="107">
        <f>IF(BR201=Terminal_Exit_Date,SUM(BS64:BV64)*Inputs_Assumptions!$E$123,0)</f>
        <v>0</v>
      </c>
      <c r="BS207" s="107">
        <f>IF(BS201=Terminal_Exit_Date,SUM(BT64:BW64)*Inputs_Assumptions!$E$123,0)</f>
        <v>0</v>
      </c>
      <c r="BT207" s="107">
        <f>IF(BT201=Terminal_Exit_Date,SUM(BU64:BX64)*Inputs_Assumptions!$E$123,0)</f>
        <v>0</v>
      </c>
      <c r="BU207" s="107">
        <f>IF(BU201=Terminal_Exit_Date,SUM(BV64:BY64)*Inputs_Assumptions!$E$123,0)</f>
        <v>0</v>
      </c>
      <c r="BV207" s="107">
        <f>IF(BV201=Terminal_Exit_Date,SUM(BW64:BZ64)*Inputs_Assumptions!$E$123,0)</f>
        <v>0</v>
      </c>
      <c r="BW207" s="107">
        <f>IF(BW201=Terminal_Exit_Date,SUM(BX64:CA64)*Inputs_Assumptions!$E$123,0)</f>
        <v>0</v>
      </c>
      <c r="BX207" s="107">
        <f>IF(BX201=Terminal_Exit_Date,SUM(BY64:CB64)*Inputs_Assumptions!$E$123,0)</f>
        <v>0</v>
      </c>
      <c r="BY207" s="107">
        <f>IF(BY201=Terminal_Exit_Date,SUM(BZ64:CC64)*Inputs_Assumptions!$E$123,0)</f>
        <v>0</v>
      </c>
      <c r="BZ207" s="107">
        <f>IF(BZ201=Terminal_Exit_Date,SUM(CA64:CD64)*Inputs_Assumptions!$E$123,0)</f>
        <v>0</v>
      </c>
      <c r="CA207" s="107">
        <f>IF(CA201=Terminal_Exit_Date,SUM(CB64:CE64)*Inputs_Assumptions!$E$123,0)</f>
        <v>0</v>
      </c>
      <c r="CB207" s="107">
        <f>IF(CB201=Terminal_Exit_Date,SUM(CC64:CF64)*Inputs_Assumptions!$E$123,0)</f>
        <v>0</v>
      </c>
      <c r="CC207" s="107">
        <f>IF(CC201=Terminal_Exit_Date,SUM(CD64:CG64)*Inputs_Assumptions!$E$123,0)</f>
        <v>0</v>
      </c>
      <c r="CD207" s="107">
        <f>IF(CD201=Terminal_Exit_Date,SUM(CE64:CH64)*Inputs_Assumptions!$E$123,0)</f>
        <v>0</v>
      </c>
      <c r="CE207" s="107">
        <f>IF(CE201=Terminal_Exit_Date,SUM(CF64:CI64)*Inputs_Assumptions!$E$123,0)</f>
        <v>0</v>
      </c>
      <c r="CF207" s="107">
        <f>IF(CF201=Terminal_Exit_Date,SUM(CG64:CJ64)*Inputs_Assumptions!$E$123,0)</f>
        <v>0</v>
      </c>
      <c r="CG207" s="107">
        <f>IF(CG201=Terminal_Exit_Date,SUM(CH64:CK64)*Inputs_Assumptions!$E$123,0)</f>
        <v>0</v>
      </c>
      <c r="CH207" s="107">
        <f>IF(CH201=Terminal_Exit_Date,SUM(CI64:CL64)*Inputs_Assumptions!$E$123,0)</f>
        <v>0</v>
      </c>
      <c r="CI207" s="107">
        <f>IF(CI201=Terminal_Exit_Date,SUM(CJ64:CM64)*Inputs_Assumptions!$E$123,0)</f>
        <v>0</v>
      </c>
      <c r="CJ207" s="107">
        <f>IF(CJ201=Terminal_Exit_Date,SUM(CK64:CN64)*Inputs_Assumptions!$E$123,0)</f>
        <v>0</v>
      </c>
      <c r="CK207" s="107">
        <f>IF(CK201=Terminal_Exit_Date,SUM(CL64:CO64)*Inputs_Assumptions!$E$123,0)</f>
        <v>0</v>
      </c>
      <c r="CL207" s="107">
        <f>IF(CL201=Terminal_Exit_Date,SUM(CM64:CP64)*Inputs_Assumptions!$E$123,0)</f>
        <v>0</v>
      </c>
      <c r="CM207" s="107">
        <f>IF(CM201=Terminal_Exit_Date,SUM(CN64:CQ64)*Inputs_Assumptions!$E$123,0)</f>
        <v>0</v>
      </c>
      <c r="CN207" s="107">
        <f>IF(CN201=Terminal_Exit_Date,SUM(CO64:CR64)*Inputs_Assumptions!$E$123,0)</f>
        <v>0</v>
      </c>
      <c r="CO207" s="107">
        <f>IF(CO201=Terminal_Exit_Date,SUM(CP64:CS64)*Inputs_Assumptions!$E$123,0)</f>
        <v>0</v>
      </c>
      <c r="CP207" s="107">
        <f>IF(CP201=Terminal_Exit_Date,SUM(CQ64:CT64)*Inputs_Assumptions!$E$123,0)</f>
        <v>0</v>
      </c>
      <c r="CQ207" s="107">
        <f>IF(CQ201=Terminal_Exit_Date,SUM(CR64:CU64)*Inputs_Assumptions!$E$123,0)</f>
        <v>0</v>
      </c>
      <c r="CR207" s="107">
        <f>IF(CR201=Terminal_Exit_Date,SUM(CS64:CV64)*Inputs_Assumptions!$E$123,0)</f>
        <v>0</v>
      </c>
      <c r="CS207" s="107">
        <f>IF(CS201=Terminal_Exit_Date,SUM(CT64:CW64)*Inputs_Assumptions!$E$123,0)</f>
        <v>0</v>
      </c>
      <c r="CT207" s="107">
        <f>IF(CT201=Terminal_Exit_Date,SUM(CU64:CX64)*Inputs_Assumptions!$E$123,0)</f>
        <v>0</v>
      </c>
      <c r="CU207" s="263">
        <f>IF(CU201=Terminal_Exit_Date,SUM(CV64:CY64)*Inputs_Assumptions!$E$123,0)</f>
        <v>0</v>
      </c>
      <c r="CV207" s="107">
        <f>IF(CV201=Terminal_Exit_Date,SUM(CW64:CZ64)*Inputs_Assumptions!$E$123,0)</f>
        <v>0</v>
      </c>
      <c r="CW207" s="107">
        <f>IF(CW201=Terminal_Exit_Date,SUM(CX64:DA64)*Inputs_Assumptions!$E$123,0)</f>
        <v>0</v>
      </c>
      <c r="CX207" s="107">
        <f>IF(CX201=Terminal_Exit_Date,SUM(CY64:DB64)*Inputs_Assumptions!$E$123,0)</f>
        <v>0</v>
      </c>
      <c r="CY207" s="107">
        <f>IF(CY201=Terminal_Exit_Date,SUM(CZ64:DC64)*Inputs_Assumptions!$E$123,0)</f>
        <v>0</v>
      </c>
      <c r="CZ207" s="107">
        <f>IF(CZ201=Terminal_Exit_Date,SUM(DA64:DD64)*Inputs_Assumptions!$E$123,0)</f>
        <v>0</v>
      </c>
      <c r="DA207" s="107">
        <f>IF(DA201=Terminal_Exit_Date,SUM(DB64:DE64)*Inputs_Assumptions!$E$123,0)</f>
        <v>0</v>
      </c>
      <c r="DB207" s="107">
        <f>IF(DB201=Terminal_Exit_Date,SUM(DC64:DF64)*Inputs_Assumptions!$E$123,0)</f>
        <v>0</v>
      </c>
      <c r="DC207" s="107">
        <f>IF(DC201=Terminal_Exit_Date,SUM(DD64:DG64)*Inputs_Assumptions!$E$123,0)</f>
        <v>0</v>
      </c>
      <c r="DD207" s="107">
        <f>IF(DD201=Terminal_Exit_Date,SUM(DE64:DH64)*Inputs_Assumptions!$E$123,0)</f>
        <v>0</v>
      </c>
      <c r="DE207" s="107">
        <f>IF(DE201=Terminal_Exit_Date,SUM(DF64:DI64)*Inputs_Assumptions!$E$123,0)</f>
        <v>0</v>
      </c>
      <c r="DF207" s="107">
        <f>IF(DF201=Terminal_Exit_Date,SUM(DG64:DJ64)*Inputs_Assumptions!$E$123,0)</f>
        <v>0</v>
      </c>
      <c r="DG207" s="107">
        <f>IF(DG201=Terminal_Exit_Date,SUM(DH64:DK64)*Inputs_Assumptions!$E$123,0)</f>
        <v>0</v>
      </c>
      <c r="DH207" s="107">
        <f>IF(DH201=Terminal_Exit_Date,SUM(DI64:DL64)*Inputs_Assumptions!$E$123,0)</f>
        <v>0</v>
      </c>
      <c r="DI207" s="107">
        <f>IF(DI201=Terminal_Exit_Date,SUM(DJ64:DM64)*Inputs_Assumptions!$E$123,0)</f>
        <v>0</v>
      </c>
      <c r="DJ207" s="107">
        <f>IF(DJ201=Terminal_Exit_Date,SUM(DK64:DN64)*Inputs_Assumptions!$E$123,0)</f>
        <v>0</v>
      </c>
      <c r="DK207" s="107">
        <f>IF(DK201=Terminal_Exit_Date,SUM(DL64:DO64)*Inputs_Assumptions!$E$123,0)</f>
        <v>0</v>
      </c>
      <c r="DL207" s="107">
        <f>IF(DL201=Terminal_Exit_Date,SUM(DM64:DP64)*Inputs_Assumptions!$E$123,0)</f>
        <v>0</v>
      </c>
      <c r="DM207" s="107">
        <f>IF(DM201=Terminal_Exit_Date,SUM(DN64:DQ64)*Inputs_Assumptions!$E$123,0)</f>
        <v>0</v>
      </c>
      <c r="DN207" s="107">
        <f>IF(DN201=Terminal_Exit_Date,SUM(DO64:DR64)*Inputs_Assumptions!$E$123,0)</f>
        <v>0</v>
      </c>
      <c r="DO207" s="107">
        <f>IF(DO201=Terminal_Exit_Date,SUM(DP64:DS64)*Inputs_Assumptions!$E$123,0)</f>
        <v>0</v>
      </c>
      <c r="DP207" s="107">
        <f>IF(DP201=Terminal_Exit_Date,SUM(DQ64:DT64)*Inputs_Assumptions!$E$123,0)</f>
        <v>0</v>
      </c>
      <c r="DQ207" s="107">
        <f>IF(DQ201=Terminal_Exit_Date,SUM(DR64:DU64)*Inputs_Assumptions!$E$123,0)</f>
        <v>0</v>
      </c>
      <c r="DR207" s="107">
        <f>IF(DR201=Terminal_Exit_Date,SUM(DS64:DV64)*Inputs_Assumptions!$E$123,0)</f>
        <v>0</v>
      </c>
      <c r="DS207" s="107">
        <f>IF(DS201=Terminal_Exit_Date,SUM(DT64:DW64)*Inputs_Assumptions!$E$123,0)</f>
        <v>0</v>
      </c>
      <c r="DT207" s="107">
        <f>IF(DT201=Terminal_Exit_Date,SUM(DU64:DX64)*Inputs_Assumptions!$E$123,0)</f>
        <v>0</v>
      </c>
      <c r="DU207" s="107">
        <f>IF(DU201=Terminal_Exit_Date,SUM(DV64:DY64)*Inputs_Assumptions!$E$123,0)</f>
        <v>0</v>
      </c>
      <c r="DV207" s="107">
        <f>IF(DV201=Terminal_Exit_Date,SUM(DW64:DZ64)*Inputs_Assumptions!$E$123,0)</f>
        <v>0</v>
      </c>
      <c r="DW207" s="107">
        <f>IF(DW201=Terminal_Exit_Date,SUM(DX64:EA64)*Inputs_Assumptions!$E$123,0)</f>
        <v>0</v>
      </c>
      <c r="DX207" s="107">
        <f>IF(DX201=Terminal_Exit_Date,SUM(DY64:EB64)*Inputs_Assumptions!$E$123,0)</f>
        <v>0</v>
      </c>
      <c r="DY207" s="107">
        <f>IF(DY201=Terminal_Exit_Date,SUM(DZ64:EC64)*Inputs_Assumptions!$E$123,0)</f>
        <v>0</v>
      </c>
      <c r="DZ207" s="107">
        <f>IF(DZ201=Terminal_Exit_Date,SUM(EA64:ED64)*Inputs_Assumptions!$E$123,0)</f>
        <v>0</v>
      </c>
      <c r="EA207" s="107">
        <f>IF(EA201=Terminal_Exit_Date,SUM(EB64:EE64)*Inputs_Assumptions!$E$123,0)</f>
        <v>0</v>
      </c>
      <c r="EB207" s="107">
        <f>IF(EB201=Terminal_Exit_Date,SUM(EC64:EF64)*Inputs_Assumptions!$E$123,0)</f>
        <v>0</v>
      </c>
      <c r="EC207" s="107">
        <f>IF(EC201=Terminal_Exit_Date,SUM(ED64:EG64)*Inputs_Assumptions!$E$123,0)</f>
        <v>0</v>
      </c>
      <c r="ED207" s="107">
        <f>IF(ED201=Terminal_Exit_Date,SUM(EE64:EH64)*Inputs_Assumptions!$E$123,0)</f>
        <v>0</v>
      </c>
      <c r="EE207" s="107">
        <f>IF(EE201=Terminal_Exit_Date,SUM(EF64:EI64)*Inputs_Assumptions!$E$123,0)</f>
        <v>0</v>
      </c>
      <c r="EF207" s="107">
        <f>IF(EF201=Terminal_Exit_Date,SUM(EG64:EJ64)*Inputs_Assumptions!$E$123,0)</f>
        <v>0</v>
      </c>
      <c r="EG207" s="107">
        <f>IF(EG201=Terminal_Exit_Date,SUM(EH64:EK64)*Inputs_Assumptions!$E$123,0)</f>
        <v>0</v>
      </c>
      <c r="EH207" s="107">
        <f>IF(EH201=Terminal_Exit_Date,SUM(EI64:EL64)*Inputs_Assumptions!$E$123,0)</f>
        <v>0</v>
      </c>
      <c r="EI207" s="107">
        <f>IF(EI201=Terminal_Exit_Date,SUM(EJ64:EM64)*Inputs_Assumptions!$E$123,0)</f>
        <v>0</v>
      </c>
      <c r="EJ207" s="107">
        <f>IF(EJ201=Terminal_Exit_Date,SUM(EK64:EN64)*Inputs_Assumptions!$E$123,0)</f>
        <v>0</v>
      </c>
      <c r="EK207" s="107">
        <f>IF(EK201=Terminal_Exit_Date,SUM(EL64:EO64)*Inputs_Assumptions!$E$123,0)</f>
        <v>0</v>
      </c>
      <c r="EL207" s="107">
        <f>IF(EL201=Terminal_Exit_Date,SUM(EM64:EP64)*Inputs_Assumptions!$E$123,0)</f>
        <v>0</v>
      </c>
      <c r="EM207" s="107">
        <f>IF(EM201=Terminal_Exit_Date,SUM(EN64:EQ64)*Inputs_Assumptions!$E$123,0)</f>
        <v>0</v>
      </c>
      <c r="EN207" s="107">
        <f>IF(EN201=Terminal_Exit_Date,SUM(EO64:ER64)*Inputs_Assumptions!$E$123,0)</f>
        <v>0</v>
      </c>
      <c r="EO207" s="107">
        <f>IF(EO201=Terminal_Exit_Date,SUM(EP64:ES64)*Inputs_Assumptions!$E$123,0)</f>
        <v>0</v>
      </c>
      <c r="EP207" s="107">
        <f>IF(EP201=Terminal_Exit_Date,SUM(EQ64:ET64)*Inputs_Assumptions!$E$123,0)</f>
        <v>0</v>
      </c>
      <c r="EQ207" s="107">
        <f>IF(EQ201=Terminal_Exit_Date,SUM(ER64:EU64)*Inputs_Assumptions!$E$123,0)</f>
        <v>0</v>
      </c>
      <c r="ER207" s="107">
        <f>IF(ER201=Terminal_Exit_Date,SUM(ES64:EV64)*Inputs_Assumptions!$E$123,0)</f>
        <v>0</v>
      </c>
      <c r="ES207" s="107">
        <f>IF(ES201=Terminal_Exit_Date,SUM(ET64:EW64)*Inputs_Assumptions!$E$123,0)</f>
        <v>0</v>
      </c>
      <c r="ET207" s="107">
        <f>IF(ET201=Terminal_Exit_Date,SUM(EU64:EX64)*Inputs_Assumptions!$E$123,0)</f>
        <v>0</v>
      </c>
      <c r="EU207" s="107">
        <f>IF(EU201=Terminal_Exit_Date,SUM(EV64:EY64)*Inputs_Assumptions!$E$123,0)</f>
        <v>0</v>
      </c>
      <c r="EV207" s="107">
        <f>IF(EV201=Terminal_Exit_Date,SUM(EW64:EZ64)*Inputs_Assumptions!$E$123,0)</f>
        <v>0</v>
      </c>
      <c r="EW207" s="107">
        <f>IF(EW201=Terminal_Exit_Date,SUM(EX64:FA64)*Inputs_Assumptions!$E$123,0)</f>
        <v>0</v>
      </c>
      <c r="EX207" s="107">
        <f>IF(EX201=Terminal_Exit_Date,SUM(EY64:FB64)*Inputs_Assumptions!$E$123,0)</f>
        <v>0</v>
      </c>
      <c r="EY207" s="107">
        <f>IF(EY201=Terminal_Exit_Date,SUM(EZ64:FC64)*Inputs_Assumptions!$E$123,0)</f>
        <v>0</v>
      </c>
      <c r="EZ207" s="107">
        <f>IF(EZ201=Terminal_Exit_Date,SUM(FA64:FD64)*Inputs_Assumptions!$E$123,0)</f>
        <v>0</v>
      </c>
      <c r="FA207" s="107">
        <f>IF(FA201=Terminal_Exit_Date,SUM(FB64:FE64)*Inputs_Assumptions!$E$123,0)</f>
        <v>0</v>
      </c>
    </row>
    <row r="208" spans="2:157" outlineLevel="1" x14ac:dyDescent="0.2">
      <c r="C208" s="9" t="s">
        <v>418</v>
      </c>
      <c r="D208" s="21" t="s">
        <v>126</v>
      </c>
      <c r="E208" s="121">
        <f t="shared" ca="1" si="946"/>
        <v>-1197.2793988789631</v>
      </c>
      <c r="F208" s="5"/>
      <c r="G208" s="107">
        <f>-Inputs_Assumptions!E106</f>
        <v>-275.31900000000002</v>
      </c>
      <c r="H208" s="107">
        <f>IF(H13&gt;=1,-Constr_Phase_Model!H24,0)</f>
        <v>0</v>
      </c>
      <c r="I208" s="107">
        <f ca="1">IF(I13&gt;=1,-Constr_Phase_Model!I24,0)</f>
        <v>-17.38675064169594</v>
      </c>
      <c r="J208" s="107">
        <f ca="1">IF(J13&gt;=1,-Constr_Phase_Model!J24,0)</f>
        <v>-25.2246676081533</v>
      </c>
      <c r="K208" s="107">
        <f ca="1">IF(K13&gt;=1,-Constr_Phase_Model!K24,0)</f>
        <v>-13.57978450051068</v>
      </c>
      <c r="L208" s="107">
        <f ca="1">IF(L13&gt;=1,-Constr_Phase_Model!L24,0)</f>
        <v>-52.951134642933496</v>
      </c>
      <c r="M208" s="107">
        <f ca="1">IF(M13&gt;=1,-Constr_Phase_Model!M24,0)</f>
        <v>-144.94697127586713</v>
      </c>
      <c r="N208" s="107">
        <f ca="1">IF(N13&gt;=1,-Constr_Phase_Model!N24,0)</f>
        <v>-94.67704432166579</v>
      </c>
      <c r="O208" s="107">
        <f ca="1">IF(O13&gt;=1,-Constr_Phase_Model!O24,0)</f>
        <v>-69.312459708974302</v>
      </c>
      <c r="P208" s="107">
        <f ca="1">IF(P13&gt;=1,-Constr_Phase_Model!P24,0)</f>
        <v>-169.53687308846065</v>
      </c>
      <c r="Q208" s="107">
        <f ca="1">IF(Q13&gt;=1,-Constr_Phase_Model!Q24,0)</f>
        <v>-175.4709649800009</v>
      </c>
      <c r="R208" s="107">
        <f ca="1">IF(R13&gt;=1,-Constr_Phase_Model!R24,0)</f>
        <v>-88.442618176857721</v>
      </c>
      <c r="S208" s="107">
        <f ca="1">IF(S13&gt;=1,-Constr_Phase_Model!S24,0)</f>
        <v>-48.15827494621049</v>
      </c>
      <c r="T208" s="107">
        <f ca="1">IF(T13&gt;=1,-Constr_Phase_Model!T24,0)</f>
        <v>-7.5195802938150758</v>
      </c>
      <c r="U208" s="107">
        <f ca="1">IF(U13&gt;=1,-Constr_Phase_Model!U24,0)</f>
        <v>-7.414113637632922</v>
      </c>
      <c r="V208" s="107">
        <f ca="1">IF(V13&gt;=1,-Constr_Phase_Model!V24,0)</f>
        <v>-7.3391610561847873</v>
      </c>
      <c r="W208" s="107">
        <f>IF(W13&gt;=1,-Constr_Phase_Model!W24,0)</f>
        <v>0</v>
      </c>
      <c r="X208" s="107">
        <f>IF(X13&gt;=1,-Constr_Phase_Model!X24,0)</f>
        <v>0</v>
      </c>
      <c r="Y208" s="107">
        <f>IF(Y13&gt;=1,-Constr_Phase_Model!Y24,0)</f>
        <v>0</v>
      </c>
      <c r="Z208" s="107">
        <f>IF(Z13&gt;=1,-Constr_Phase_Model!Z24,0)</f>
        <v>0</v>
      </c>
      <c r="AA208" s="107">
        <f>IF(AA13&gt;=1,-Constr_Phase_Model!AA24,0)</f>
        <v>0</v>
      </c>
      <c r="AB208" s="107">
        <f>IF(AB13&gt;=1,-Constr_Phase_Model!AB24,0)</f>
        <v>0</v>
      </c>
      <c r="AC208" s="107">
        <f>IF(AC13&gt;=1,-Constr_Phase_Model!AC24,0)</f>
        <v>0</v>
      </c>
      <c r="AD208" s="107">
        <f>IF(AD13&gt;=1,-Constr_Phase_Model!AD24,0)</f>
        <v>0</v>
      </c>
      <c r="AE208" s="107">
        <f>IF(AE13&gt;=1,-Constr_Phase_Model!AE24,0)</f>
        <v>0</v>
      </c>
      <c r="AF208" s="107">
        <f>IF(AF13&gt;=1,-Constr_Phase_Model!AF24,0)</f>
        <v>0</v>
      </c>
      <c r="AG208" s="107">
        <f>IF(AG13&gt;=1,-Constr_Phase_Model!AG24,0)</f>
        <v>0</v>
      </c>
      <c r="AH208" s="107">
        <f>IF(AH13&gt;=1,-Constr_Phase_Model!AH24,0)</f>
        <v>0</v>
      </c>
      <c r="AI208" s="107">
        <f>IF(AI13&gt;=1,-Constr_Phase_Model!AI24,0)</f>
        <v>0</v>
      </c>
      <c r="AJ208" s="107">
        <f>IF(AJ13&gt;=1,-Constr_Phase_Model!AJ24,0)</f>
        <v>0</v>
      </c>
      <c r="AK208" s="107">
        <f>IF(AK13&gt;=1,-Constr_Phase_Model!AK24,0)</f>
        <v>0</v>
      </c>
      <c r="AL208" s="107">
        <f>IF(AL13&gt;=1,-Constr_Phase_Model!AL24,0)</f>
        <v>0</v>
      </c>
      <c r="AM208" s="107">
        <f>IF(AM13&gt;=1,-Constr_Phase_Model!AM24,0)</f>
        <v>0</v>
      </c>
      <c r="AN208" s="107">
        <f>IF(AN13&gt;=1,-Constr_Phase_Model!AN24,0)</f>
        <v>0</v>
      </c>
      <c r="AO208" s="107">
        <f>IF(AO13&gt;=1,-Constr_Phase_Model!AO24,0)</f>
        <v>0</v>
      </c>
      <c r="AP208" s="107">
        <f>IF(AP13&gt;=1,-Constr_Phase_Model!AP24,0)</f>
        <v>0</v>
      </c>
      <c r="AQ208" s="107">
        <f>IF(AQ13&gt;=1,-Constr_Phase_Model!AQ24,0)</f>
        <v>0</v>
      </c>
      <c r="AR208" s="107">
        <f>IF(AR13&gt;=1,-Constr_Phase_Model!AR24,0)</f>
        <v>0</v>
      </c>
      <c r="AS208" s="107">
        <f>IF(AS13&gt;=1,-Constr_Phase_Model!AS24,0)</f>
        <v>0</v>
      </c>
      <c r="AT208" s="107">
        <f>IF(AT13&gt;=1,-Constr_Phase_Model!AT24,0)</f>
        <v>0</v>
      </c>
      <c r="AU208" s="107">
        <f>IF(AU13&gt;=1,-Constr_Phase_Model!AU24,0)</f>
        <v>0</v>
      </c>
      <c r="AV208" s="107">
        <f>IF(AV13&gt;=1,-Constr_Phase_Model!AV24,0)</f>
        <v>0</v>
      </c>
      <c r="AW208" s="107">
        <f>IF(AW13&gt;=1,-Constr_Phase_Model!AW24,0)</f>
        <v>0</v>
      </c>
      <c r="AX208" s="107">
        <f>IF(AX13&gt;=1,-Constr_Phase_Model!AX24,0)</f>
        <v>0</v>
      </c>
      <c r="AY208" s="107">
        <f>IF(AY13&gt;=1,-Constr_Phase_Model!AY24,0)</f>
        <v>0</v>
      </c>
      <c r="AZ208" s="107">
        <f>IF(AZ13&gt;=1,-Constr_Phase_Model!AZ24,0)</f>
        <v>0</v>
      </c>
      <c r="BA208" s="107">
        <f>IF(BA13&gt;=1,-Constr_Phase_Model!BA24,0)</f>
        <v>0</v>
      </c>
      <c r="BB208" s="107">
        <f>IF(BB13&gt;=1,-Constr_Phase_Model!BB24,0)</f>
        <v>0</v>
      </c>
      <c r="BC208" s="107">
        <f>IF(BC13&gt;=1,-Constr_Phase_Model!BC24,0)</f>
        <v>0</v>
      </c>
      <c r="BD208" s="107">
        <f>IF(BD13&gt;=1,-Constr_Phase_Model!BD24,0)</f>
        <v>0</v>
      </c>
      <c r="BE208" s="107">
        <f>IF(BE13&gt;=1,-Constr_Phase_Model!BE24,0)</f>
        <v>0</v>
      </c>
      <c r="BF208" s="107">
        <f>IF(BF13&gt;=1,-Constr_Phase_Model!BF24,0)</f>
        <v>0</v>
      </c>
      <c r="BG208" s="107">
        <f>IF(BG13&gt;=1,-Constr_Phase_Model!BG24,0)</f>
        <v>0</v>
      </c>
      <c r="BH208" s="107">
        <f>IF(BH13&gt;=1,-Constr_Phase_Model!BH24,0)</f>
        <v>0</v>
      </c>
      <c r="BI208" s="107">
        <f>IF(BI13&gt;=1,-Constr_Phase_Model!BI24,0)</f>
        <v>0</v>
      </c>
      <c r="BJ208" s="107">
        <f>IF(BJ13&gt;=1,-Constr_Phase_Model!BJ24,0)</f>
        <v>0</v>
      </c>
      <c r="BK208" s="107">
        <f>IF(BK13&gt;=1,-Constr_Phase_Model!BK24,0)</f>
        <v>0</v>
      </c>
      <c r="BL208" s="107">
        <f>IF(BL13&gt;=1,-Constr_Phase_Model!BL24,0)</f>
        <v>0</v>
      </c>
      <c r="BM208" s="107">
        <f>IF(BM13&gt;=1,-Constr_Phase_Model!BM24,0)</f>
        <v>0</v>
      </c>
      <c r="BN208" s="107">
        <f>IF(BN13&gt;=1,-Constr_Phase_Model!BN24,0)</f>
        <v>0</v>
      </c>
      <c r="BO208" s="107">
        <f>IF(BO13&gt;=1,-Constr_Phase_Model!BO24,0)</f>
        <v>0</v>
      </c>
      <c r="BP208" s="107">
        <f>IF(BP13&gt;=1,-Constr_Phase_Model!BP24,0)</f>
        <v>0</v>
      </c>
      <c r="BQ208" s="107">
        <f>IF(BQ13&gt;=1,-Constr_Phase_Model!BQ24,0)</f>
        <v>0</v>
      </c>
      <c r="BR208" s="107">
        <f>IF(BR13&gt;=1,-Constr_Phase_Model!BR24,0)</f>
        <v>0</v>
      </c>
      <c r="BS208" s="107">
        <f>IF(BS13&gt;=1,-Constr_Phase_Model!BS24,0)</f>
        <v>0</v>
      </c>
      <c r="BT208" s="107">
        <f>IF(BT13&gt;=1,-Constr_Phase_Model!BT24,0)</f>
        <v>0</v>
      </c>
      <c r="BU208" s="107">
        <f>IF(BU13&gt;=1,-Constr_Phase_Model!BU24,0)</f>
        <v>0</v>
      </c>
      <c r="BV208" s="107">
        <f>IF(BV13&gt;=1,-Constr_Phase_Model!BV24,0)</f>
        <v>0</v>
      </c>
      <c r="BW208" s="107">
        <f>IF(BW13&gt;=1,-Constr_Phase_Model!BW24,0)</f>
        <v>0</v>
      </c>
      <c r="BX208" s="107">
        <f>IF(BX13&gt;=1,-Constr_Phase_Model!BX24,0)</f>
        <v>0</v>
      </c>
      <c r="BY208" s="107">
        <f>IF(BY13&gt;=1,-Constr_Phase_Model!BY24,0)</f>
        <v>0</v>
      </c>
      <c r="BZ208" s="107">
        <f>IF(BZ13&gt;=1,-Constr_Phase_Model!BZ24,0)</f>
        <v>0</v>
      </c>
      <c r="CA208" s="107">
        <f>IF(CA13&gt;=1,-Constr_Phase_Model!CA24,0)</f>
        <v>0</v>
      </c>
      <c r="CB208" s="107">
        <f>IF(CB13&gt;=1,-Constr_Phase_Model!CB24,0)</f>
        <v>0</v>
      </c>
      <c r="CC208" s="107">
        <f>IF(CC13&gt;=1,-Constr_Phase_Model!CC24,0)</f>
        <v>0</v>
      </c>
      <c r="CD208" s="107">
        <f>IF(CD13&gt;=1,-Constr_Phase_Model!CD24,0)</f>
        <v>0</v>
      </c>
      <c r="CE208" s="107">
        <f>IF(CE13&gt;=1,-Constr_Phase_Model!CE24,0)</f>
        <v>0</v>
      </c>
      <c r="CF208" s="107">
        <f>IF(CF13&gt;=1,-Constr_Phase_Model!CF24,0)</f>
        <v>0</v>
      </c>
      <c r="CG208" s="107">
        <f>IF(CG13&gt;=1,-Constr_Phase_Model!CG24,0)</f>
        <v>0</v>
      </c>
      <c r="CH208" s="107">
        <f>IF(CH13&gt;=1,-Constr_Phase_Model!CH24,0)</f>
        <v>0</v>
      </c>
      <c r="CI208" s="107">
        <f>IF(CI13&gt;=1,-Constr_Phase_Model!CI24,0)</f>
        <v>0</v>
      </c>
      <c r="CJ208" s="107">
        <f>IF(CJ13&gt;=1,-Constr_Phase_Model!CJ24,0)</f>
        <v>0</v>
      </c>
      <c r="CK208" s="107">
        <f>IF(CK13&gt;=1,-Constr_Phase_Model!CK24,0)</f>
        <v>0</v>
      </c>
      <c r="CL208" s="107">
        <f>IF(CL13&gt;=1,-Constr_Phase_Model!CL24,0)</f>
        <v>0</v>
      </c>
      <c r="CM208" s="107">
        <f>IF(CM13&gt;=1,-Constr_Phase_Model!CM24,0)</f>
        <v>0</v>
      </c>
      <c r="CN208" s="107">
        <f>IF(CN13&gt;=1,-Constr_Phase_Model!CN24,0)</f>
        <v>0</v>
      </c>
      <c r="CO208" s="107">
        <f>IF(CO13&gt;=1,-Constr_Phase_Model!CO24,0)</f>
        <v>0</v>
      </c>
      <c r="CP208" s="107">
        <f>IF(CP13&gt;=1,-Constr_Phase_Model!CP24,0)</f>
        <v>0</v>
      </c>
      <c r="CQ208" s="107">
        <f>IF(CQ13&gt;=1,-Constr_Phase_Model!CQ24,0)</f>
        <v>0</v>
      </c>
      <c r="CR208" s="107">
        <f>IF(CR13&gt;=1,-Constr_Phase_Model!CR24,0)</f>
        <v>0</v>
      </c>
      <c r="CS208" s="107">
        <f>IF(CS13&gt;=1,-Constr_Phase_Model!CS24,0)</f>
        <v>0</v>
      </c>
      <c r="CT208" s="107">
        <f>IF(CT13&gt;=1,-Constr_Phase_Model!CT24,0)</f>
        <v>0</v>
      </c>
      <c r="CU208" s="263">
        <f>IF(CU13&gt;=1,-Constr_Phase_Model!CU24,0)</f>
        <v>0</v>
      </c>
      <c r="CV208" s="107">
        <f>IF(CV13&gt;=1,-Constr_Phase_Model!CV24,0)</f>
        <v>0</v>
      </c>
      <c r="CW208" s="107">
        <f>IF(CW13&gt;=1,-Constr_Phase_Model!CW24,0)</f>
        <v>0</v>
      </c>
      <c r="CX208" s="107">
        <f>IF(CX13&gt;=1,-Constr_Phase_Model!CX24,0)</f>
        <v>0</v>
      </c>
      <c r="CY208" s="107">
        <f>IF(CY13&gt;=1,-Constr_Phase_Model!CY24,0)</f>
        <v>0</v>
      </c>
      <c r="CZ208" s="107">
        <f>IF(CZ13&gt;=1,-Constr_Phase_Model!CZ24,0)</f>
        <v>0</v>
      </c>
      <c r="DA208" s="107">
        <f>IF(DA13&gt;=1,-Constr_Phase_Model!DA24,0)</f>
        <v>0</v>
      </c>
      <c r="DB208" s="107">
        <f>IF(DB13&gt;=1,-Constr_Phase_Model!DB24,0)</f>
        <v>0</v>
      </c>
      <c r="DC208" s="107">
        <f>IF(DC13&gt;=1,-Constr_Phase_Model!DC24,0)</f>
        <v>0</v>
      </c>
      <c r="DD208" s="107">
        <f>IF(DD13&gt;=1,-Constr_Phase_Model!DD24,0)</f>
        <v>0</v>
      </c>
      <c r="DE208" s="107">
        <f>IF(DE13&gt;=1,-Constr_Phase_Model!DE24,0)</f>
        <v>0</v>
      </c>
      <c r="DF208" s="107">
        <f>IF(DF13&gt;=1,-Constr_Phase_Model!DF24,0)</f>
        <v>0</v>
      </c>
      <c r="DG208" s="107">
        <f>IF(DG13&gt;=1,-Constr_Phase_Model!DG24,0)</f>
        <v>0</v>
      </c>
      <c r="DH208" s="107">
        <f>IF(DH13&gt;=1,-Constr_Phase_Model!DH24,0)</f>
        <v>0</v>
      </c>
      <c r="DI208" s="107">
        <f>IF(DI13&gt;=1,-Constr_Phase_Model!DI24,0)</f>
        <v>0</v>
      </c>
      <c r="DJ208" s="107">
        <f>IF(DJ13&gt;=1,-Constr_Phase_Model!DJ24,0)</f>
        <v>0</v>
      </c>
      <c r="DK208" s="107">
        <f>IF(DK13&gt;=1,-Constr_Phase_Model!DK24,0)</f>
        <v>0</v>
      </c>
      <c r="DL208" s="107">
        <f>IF(DL13&gt;=1,-Constr_Phase_Model!DL24,0)</f>
        <v>0</v>
      </c>
      <c r="DM208" s="107">
        <f>IF(DM13&gt;=1,-Constr_Phase_Model!DM24,0)</f>
        <v>0</v>
      </c>
      <c r="DN208" s="107">
        <f>IF(DN13&gt;=1,-Constr_Phase_Model!DN24,0)</f>
        <v>0</v>
      </c>
      <c r="DO208" s="107">
        <f>IF(DO13&gt;=1,-Constr_Phase_Model!DO24,0)</f>
        <v>0</v>
      </c>
      <c r="DP208" s="107">
        <f>IF(DP13&gt;=1,-Constr_Phase_Model!DP24,0)</f>
        <v>0</v>
      </c>
      <c r="DQ208" s="107">
        <f>IF(DQ13&gt;=1,-Constr_Phase_Model!DQ24,0)</f>
        <v>0</v>
      </c>
      <c r="DR208" s="107">
        <f>IF(DR13&gt;=1,-Constr_Phase_Model!DR24,0)</f>
        <v>0</v>
      </c>
      <c r="DS208" s="107">
        <f>IF(DS13&gt;=1,-Constr_Phase_Model!DS24,0)</f>
        <v>0</v>
      </c>
      <c r="DT208" s="107">
        <f>IF(DT13&gt;=1,-Constr_Phase_Model!DT24,0)</f>
        <v>0</v>
      </c>
      <c r="DU208" s="107">
        <f>IF(DU13&gt;=1,-Constr_Phase_Model!DU24,0)</f>
        <v>0</v>
      </c>
      <c r="DV208" s="107">
        <f>IF(DV13&gt;=1,-Constr_Phase_Model!DV24,0)</f>
        <v>0</v>
      </c>
      <c r="DW208" s="107">
        <f>IF(DW13&gt;=1,-Constr_Phase_Model!DW24,0)</f>
        <v>0</v>
      </c>
      <c r="DX208" s="107">
        <f>IF(DX13&gt;=1,-Constr_Phase_Model!DX24,0)</f>
        <v>0</v>
      </c>
      <c r="DY208" s="107">
        <f>IF(DY13&gt;=1,-Constr_Phase_Model!DY24,0)</f>
        <v>0</v>
      </c>
      <c r="DZ208" s="107">
        <f>IF(DZ13&gt;=1,-Constr_Phase_Model!DZ24,0)</f>
        <v>0</v>
      </c>
      <c r="EA208" s="107">
        <f>IF(EA13&gt;=1,-Constr_Phase_Model!EA24,0)</f>
        <v>0</v>
      </c>
      <c r="EB208" s="107">
        <f>IF(EB13&gt;=1,-Constr_Phase_Model!EB24,0)</f>
        <v>0</v>
      </c>
      <c r="EC208" s="107">
        <f>IF(EC13&gt;=1,-Constr_Phase_Model!EC24,0)</f>
        <v>0</v>
      </c>
      <c r="ED208" s="107">
        <f>IF(ED13&gt;=1,-Constr_Phase_Model!ED24,0)</f>
        <v>0</v>
      </c>
      <c r="EE208" s="107">
        <f>IF(EE13&gt;=1,-Constr_Phase_Model!EE24,0)</f>
        <v>0</v>
      </c>
      <c r="EF208" s="107">
        <f>IF(EF13&gt;=1,-Constr_Phase_Model!EF24,0)</f>
        <v>0</v>
      </c>
      <c r="EG208" s="107">
        <f>IF(EG13&gt;=1,-Constr_Phase_Model!EG24,0)</f>
        <v>0</v>
      </c>
      <c r="EH208" s="107">
        <f>IF(EH13&gt;=1,-Constr_Phase_Model!EH24,0)</f>
        <v>0</v>
      </c>
      <c r="EI208" s="107">
        <f>IF(EI13&gt;=1,-Constr_Phase_Model!EI24,0)</f>
        <v>0</v>
      </c>
      <c r="EJ208" s="107">
        <f>IF(EJ13&gt;=1,-Constr_Phase_Model!EJ24,0)</f>
        <v>0</v>
      </c>
      <c r="EK208" s="107">
        <f>IF(EK13&gt;=1,-Constr_Phase_Model!EK24,0)</f>
        <v>0</v>
      </c>
      <c r="EL208" s="107">
        <f>IF(EL13&gt;=1,-Constr_Phase_Model!EL24,0)</f>
        <v>0</v>
      </c>
      <c r="EM208" s="107">
        <f>IF(EM13&gt;=1,-Constr_Phase_Model!EM24,0)</f>
        <v>0</v>
      </c>
      <c r="EN208" s="107">
        <f>IF(EN13&gt;=1,-Constr_Phase_Model!EN24,0)</f>
        <v>0</v>
      </c>
      <c r="EO208" s="107">
        <f>IF(EO13&gt;=1,-Constr_Phase_Model!EO24,0)</f>
        <v>0</v>
      </c>
      <c r="EP208" s="107">
        <f>IF(EP13&gt;=1,-Constr_Phase_Model!EP24,0)</f>
        <v>0</v>
      </c>
      <c r="EQ208" s="107">
        <f>IF(EQ13&gt;=1,-Constr_Phase_Model!EQ24,0)</f>
        <v>0</v>
      </c>
      <c r="ER208" s="107">
        <f>IF(ER13&gt;=1,-Constr_Phase_Model!ER24,0)</f>
        <v>0</v>
      </c>
      <c r="ES208" s="107">
        <f>IF(ES13&gt;=1,-Constr_Phase_Model!ES24,0)</f>
        <v>0</v>
      </c>
      <c r="ET208" s="107">
        <f>IF(ET13&gt;=1,-Constr_Phase_Model!ET24,0)</f>
        <v>0</v>
      </c>
      <c r="EU208" s="107">
        <f>IF(EU13&gt;=1,-Constr_Phase_Model!EU24,0)</f>
        <v>0</v>
      </c>
      <c r="EV208" s="107">
        <f>IF(EV13&gt;=1,-Constr_Phase_Model!EV24,0)</f>
        <v>0</v>
      </c>
      <c r="EW208" s="107">
        <f>IF(EW13&gt;=1,-Constr_Phase_Model!EW24,0)</f>
        <v>0</v>
      </c>
      <c r="EX208" s="107">
        <f>IF(EX13&gt;=1,-Constr_Phase_Model!EX24,0)</f>
        <v>0</v>
      </c>
      <c r="EY208" s="107">
        <f>IF(EY13&gt;=1,-Constr_Phase_Model!EY24,0)</f>
        <v>0</v>
      </c>
      <c r="EZ208" s="107">
        <f>IF(EZ13&gt;=1,-Constr_Phase_Model!EZ24,0)</f>
        <v>0</v>
      </c>
      <c r="FA208" s="107">
        <f>IF(FA13&gt;=1,-Constr_Phase_Model!FA24,0)</f>
        <v>0</v>
      </c>
    </row>
    <row r="209" spans="3:157" outlineLevel="1" x14ac:dyDescent="0.2">
      <c r="C209" s="9" t="s">
        <v>75</v>
      </c>
      <c r="D209" s="21" t="s">
        <v>126</v>
      </c>
      <c r="E209" s="121">
        <f t="shared" ca="1" si="946"/>
        <v>-1777.5027622547827</v>
      </c>
      <c r="F209" s="5"/>
      <c r="G209" s="107">
        <f>IF(G5=Terminal_Exit_Date,-(G166+G172),0)</f>
        <v>0</v>
      </c>
      <c r="H209" s="107">
        <f>IF(H5=Terminal_Exit_Date,-(H166+H172),0)</f>
        <v>0</v>
      </c>
      <c r="I209" s="107">
        <f>IF(I5=Terminal_Exit_Date,-(I166+I172),0)</f>
        <v>0</v>
      </c>
      <c r="J209" s="107">
        <f>IF(J5=Terminal_Exit_Date,-(J166+J172),0)</f>
        <v>0</v>
      </c>
      <c r="K209" s="107">
        <f>IF(K5=Terminal_Exit_Date,-(K166+K172),0)</f>
        <v>0</v>
      </c>
      <c r="L209" s="107">
        <f>IF(L5=Terminal_Exit_Date,-(L166+L172),0)</f>
        <v>0</v>
      </c>
      <c r="M209" s="107">
        <f>IF(M5=Terminal_Exit_Date,-(M166+M172),0)</f>
        <v>0</v>
      </c>
      <c r="N209" s="107">
        <f>IF(N5=Terminal_Exit_Date,-(N166+N172),0)</f>
        <v>0</v>
      </c>
      <c r="O209" s="107">
        <f>IF(O5=Terminal_Exit_Date,-(O166+O172),0)</f>
        <v>0</v>
      </c>
      <c r="P209" s="107">
        <f>IF(P5=Terminal_Exit_Date,-(P166+P172),0)</f>
        <v>0</v>
      </c>
      <c r="Q209" s="107">
        <f>IF(Q5=Terminal_Exit_Date,-(Q166+Q172),0)</f>
        <v>0</v>
      </c>
      <c r="R209" s="107">
        <f>IF(R5=Terminal_Exit_Date,-(R166+R172),0)</f>
        <v>0</v>
      </c>
      <c r="S209" s="107">
        <f>IF(S5=Terminal_Exit_Date,-(S166+S172),0)</f>
        <v>0</v>
      </c>
      <c r="T209" s="107">
        <f>IF(T5=Terminal_Exit_Date,-(T166+T172),0)</f>
        <v>0</v>
      </c>
      <c r="U209" s="107">
        <f>IF(U5=Terminal_Exit_Date,-(U166+U172),0)</f>
        <v>0</v>
      </c>
      <c r="V209" s="107">
        <f>IF(V5=Terminal_Exit_Date,-(V166+V172),0)</f>
        <v>0</v>
      </c>
      <c r="W209" s="107">
        <f>IF(W5=Terminal_Exit_Date,-(W166+W172),0)</f>
        <v>0</v>
      </c>
      <c r="X209" s="107">
        <f>IF(X5=Terminal_Exit_Date,-(X166+X172),0)</f>
        <v>0</v>
      </c>
      <c r="Y209" s="107">
        <f>IF(Y5=Terminal_Exit_Date,-(Y166+Y172),0)</f>
        <v>0</v>
      </c>
      <c r="Z209" s="107">
        <f>IF(Z5=Terminal_Exit_Date,-(Z166+Z172),0)</f>
        <v>0</v>
      </c>
      <c r="AA209" s="107">
        <f>IF(AA5=Terminal_Exit_Date,-(AA166+AA172),0)</f>
        <v>0</v>
      </c>
      <c r="AB209" s="107">
        <f>IF(AB5=Terminal_Exit_Date,-(AB166+AB172),0)</f>
        <v>0</v>
      </c>
      <c r="AC209" s="107">
        <f>IF(AC5=Terminal_Exit_Date,-(AC166+AC172),0)</f>
        <v>0</v>
      </c>
      <c r="AD209" s="107">
        <f>IF(AD5=Terminal_Exit_Date,-(AD166+AD172),0)</f>
        <v>0</v>
      </c>
      <c r="AE209" s="107">
        <f>IF(AE5=Terminal_Exit_Date,-(AE166+AE172),0)</f>
        <v>0</v>
      </c>
      <c r="AF209" s="107">
        <f>IF(AF5=Terminal_Exit_Date,-(AF166+AF172),0)</f>
        <v>0</v>
      </c>
      <c r="AG209" s="107">
        <f>IF(AG5=Terminal_Exit_Date,-(AG166+AG172),0)</f>
        <v>0</v>
      </c>
      <c r="AH209" s="107">
        <f>IF(AH5=Terminal_Exit_Date,-(AH166+AH172),0)</f>
        <v>0</v>
      </c>
      <c r="AI209" s="107">
        <f>IF(AI5=Terminal_Exit_Date,-(AI166+AI172),0)</f>
        <v>0</v>
      </c>
      <c r="AJ209" s="107">
        <f>IF(AJ5=Terminal_Exit_Date,-(AJ166+AJ172),0)</f>
        <v>0</v>
      </c>
      <c r="AK209" s="107">
        <f>IF(AK5=Terminal_Exit_Date,-(AK166+AK172),0)</f>
        <v>0</v>
      </c>
      <c r="AL209" s="107">
        <f>IF(AL5=Terminal_Exit_Date,-(AL166+AL172),0)</f>
        <v>0</v>
      </c>
      <c r="AM209" s="107">
        <f ca="1">IF(AM5=Terminal_Exit_Date,-(AM166+AM172),0)</f>
        <v>-1777.5027622547827</v>
      </c>
      <c r="AN209" s="107">
        <f>IF(AN5=Terminal_Exit_Date,-(AN166+AN172),0)</f>
        <v>0</v>
      </c>
      <c r="AO209" s="107">
        <f>IF(AO5=Terminal_Exit_Date,-(AO166+AO172),0)</f>
        <v>0</v>
      </c>
      <c r="AP209" s="107">
        <f>IF(AP5=Terminal_Exit_Date,-(AP166+AP172),0)</f>
        <v>0</v>
      </c>
      <c r="AQ209" s="107">
        <f>IF(AQ5=Terminal_Exit_Date,-(AQ166+AQ172),0)</f>
        <v>0</v>
      </c>
      <c r="AR209" s="107">
        <f>IF(AR5=Terminal_Exit_Date,-(AR166+AR172),0)</f>
        <v>0</v>
      </c>
      <c r="AS209" s="107">
        <f>IF(AS5=Terminal_Exit_Date,-(AS166+AS172),0)</f>
        <v>0</v>
      </c>
      <c r="AT209" s="107">
        <f>IF(AT5=Terminal_Exit_Date,-(AT166+AT172),0)</f>
        <v>0</v>
      </c>
      <c r="AU209" s="107">
        <f>IF(AU5=Terminal_Exit_Date,-(AU166+AU172),0)</f>
        <v>0</v>
      </c>
      <c r="AV209" s="107">
        <f>IF(AV5=Terminal_Exit_Date,-(AV166+AV172),0)</f>
        <v>0</v>
      </c>
      <c r="AW209" s="107">
        <f>IF(AW5=Terminal_Exit_Date,-(AW166+AW172),0)</f>
        <v>0</v>
      </c>
      <c r="AX209" s="107">
        <f>IF(AX5=Terminal_Exit_Date,-(AX166+AX172),0)</f>
        <v>0</v>
      </c>
      <c r="AY209" s="107">
        <f>IF(AY5=Terminal_Exit_Date,-(AY166+AY172),0)</f>
        <v>0</v>
      </c>
      <c r="AZ209" s="107">
        <f>IF(AZ5=Terminal_Exit_Date,-(AZ166+AZ172),0)</f>
        <v>0</v>
      </c>
      <c r="BA209" s="107">
        <f>IF(BA5=Terminal_Exit_Date,-(BA166+BA172),0)</f>
        <v>0</v>
      </c>
      <c r="BB209" s="107">
        <f>IF(BB5=Terminal_Exit_Date,-(BB166+BB172),0)</f>
        <v>0</v>
      </c>
      <c r="BC209" s="107">
        <f>IF(BC5=Terminal_Exit_Date,-(BC166+BC172),0)</f>
        <v>0</v>
      </c>
      <c r="BD209" s="107">
        <f>IF(BD5=Terminal_Exit_Date,-(BD166+BD172),0)</f>
        <v>0</v>
      </c>
      <c r="BE209" s="107">
        <f>IF(BE5=Terminal_Exit_Date,-(BE166+BE172),0)</f>
        <v>0</v>
      </c>
      <c r="BF209" s="107">
        <f>IF(BF5=Terminal_Exit_Date,-(BF166+BF172),0)</f>
        <v>0</v>
      </c>
      <c r="BG209" s="107">
        <f>IF(BG5=Terminal_Exit_Date,-(BG166+BG172),0)</f>
        <v>0</v>
      </c>
      <c r="BH209" s="107">
        <f>IF(BH5=Terminal_Exit_Date,-(BH166+BH172),0)</f>
        <v>0</v>
      </c>
      <c r="BI209" s="107">
        <f>IF(BI5=Terminal_Exit_Date,-(BI166+BI172),0)</f>
        <v>0</v>
      </c>
      <c r="BJ209" s="107">
        <f>IF(BJ5=Terminal_Exit_Date,-(BJ166+BJ172),0)</f>
        <v>0</v>
      </c>
      <c r="BK209" s="107">
        <f>IF(BK5=Terminal_Exit_Date,-(BK166+BK172),0)</f>
        <v>0</v>
      </c>
      <c r="BL209" s="107">
        <f>IF(BL5=Terminal_Exit_Date,-(BL166+BL172),0)</f>
        <v>0</v>
      </c>
      <c r="BM209" s="107">
        <f>IF(BM5=Terminal_Exit_Date,-(BM166+BM172),0)</f>
        <v>0</v>
      </c>
      <c r="BN209" s="107">
        <f>IF(BN5=Terminal_Exit_Date,-(BN166+BN172),0)</f>
        <v>0</v>
      </c>
      <c r="BO209" s="107">
        <f>IF(BO5=Terminal_Exit_Date,-(BO166+BO172),0)</f>
        <v>0</v>
      </c>
      <c r="BP209" s="107">
        <f>IF(BP5=Terminal_Exit_Date,-(BP166+BP172),0)</f>
        <v>0</v>
      </c>
      <c r="BQ209" s="107">
        <f>IF(BQ5=Terminal_Exit_Date,-(BQ166+BQ172),0)</f>
        <v>0</v>
      </c>
      <c r="BR209" s="107">
        <f>IF(BR5=Terminal_Exit_Date,-(BR166+BR172),0)</f>
        <v>0</v>
      </c>
      <c r="BS209" s="107">
        <f>IF(BS5=Terminal_Exit_Date,-(BS166+BS172),0)</f>
        <v>0</v>
      </c>
      <c r="BT209" s="107">
        <f>IF(BT5=Terminal_Exit_Date,-(BT166+BT172),0)</f>
        <v>0</v>
      </c>
      <c r="BU209" s="107">
        <f>IF(BU5=Terminal_Exit_Date,-(BU166+BU172),0)</f>
        <v>0</v>
      </c>
      <c r="BV209" s="107">
        <f>IF(BV5=Terminal_Exit_Date,-(BV166+BV172),0)</f>
        <v>0</v>
      </c>
      <c r="BW209" s="107">
        <f>IF(BW5=Terminal_Exit_Date,-(BW166+BW172),0)</f>
        <v>0</v>
      </c>
      <c r="BX209" s="107">
        <f>IF(BX5=Terminal_Exit_Date,-(BX166+BX172),0)</f>
        <v>0</v>
      </c>
      <c r="BY209" s="107">
        <f>IF(BY5=Terminal_Exit_Date,-(BY166+BY172),0)</f>
        <v>0</v>
      </c>
      <c r="BZ209" s="107">
        <f>IF(BZ5=Terminal_Exit_Date,-(BZ166+BZ172),0)</f>
        <v>0</v>
      </c>
      <c r="CA209" s="107">
        <f>IF(CA5=Terminal_Exit_Date,-(CA166+CA172),0)</f>
        <v>0</v>
      </c>
      <c r="CB209" s="107">
        <f>IF(CB5=Terminal_Exit_Date,-(CB166+CB172),0)</f>
        <v>0</v>
      </c>
      <c r="CC209" s="107">
        <f>IF(CC5=Terminal_Exit_Date,-(CC166+CC172),0)</f>
        <v>0</v>
      </c>
      <c r="CD209" s="107">
        <f>IF(CD5=Terminal_Exit_Date,-(CD166+CD172),0)</f>
        <v>0</v>
      </c>
      <c r="CE209" s="107">
        <f>IF(CE5=Terminal_Exit_Date,-(CE166+CE172),0)</f>
        <v>0</v>
      </c>
      <c r="CF209" s="107">
        <f>IF(CF5=Terminal_Exit_Date,-(CF166+CF172),0)</f>
        <v>0</v>
      </c>
      <c r="CG209" s="107">
        <f>IF(CG5=Terminal_Exit_Date,-(CG166+CG172),0)</f>
        <v>0</v>
      </c>
      <c r="CH209" s="107">
        <f>IF(CH5=Terminal_Exit_Date,-(CH166+CH172),0)</f>
        <v>0</v>
      </c>
      <c r="CI209" s="107">
        <f>IF(CI5=Terminal_Exit_Date,-(CI166+CI172),0)</f>
        <v>0</v>
      </c>
      <c r="CJ209" s="107">
        <f>IF(CJ5=Terminal_Exit_Date,-(CJ166+CJ172),0)</f>
        <v>0</v>
      </c>
      <c r="CK209" s="107">
        <f>IF(CK5=Terminal_Exit_Date,-(CK166+CK172),0)</f>
        <v>0</v>
      </c>
      <c r="CL209" s="107">
        <f>IF(CL5=Terminal_Exit_Date,-(CL166+CL172),0)</f>
        <v>0</v>
      </c>
      <c r="CM209" s="107">
        <f>IF(CM5=Terminal_Exit_Date,-(CM166+CM172),0)</f>
        <v>0</v>
      </c>
      <c r="CN209" s="107">
        <f>IF(CN5=Terminal_Exit_Date,-(CN166+CN172),0)</f>
        <v>0</v>
      </c>
      <c r="CO209" s="107">
        <f>IF(CO5=Terminal_Exit_Date,-(CO166+CO172),0)</f>
        <v>0</v>
      </c>
      <c r="CP209" s="107">
        <f>IF(CP5=Terminal_Exit_Date,-(CP166+CP172),0)</f>
        <v>0</v>
      </c>
      <c r="CQ209" s="107">
        <f>IF(CQ5=Terminal_Exit_Date,-(CQ166+CQ172),0)</f>
        <v>0</v>
      </c>
      <c r="CR209" s="107">
        <f>IF(CR5=Terminal_Exit_Date,-(CR166+CR172),0)</f>
        <v>0</v>
      </c>
      <c r="CS209" s="107">
        <f>IF(CS5=Terminal_Exit_Date,-(CS166+CS172),0)</f>
        <v>0</v>
      </c>
      <c r="CT209" s="107">
        <f>IF(CT5=Terminal_Exit_Date,-(CT166+CT172),0)</f>
        <v>0</v>
      </c>
      <c r="CU209" s="263">
        <f>IF(CU5=Terminal_Exit_Date,-(CU166+CU172),0)</f>
        <v>0</v>
      </c>
      <c r="CV209" s="107">
        <f>IF(CV5=Terminal_Exit_Date,-(CV166+CV172),0)</f>
        <v>0</v>
      </c>
      <c r="CW209" s="107">
        <f>IF(CW5=Terminal_Exit_Date,-(CW166+CW172),0)</f>
        <v>0</v>
      </c>
      <c r="CX209" s="107">
        <f>IF(CX5=Terminal_Exit_Date,-(CX166+CX172),0)</f>
        <v>0</v>
      </c>
      <c r="CY209" s="107">
        <f>IF(CY5=Terminal_Exit_Date,-(CY166+CY172),0)</f>
        <v>0</v>
      </c>
      <c r="CZ209" s="107">
        <f>IF(CZ5=Terminal_Exit_Date,-(CZ166+CZ172),0)</f>
        <v>0</v>
      </c>
      <c r="DA209" s="107">
        <f>IF(DA5=Terminal_Exit_Date,-(DA166+DA172),0)</f>
        <v>0</v>
      </c>
      <c r="DB209" s="107">
        <f>IF(DB5=Terminal_Exit_Date,-(DB166+DB172),0)</f>
        <v>0</v>
      </c>
      <c r="DC209" s="107">
        <f>IF(DC5=Terminal_Exit_Date,-(DC166+DC172),0)</f>
        <v>0</v>
      </c>
      <c r="DD209" s="107">
        <f>IF(DD5=Terminal_Exit_Date,-(DD166+DD172),0)</f>
        <v>0</v>
      </c>
      <c r="DE209" s="107">
        <f>IF(DE5=Terminal_Exit_Date,-(DE166+DE172),0)</f>
        <v>0</v>
      </c>
      <c r="DF209" s="107">
        <f>IF(DF5=Terminal_Exit_Date,-(DF166+DF172),0)</f>
        <v>0</v>
      </c>
      <c r="DG209" s="107">
        <f>IF(DG5=Terminal_Exit_Date,-(DG166+DG172),0)</f>
        <v>0</v>
      </c>
      <c r="DH209" s="107">
        <f>IF(DH5=Terminal_Exit_Date,-(DH166+DH172),0)</f>
        <v>0</v>
      </c>
      <c r="DI209" s="107">
        <f>IF(DI5=Terminal_Exit_Date,-(DI166+DI172),0)</f>
        <v>0</v>
      </c>
      <c r="DJ209" s="107">
        <f>IF(DJ5=Terminal_Exit_Date,-(DJ166+DJ172),0)</f>
        <v>0</v>
      </c>
      <c r="DK209" s="107">
        <f>IF(DK5=Terminal_Exit_Date,-(DK166+DK172),0)</f>
        <v>0</v>
      </c>
      <c r="DL209" s="107">
        <f>IF(DL5=Terminal_Exit_Date,-(DL166+DL172),0)</f>
        <v>0</v>
      </c>
      <c r="DM209" s="107">
        <f>IF(DM5=Terminal_Exit_Date,-(DM166+DM172),0)</f>
        <v>0</v>
      </c>
      <c r="DN209" s="107">
        <f>IF(DN5=Terminal_Exit_Date,-(DN166+DN172),0)</f>
        <v>0</v>
      </c>
      <c r="DO209" s="107">
        <f>IF(DO5=Terminal_Exit_Date,-(DO166+DO172),0)</f>
        <v>0</v>
      </c>
      <c r="DP209" s="107">
        <f>IF(DP5=Terminal_Exit_Date,-(DP166+DP172),0)</f>
        <v>0</v>
      </c>
      <c r="DQ209" s="107">
        <f>IF(DQ5=Terminal_Exit_Date,-(DQ166+DQ172),0)</f>
        <v>0</v>
      </c>
      <c r="DR209" s="107">
        <f>IF(DR5=Terminal_Exit_Date,-(DR166+DR172),0)</f>
        <v>0</v>
      </c>
      <c r="DS209" s="107">
        <f>IF(DS5=Terminal_Exit_Date,-(DS166+DS172),0)</f>
        <v>0</v>
      </c>
      <c r="DT209" s="107">
        <f>IF(DT5=Terminal_Exit_Date,-(DT166+DT172),0)</f>
        <v>0</v>
      </c>
      <c r="DU209" s="107">
        <f>IF(DU5=Terminal_Exit_Date,-(DU166+DU172),0)</f>
        <v>0</v>
      </c>
      <c r="DV209" s="107">
        <f>IF(DV5=Terminal_Exit_Date,-(DV166+DV172),0)</f>
        <v>0</v>
      </c>
      <c r="DW209" s="107">
        <f>IF(DW5=Terminal_Exit_Date,-(DW166+DW172),0)</f>
        <v>0</v>
      </c>
      <c r="DX209" s="107">
        <f>IF(DX5=Terminal_Exit_Date,-(DX166+DX172),0)</f>
        <v>0</v>
      </c>
      <c r="DY209" s="107">
        <f>IF(DY5=Terminal_Exit_Date,-(DY166+DY172),0)</f>
        <v>0</v>
      </c>
      <c r="DZ209" s="107">
        <f>IF(DZ5=Terminal_Exit_Date,-(DZ166+DZ172),0)</f>
        <v>0</v>
      </c>
      <c r="EA209" s="107">
        <f>IF(EA5=Terminal_Exit_Date,-(EA166+EA172),0)</f>
        <v>0</v>
      </c>
      <c r="EB209" s="107">
        <f>IF(EB5=Terminal_Exit_Date,-(EB166+EB172),0)</f>
        <v>0</v>
      </c>
      <c r="EC209" s="107">
        <f>IF(EC5=Terminal_Exit_Date,-(EC166+EC172),0)</f>
        <v>0</v>
      </c>
      <c r="ED209" s="107">
        <f>IF(ED5=Terminal_Exit_Date,-(ED166+ED172),0)</f>
        <v>0</v>
      </c>
      <c r="EE209" s="107">
        <f>IF(EE5=Terminal_Exit_Date,-(EE166+EE172),0)</f>
        <v>0</v>
      </c>
      <c r="EF209" s="107">
        <f>IF(EF5=Terminal_Exit_Date,-(EF166+EF172),0)</f>
        <v>0</v>
      </c>
      <c r="EG209" s="107">
        <f>IF(EG5=Terminal_Exit_Date,-(EG166+EG172),0)</f>
        <v>0</v>
      </c>
      <c r="EH209" s="107">
        <f>IF(EH5=Terminal_Exit_Date,-(EH166+EH172),0)</f>
        <v>0</v>
      </c>
      <c r="EI209" s="107">
        <f>IF(EI5=Terminal_Exit_Date,-(EI166+EI172),0)</f>
        <v>0</v>
      </c>
      <c r="EJ209" s="107">
        <f>IF(EJ5=Terminal_Exit_Date,-(EJ166+EJ172),0)</f>
        <v>0</v>
      </c>
      <c r="EK209" s="107">
        <f>IF(EK5=Terminal_Exit_Date,-(EK166+EK172),0)</f>
        <v>0</v>
      </c>
      <c r="EL209" s="107">
        <f>IF(EL5=Terminal_Exit_Date,-(EL166+EL172),0)</f>
        <v>0</v>
      </c>
      <c r="EM209" s="107">
        <f>IF(EM5=Terminal_Exit_Date,-(EM166+EM172),0)</f>
        <v>0</v>
      </c>
      <c r="EN209" s="107">
        <f>IF(EN5=Terminal_Exit_Date,-(EN166+EN172),0)</f>
        <v>0</v>
      </c>
      <c r="EO209" s="107">
        <f>IF(EO5=Terminal_Exit_Date,-(EO166+EO172),0)</f>
        <v>0</v>
      </c>
      <c r="EP209" s="107">
        <f>IF(EP5=Terminal_Exit_Date,-(EP166+EP172),0)</f>
        <v>0</v>
      </c>
      <c r="EQ209" s="107">
        <f>IF(EQ5=Terminal_Exit_Date,-(EQ166+EQ172),0)</f>
        <v>0</v>
      </c>
      <c r="ER209" s="107">
        <f>IF(ER5=Terminal_Exit_Date,-(ER166+ER172),0)</f>
        <v>0</v>
      </c>
      <c r="ES209" s="107">
        <f>IF(ES5=Terminal_Exit_Date,-(ES166+ES172),0)</f>
        <v>0</v>
      </c>
      <c r="ET209" s="107">
        <f>IF(ET5=Terminal_Exit_Date,-(ET166+ET172),0)</f>
        <v>0</v>
      </c>
      <c r="EU209" s="107">
        <f>IF(EU5=Terminal_Exit_Date,-(EU166+EU172),0)</f>
        <v>0</v>
      </c>
      <c r="EV209" s="107">
        <f>IF(EV5=Terminal_Exit_Date,-(EV166+EV172),0)</f>
        <v>0</v>
      </c>
      <c r="EW209" s="107">
        <f>IF(EW5=Terminal_Exit_Date,-(EW166+EW172),0)</f>
        <v>0</v>
      </c>
      <c r="EX209" s="107">
        <f>IF(EX5=Terminal_Exit_Date,-(EX166+EX172),0)</f>
        <v>0</v>
      </c>
      <c r="EY209" s="107">
        <f>IF(EY5=Terminal_Exit_Date,-(EY166+EY172),0)</f>
        <v>0</v>
      </c>
      <c r="EZ209" s="107">
        <f>IF(EZ5=Terminal_Exit_Date,-(EZ166+EZ172),0)</f>
        <v>0</v>
      </c>
      <c r="FA209" s="107">
        <f>IF(FA5=Terminal_Exit_Date,-(FA166+FA172),0)</f>
        <v>0</v>
      </c>
    </row>
    <row r="210" spans="3:157" outlineLevel="1" x14ac:dyDescent="0.2">
      <c r="C210" s="63" t="s">
        <v>74</v>
      </c>
      <c r="D210" s="64" t="s">
        <v>126</v>
      </c>
      <c r="E210" s="280"/>
      <c r="F210" s="280"/>
      <c r="G210" s="210">
        <f t="shared" ref="G210:AL210" ca="1" si="947">SUM(G204:G209)</f>
        <v>-275.31900000000002</v>
      </c>
      <c r="H210" s="210">
        <f t="shared" ca="1" si="947"/>
        <v>0</v>
      </c>
      <c r="I210" s="210">
        <f t="shared" ca="1" si="947"/>
        <v>-17.38675064169594</v>
      </c>
      <c r="J210" s="210">
        <f t="shared" ca="1" si="947"/>
        <v>-25.2246676081533</v>
      </c>
      <c r="K210" s="210">
        <f t="shared" ca="1" si="947"/>
        <v>-13.57978450051068</v>
      </c>
      <c r="L210" s="210">
        <f t="shared" ca="1" si="947"/>
        <v>-52.951134642933496</v>
      </c>
      <c r="M210" s="210">
        <f t="shared" ca="1" si="947"/>
        <v>-144.94697127586713</v>
      </c>
      <c r="N210" s="210">
        <f t="shared" ca="1" si="947"/>
        <v>-94.67704432166579</v>
      </c>
      <c r="O210" s="210">
        <f t="shared" ca="1" si="947"/>
        <v>-69.312459708974302</v>
      </c>
      <c r="P210" s="210">
        <f t="shared" ca="1" si="947"/>
        <v>-169.53687308846065</v>
      </c>
      <c r="Q210" s="210">
        <f t="shared" ca="1" si="947"/>
        <v>-175.4709649800009</v>
      </c>
      <c r="R210" s="210">
        <f t="shared" ca="1" si="947"/>
        <v>-88.442618176857721</v>
      </c>
      <c r="S210" s="210">
        <f t="shared" ca="1" si="947"/>
        <v>-48.15827494621049</v>
      </c>
      <c r="T210" s="210">
        <f t="shared" ca="1" si="947"/>
        <v>-7.5195802938150758</v>
      </c>
      <c r="U210" s="210">
        <f t="shared" ca="1" si="947"/>
        <v>-7.414113637632922</v>
      </c>
      <c r="V210" s="210">
        <f t="shared" ca="1" si="947"/>
        <v>-7.3391610561847873</v>
      </c>
      <c r="W210" s="210">
        <f t="shared" ca="1" si="947"/>
        <v>583.33406484014677</v>
      </c>
      <c r="X210" s="210">
        <f t="shared" ca="1" si="947"/>
        <v>0</v>
      </c>
      <c r="Y210" s="210">
        <f t="shared" ca="1" si="947"/>
        <v>-0.11854117212105564</v>
      </c>
      <c r="Z210" s="210">
        <f t="shared" ca="1" si="947"/>
        <v>3.0988417675622202</v>
      </c>
      <c r="AA210" s="210">
        <f t="shared" ca="1" si="947"/>
        <v>38.442665305658856</v>
      </c>
      <c r="AB210" s="210">
        <f t="shared" ca="1" si="947"/>
        <v>0</v>
      </c>
      <c r="AC210" s="210">
        <f t="shared" ca="1" si="947"/>
        <v>0</v>
      </c>
      <c r="AD210" s="210">
        <f t="shared" ca="1" si="947"/>
        <v>3.0935822394039008</v>
      </c>
      <c r="AE210" s="210">
        <f t="shared" ca="1" si="947"/>
        <v>40.570666988975766</v>
      </c>
      <c r="AF210" s="210">
        <f t="shared" ca="1" si="947"/>
        <v>0</v>
      </c>
      <c r="AG210" s="210">
        <f t="shared" ca="1" si="947"/>
        <v>0</v>
      </c>
      <c r="AH210" s="210">
        <f t="shared" ca="1" si="947"/>
        <v>4.2436235630533616</v>
      </c>
      <c r="AI210" s="210">
        <f t="shared" ca="1" si="947"/>
        <v>42.025643713299218</v>
      </c>
      <c r="AJ210" s="210">
        <f t="shared" ca="1" si="947"/>
        <v>0</v>
      </c>
      <c r="AK210" s="210">
        <f t="shared" ca="1" si="947"/>
        <v>0</v>
      </c>
      <c r="AL210" s="210">
        <f t="shared" ca="1" si="947"/>
        <v>2.8404441787306673</v>
      </c>
      <c r="AM210" s="210">
        <f t="shared" ref="AM210:BR210" ca="1" si="948">SUM(AM204:AM209)</f>
        <v>828.92133653119481</v>
      </c>
      <c r="AN210" s="210">
        <f t="shared" si="948"/>
        <v>0</v>
      </c>
      <c r="AO210" s="210">
        <f t="shared" si="948"/>
        <v>0</v>
      </c>
      <c r="AP210" s="210">
        <f t="shared" si="948"/>
        <v>0</v>
      </c>
      <c r="AQ210" s="210">
        <f t="shared" si="948"/>
        <v>0</v>
      </c>
      <c r="AR210" s="210">
        <f t="shared" si="948"/>
        <v>0</v>
      </c>
      <c r="AS210" s="210">
        <f t="shared" si="948"/>
        <v>0</v>
      </c>
      <c r="AT210" s="210">
        <f t="shared" si="948"/>
        <v>0</v>
      </c>
      <c r="AU210" s="210">
        <f t="shared" si="948"/>
        <v>0</v>
      </c>
      <c r="AV210" s="210">
        <f t="shared" si="948"/>
        <v>0</v>
      </c>
      <c r="AW210" s="210">
        <f t="shared" si="948"/>
        <v>0</v>
      </c>
      <c r="AX210" s="210">
        <f t="shared" si="948"/>
        <v>0</v>
      </c>
      <c r="AY210" s="210">
        <f t="shared" si="948"/>
        <v>0</v>
      </c>
      <c r="AZ210" s="210">
        <f t="shared" si="948"/>
        <v>0</v>
      </c>
      <c r="BA210" s="210">
        <f t="shared" si="948"/>
        <v>0</v>
      </c>
      <c r="BB210" s="210">
        <f t="shared" si="948"/>
        <v>0</v>
      </c>
      <c r="BC210" s="210">
        <f t="shared" si="948"/>
        <v>0</v>
      </c>
      <c r="BD210" s="210">
        <f t="shared" si="948"/>
        <v>0</v>
      </c>
      <c r="BE210" s="210">
        <f t="shared" si="948"/>
        <v>0</v>
      </c>
      <c r="BF210" s="210">
        <f t="shared" si="948"/>
        <v>0</v>
      </c>
      <c r="BG210" s="210">
        <f t="shared" si="948"/>
        <v>0</v>
      </c>
      <c r="BH210" s="210">
        <f t="shared" si="948"/>
        <v>0</v>
      </c>
      <c r="BI210" s="210">
        <f t="shared" si="948"/>
        <v>0</v>
      </c>
      <c r="BJ210" s="210">
        <f t="shared" si="948"/>
        <v>0</v>
      </c>
      <c r="BK210" s="210">
        <f t="shared" si="948"/>
        <v>0</v>
      </c>
      <c r="BL210" s="210">
        <f t="shared" si="948"/>
        <v>0</v>
      </c>
      <c r="BM210" s="210">
        <f t="shared" si="948"/>
        <v>0</v>
      </c>
      <c r="BN210" s="210">
        <f t="shared" si="948"/>
        <v>0</v>
      </c>
      <c r="BO210" s="210">
        <f t="shared" si="948"/>
        <v>0</v>
      </c>
      <c r="BP210" s="210">
        <f t="shared" si="948"/>
        <v>0</v>
      </c>
      <c r="BQ210" s="210">
        <f t="shared" si="948"/>
        <v>0</v>
      </c>
      <c r="BR210" s="210">
        <f t="shared" si="948"/>
        <v>0</v>
      </c>
      <c r="BS210" s="210">
        <f t="shared" ref="BS210:CX210" si="949">SUM(BS204:BS209)</f>
        <v>0</v>
      </c>
      <c r="BT210" s="210">
        <f t="shared" si="949"/>
        <v>0</v>
      </c>
      <c r="BU210" s="210">
        <f t="shared" si="949"/>
        <v>0</v>
      </c>
      <c r="BV210" s="210">
        <f t="shared" si="949"/>
        <v>0</v>
      </c>
      <c r="BW210" s="210">
        <f t="shared" si="949"/>
        <v>0</v>
      </c>
      <c r="BX210" s="210">
        <f t="shared" si="949"/>
        <v>0</v>
      </c>
      <c r="BY210" s="210">
        <f t="shared" si="949"/>
        <v>0</v>
      </c>
      <c r="BZ210" s="210">
        <f t="shared" si="949"/>
        <v>0</v>
      </c>
      <c r="CA210" s="210">
        <f t="shared" si="949"/>
        <v>0</v>
      </c>
      <c r="CB210" s="210">
        <f t="shared" si="949"/>
        <v>0</v>
      </c>
      <c r="CC210" s="210">
        <f t="shared" si="949"/>
        <v>0</v>
      </c>
      <c r="CD210" s="210">
        <f t="shared" si="949"/>
        <v>0</v>
      </c>
      <c r="CE210" s="210">
        <f t="shared" si="949"/>
        <v>0</v>
      </c>
      <c r="CF210" s="210">
        <f t="shared" si="949"/>
        <v>0</v>
      </c>
      <c r="CG210" s="210">
        <f t="shared" si="949"/>
        <v>0</v>
      </c>
      <c r="CH210" s="210">
        <f t="shared" si="949"/>
        <v>0</v>
      </c>
      <c r="CI210" s="210">
        <f t="shared" si="949"/>
        <v>0</v>
      </c>
      <c r="CJ210" s="210">
        <f t="shared" si="949"/>
        <v>0</v>
      </c>
      <c r="CK210" s="210">
        <f t="shared" si="949"/>
        <v>0</v>
      </c>
      <c r="CL210" s="210">
        <f t="shared" si="949"/>
        <v>0</v>
      </c>
      <c r="CM210" s="210">
        <f t="shared" si="949"/>
        <v>0</v>
      </c>
      <c r="CN210" s="210">
        <f t="shared" si="949"/>
        <v>0</v>
      </c>
      <c r="CO210" s="210">
        <f t="shared" si="949"/>
        <v>0</v>
      </c>
      <c r="CP210" s="210">
        <f t="shared" si="949"/>
        <v>0</v>
      </c>
      <c r="CQ210" s="210">
        <f t="shared" si="949"/>
        <v>0</v>
      </c>
      <c r="CR210" s="210">
        <f t="shared" si="949"/>
        <v>0</v>
      </c>
      <c r="CS210" s="210">
        <f t="shared" si="949"/>
        <v>0</v>
      </c>
      <c r="CT210" s="210">
        <f t="shared" si="949"/>
        <v>0</v>
      </c>
      <c r="CU210" s="278">
        <f t="shared" si="949"/>
        <v>0</v>
      </c>
      <c r="CV210" s="210">
        <f t="shared" si="949"/>
        <v>0</v>
      </c>
      <c r="CW210" s="210">
        <f t="shared" si="949"/>
        <v>0</v>
      </c>
      <c r="CX210" s="210">
        <f t="shared" si="949"/>
        <v>0</v>
      </c>
      <c r="CY210" s="210">
        <f t="shared" ref="CY210:ED210" si="950">SUM(CY204:CY209)</f>
        <v>0</v>
      </c>
      <c r="CZ210" s="210">
        <f t="shared" si="950"/>
        <v>0</v>
      </c>
      <c r="DA210" s="210">
        <f t="shared" si="950"/>
        <v>0</v>
      </c>
      <c r="DB210" s="210">
        <f t="shared" si="950"/>
        <v>0</v>
      </c>
      <c r="DC210" s="210">
        <f t="shared" si="950"/>
        <v>0</v>
      </c>
      <c r="DD210" s="210">
        <f t="shared" si="950"/>
        <v>0</v>
      </c>
      <c r="DE210" s="210">
        <f t="shared" si="950"/>
        <v>0</v>
      </c>
      <c r="DF210" s="210">
        <f t="shared" si="950"/>
        <v>0</v>
      </c>
      <c r="DG210" s="210">
        <f t="shared" si="950"/>
        <v>0</v>
      </c>
      <c r="DH210" s="210">
        <f t="shared" si="950"/>
        <v>0</v>
      </c>
      <c r="DI210" s="210">
        <f t="shared" si="950"/>
        <v>0</v>
      </c>
      <c r="DJ210" s="210">
        <f t="shared" si="950"/>
        <v>0</v>
      </c>
      <c r="DK210" s="210">
        <f t="shared" si="950"/>
        <v>0</v>
      </c>
      <c r="DL210" s="210">
        <f t="shared" si="950"/>
        <v>0</v>
      </c>
      <c r="DM210" s="210">
        <f t="shared" si="950"/>
        <v>0</v>
      </c>
      <c r="DN210" s="210">
        <f t="shared" si="950"/>
        <v>0</v>
      </c>
      <c r="DO210" s="210">
        <f t="shared" si="950"/>
        <v>0</v>
      </c>
      <c r="DP210" s="210">
        <f t="shared" si="950"/>
        <v>0</v>
      </c>
      <c r="DQ210" s="210">
        <f t="shared" si="950"/>
        <v>0</v>
      </c>
      <c r="DR210" s="210">
        <f t="shared" si="950"/>
        <v>0</v>
      </c>
      <c r="DS210" s="210">
        <f t="shared" si="950"/>
        <v>0</v>
      </c>
      <c r="DT210" s="210">
        <f t="shared" si="950"/>
        <v>0</v>
      </c>
      <c r="DU210" s="210">
        <f t="shared" si="950"/>
        <v>0</v>
      </c>
      <c r="DV210" s="210">
        <f t="shared" si="950"/>
        <v>0</v>
      </c>
      <c r="DW210" s="210">
        <f t="shared" si="950"/>
        <v>0</v>
      </c>
      <c r="DX210" s="210">
        <f t="shared" si="950"/>
        <v>0</v>
      </c>
      <c r="DY210" s="210">
        <f t="shared" si="950"/>
        <v>0</v>
      </c>
      <c r="DZ210" s="210">
        <f t="shared" si="950"/>
        <v>0</v>
      </c>
      <c r="EA210" s="210">
        <f t="shared" si="950"/>
        <v>0</v>
      </c>
      <c r="EB210" s="210">
        <f t="shared" si="950"/>
        <v>0</v>
      </c>
      <c r="EC210" s="210">
        <f t="shared" si="950"/>
        <v>0</v>
      </c>
      <c r="ED210" s="210">
        <f t="shared" si="950"/>
        <v>0</v>
      </c>
      <c r="EE210" s="210">
        <f t="shared" ref="EE210:FA210" si="951">SUM(EE204:EE209)</f>
        <v>0</v>
      </c>
      <c r="EF210" s="210">
        <f t="shared" si="951"/>
        <v>0</v>
      </c>
      <c r="EG210" s="210">
        <f t="shared" si="951"/>
        <v>0</v>
      </c>
      <c r="EH210" s="210">
        <f t="shared" si="951"/>
        <v>0</v>
      </c>
      <c r="EI210" s="210">
        <f t="shared" si="951"/>
        <v>0</v>
      </c>
      <c r="EJ210" s="210">
        <f t="shared" si="951"/>
        <v>0</v>
      </c>
      <c r="EK210" s="210">
        <f t="shared" si="951"/>
        <v>0</v>
      </c>
      <c r="EL210" s="210">
        <f t="shared" si="951"/>
        <v>0</v>
      </c>
      <c r="EM210" s="210">
        <f t="shared" si="951"/>
        <v>0</v>
      </c>
      <c r="EN210" s="210">
        <f t="shared" si="951"/>
        <v>0</v>
      </c>
      <c r="EO210" s="210">
        <f t="shared" si="951"/>
        <v>0</v>
      </c>
      <c r="EP210" s="210">
        <f t="shared" si="951"/>
        <v>0</v>
      </c>
      <c r="EQ210" s="210">
        <f t="shared" si="951"/>
        <v>0</v>
      </c>
      <c r="ER210" s="210">
        <f t="shared" si="951"/>
        <v>0</v>
      </c>
      <c r="ES210" s="210">
        <f t="shared" si="951"/>
        <v>0</v>
      </c>
      <c r="ET210" s="210">
        <f t="shared" si="951"/>
        <v>0</v>
      </c>
      <c r="EU210" s="210">
        <f t="shared" si="951"/>
        <v>0</v>
      </c>
      <c r="EV210" s="210">
        <f t="shared" si="951"/>
        <v>0</v>
      </c>
      <c r="EW210" s="210">
        <f t="shared" si="951"/>
        <v>0</v>
      </c>
      <c r="EX210" s="210">
        <f t="shared" si="951"/>
        <v>0</v>
      </c>
      <c r="EY210" s="210">
        <f t="shared" si="951"/>
        <v>0</v>
      </c>
      <c r="EZ210" s="210">
        <f t="shared" si="951"/>
        <v>0</v>
      </c>
      <c r="FA210" s="210">
        <f t="shared" si="951"/>
        <v>0</v>
      </c>
    </row>
    <row r="211" spans="3:157" outlineLevel="1" x14ac:dyDescent="0.2"/>
    <row r="212" spans="3:157" outlineLevel="1" x14ac:dyDescent="0.2">
      <c r="C212" s="57" t="s">
        <v>66</v>
      </c>
      <c r="D212" s="72" t="s">
        <v>12</v>
      </c>
      <c r="E212" s="217"/>
      <c r="F212" s="72"/>
      <c r="G212" s="336">
        <f ca="1">XIRR(G210:CU210,G201:CU201)</f>
        <v>5.6522014737129214E-2</v>
      </c>
      <c r="I212" s="80"/>
    </row>
    <row r="213" spans="3:157" outlineLevel="1" x14ac:dyDescent="0.2"/>
    <row r="214" spans="3:157" outlineLevel="1" x14ac:dyDescent="0.2">
      <c r="C214" t="s">
        <v>37</v>
      </c>
      <c r="D214" s="21" t="s">
        <v>126</v>
      </c>
      <c r="E214" s="5"/>
      <c r="F214" s="5"/>
      <c r="G214" s="118">
        <f ca="1">SUMIF(G210:CU210,"&gt;=0",G210:CU210)</f>
        <v>1546.5708691280256</v>
      </c>
    </row>
    <row r="215" spans="3:157" outlineLevel="1" x14ac:dyDescent="0.2">
      <c r="C215" t="s">
        <v>38</v>
      </c>
      <c r="D215" s="21" t="s">
        <v>126</v>
      </c>
      <c r="E215" s="5"/>
      <c r="F215" s="5"/>
      <c r="G215" s="118">
        <f ca="1">-SUMIF(G210:CU210,"&lt;0",G210:CU210)</f>
        <v>1197.3979400510841</v>
      </c>
    </row>
    <row r="216" spans="3:157" outlineLevel="1" x14ac:dyDescent="0.2">
      <c r="C216" s="2" t="s">
        <v>39</v>
      </c>
      <c r="D216" s="5" t="s">
        <v>34</v>
      </c>
      <c r="E216" s="45"/>
      <c r="F216" s="45"/>
      <c r="G216" s="455">
        <f ca="1">G214/G215</f>
        <v>1.2916097626341707</v>
      </c>
    </row>
    <row r="217" spans="3:157" outlineLevel="1" x14ac:dyDescent="0.2">
      <c r="G217" s="453"/>
    </row>
    <row r="218" spans="3:157" outlineLevel="1" x14ac:dyDescent="0.2">
      <c r="C218" t="s">
        <v>140</v>
      </c>
      <c r="D218" s="21" t="s">
        <v>34</v>
      </c>
      <c r="F218" s="123"/>
      <c r="G218" s="454">
        <f ca="1">MEDIAN(X198:CS198)</f>
        <v>1.2998062630203508</v>
      </c>
    </row>
    <row r="219" spans="3:157" outlineLevel="1" x14ac:dyDescent="0.2">
      <c r="C219" t="s">
        <v>141</v>
      </c>
      <c r="D219" s="21" t="s">
        <v>34</v>
      </c>
      <c r="F219" s="123"/>
      <c r="G219" s="454">
        <f ca="1">MIN(X198:CS198)</f>
        <v>1.0960023716167897</v>
      </c>
    </row>
    <row r="220" spans="3:157" outlineLevel="1" x14ac:dyDescent="0.2">
      <c r="D220" s="21"/>
      <c r="F220" s="123"/>
      <c r="G220" s="123"/>
    </row>
    <row r="221" spans="3:157" outlineLevel="1" x14ac:dyDescent="0.2">
      <c r="D221" s="21"/>
      <c r="F221" s="123"/>
      <c r="G221" s="123"/>
    </row>
    <row r="222" spans="3:157" outlineLevel="1" x14ac:dyDescent="0.2">
      <c r="D222" s="21"/>
      <c r="G222" s="123"/>
    </row>
    <row r="227" spans="7:39" x14ac:dyDescent="0.2">
      <c r="G227" s="337"/>
      <c r="H227" s="337"/>
      <c r="I227" s="337"/>
      <c r="J227" s="337"/>
      <c r="K227" s="337"/>
      <c r="L227" s="337"/>
      <c r="M227" s="337"/>
      <c r="N227" s="337"/>
      <c r="O227" s="337"/>
      <c r="P227" s="337"/>
      <c r="Q227" s="337"/>
      <c r="R227" s="337"/>
      <c r="S227" s="337"/>
      <c r="T227" s="337"/>
      <c r="U227" s="337"/>
      <c r="V227" s="337"/>
      <c r="W227" s="337"/>
      <c r="X227" s="337"/>
      <c r="Y227" s="337"/>
      <c r="Z227" s="337"/>
      <c r="AA227" s="337"/>
      <c r="AB227" s="337"/>
      <c r="AC227" s="337"/>
      <c r="AD227" s="337"/>
      <c r="AE227" s="337"/>
      <c r="AF227" s="337"/>
      <c r="AG227" s="337"/>
      <c r="AH227" s="337"/>
      <c r="AI227" s="337"/>
      <c r="AJ227" s="337"/>
      <c r="AK227" s="337"/>
      <c r="AL227" s="337"/>
      <c r="AM227" s="337"/>
    </row>
  </sheetData>
  <conditionalFormatting sqref="A152:XFD152">
    <cfRule type="cellIs" dxfId="6" priority="32" operator="lessThan">
      <formula>0</formula>
    </cfRule>
  </conditionalFormatting>
  <conditionalFormatting sqref="C98">
    <cfRule type="cellIs" dxfId="5" priority="16" operator="lessThan">
      <formula>0</formula>
    </cfRule>
  </conditionalFormatting>
  <conditionalFormatting sqref="C124:C125">
    <cfRule type="cellIs" dxfId="4" priority="14" operator="lessThan">
      <formula>0</formula>
    </cfRule>
  </conditionalFormatting>
  <conditionalFormatting sqref="C132:C137">
    <cfRule type="cellIs" dxfId="3" priority="7" operator="lessThan">
      <formula>0</formula>
    </cfRule>
  </conditionalFormatting>
  <conditionalFormatting sqref="C127:D128">
    <cfRule type="cellIs" dxfId="2" priority="13" operator="lessThan">
      <formula>0</formula>
    </cfRule>
  </conditionalFormatting>
  <conditionalFormatting sqref="C87:XFD88 C95:XFD96 C109:XFD113 A114:XFD117 A126:XFD126 E139 FB139:XFD139 A139:B140 E140:XFD140 A141:F141 FB141:XFD141">
    <cfRule type="cellIs" dxfId="1" priority="41" operator="lessThan">
      <formula>0</formula>
    </cfRule>
  </conditionalFormatting>
  <conditionalFormatting sqref="D90">
    <cfRule type="cellIs" dxfId="0" priority="1" operator="lessThan">
      <formula>0</formula>
    </cfRule>
  </conditionalFormatting>
  <pageMargins left="0.7" right="0.7" top="0.75" bottom="0.75" header="0.3" footer="0.3"/>
  <pageSetup scale="35" orientation="portrait" horizontalDpi="1200" verticalDpi="1200" r:id="rId1"/>
  <rowBreaks count="3" manualBreakCount="3">
    <brk id="54" max="136" man="1"/>
    <brk id="152" max="136" man="1"/>
    <brk id="199" max="136" man="1"/>
  </rowBreaks>
  <colBreaks count="8" manualBreakCount="8">
    <brk id="14" max="145" man="1"/>
    <brk id="30" max="145" man="1"/>
    <brk id="46" max="145" man="1"/>
    <brk id="62" max="145" man="1"/>
    <brk id="78" max="145" man="1"/>
    <brk id="94" max="145" man="1"/>
    <brk id="110" max="145" man="1"/>
    <brk id="126" max="14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4F9F-6C0A-8F4C-9B42-568538122166}">
  <sheetPr>
    <tabColor rgb="FFFFFF99"/>
  </sheetPr>
  <dimension ref="B2:Z108"/>
  <sheetViews>
    <sheetView zoomScale="130" zoomScaleNormal="130" workbookViewId="0">
      <pane xSplit="1" ySplit="2" topLeftCell="B3" activePane="bottomRight" state="frozen"/>
      <selection pane="topRight" activeCell="B1" sqref="B1"/>
      <selection pane="bottomLeft" activeCell="A3" sqref="A3"/>
      <selection pane="bottomRight" activeCell="G120" sqref="G120"/>
    </sheetView>
  </sheetViews>
  <sheetFormatPr baseColWidth="10" defaultColWidth="8.83203125" defaultRowHeight="16" x14ac:dyDescent="0.2"/>
  <cols>
    <col min="2" max="2" width="39.83203125" bestFit="1" customWidth="1"/>
    <col min="3" max="4" width="8.83203125" style="17"/>
    <col min="5" max="5" width="9" customWidth="1"/>
    <col min="6" max="6" width="12.5" style="327" customWidth="1"/>
    <col min="7" max="7" width="12.5" style="329" customWidth="1"/>
    <col min="8" max="8" width="12.5" style="327" customWidth="1"/>
    <col min="9" max="9" width="12.5" style="329" customWidth="1"/>
    <col min="10" max="10" width="9" style="5" customWidth="1"/>
    <col min="11" max="11" width="12.5" style="327" customWidth="1"/>
    <col min="12" max="12" width="12.5" style="328" customWidth="1"/>
    <col min="13" max="13" width="12.5" style="123" customWidth="1"/>
    <col min="14" max="15" width="12.5" style="327" customWidth="1"/>
    <col min="16" max="16" width="9" style="5" customWidth="1"/>
    <col min="17" max="18" width="12.5" style="330" customWidth="1"/>
  </cols>
  <sheetData>
    <row r="2" spans="2:26" s="126" customFormat="1" ht="51" x14ac:dyDescent="0.2">
      <c r="B2" s="338" t="s">
        <v>495</v>
      </c>
      <c r="C2" s="339" t="s">
        <v>494</v>
      </c>
      <c r="D2" s="339" t="s">
        <v>492</v>
      </c>
      <c r="E2" s="340"/>
      <c r="F2" s="341" t="s">
        <v>472</v>
      </c>
      <c r="G2" s="342" t="s">
        <v>473</v>
      </c>
      <c r="H2" s="341" t="s">
        <v>470</v>
      </c>
      <c r="I2" s="342" t="s">
        <v>471</v>
      </c>
      <c r="J2" s="343"/>
      <c r="K2" s="341" t="s">
        <v>391</v>
      </c>
      <c r="L2" s="344" t="s">
        <v>481</v>
      </c>
      <c r="M2" s="345" t="s">
        <v>390</v>
      </c>
      <c r="N2" s="341" t="s">
        <v>496</v>
      </c>
      <c r="O2" s="341" t="s">
        <v>497</v>
      </c>
      <c r="P2" s="343"/>
      <c r="Q2" s="346" t="s">
        <v>388</v>
      </c>
      <c r="R2" s="347" t="s">
        <v>389</v>
      </c>
    </row>
    <row r="3" spans="2:26" x14ac:dyDescent="0.2">
      <c r="B3" s="348"/>
      <c r="C3" s="349"/>
      <c r="D3" s="349"/>
      <c r="E3" s="350"/>
      <c r="F3" s="351"/>
      <c r="G3" s="352"/>
      <c r="H3" s="351"/>
      <c r="I3" s="352"/>
      <c r="J3" s="353"/>
      <c r="K3" s="351"/>
      <c r="L3" s="354"/>
      <c r="M3" s="355"/>
      <c r="N3" s="351"/>
      <c r="O3" s="351"/>
      <c r="P3" s="353"/>
      <c r="Q3" s="356"/>
      <c r="R3" s="357"/>
    </row>
    <row r="4" spans="2:26" x14ac:dyDescent="0.2">
      <c r="B4" s="358" t="s">
        <v>522</v>
      </c>
      <c r="C4" s="359" t="s">
        <v>526</v>
      </c>
      <c r="D4" s="360" t="s">
        <v>276</v>
      </c>
      <c r="E4" s="361"/>
      <c r="F4" s="362">
        <v>1625.2044208619691</v>
      </c>
      <c r="G4" s="363">
        <v>0.65</v>
      </c>
      <c r="H4" s="362">
        <v>2073.8317323109595</v>
      </c>
      <c r="I4" s="363">
        <v>0.69237364319760575</v>
      </c>
      <c r="J4" s="364"/>
      <c r="K4" s="362">
        <v>1196.7366575030906</v>
      </c>
      <c r="L4" s="365">
        <v>0.10405264496803285</v>
      </c>
      <c r="M4" s="366">
        <v>1.5662522735273705</v>
      </c>
      <c r="N4" s="362">
        <v>739.03860402841246</v>
      </c>
      <c r="O4" s="362">
        <v>2781.2733076009108</v>
      </c>
      <c r="P4" s="364"/>
      <c r="Q4" s="367">
        <v>1.2998263841687583</v>
      </c>
      <c r="R4" s="368">
        <v>1.1862791749511421</v>
      </c>
      <c r="T4" s="439" t="s">
        <v>538</v>
      </c>
      <c r="U4" s="440"/>
      <c r="V4" s="440"/>
      <c r="W4" s="440"/>
      <c r="X4" s="440"/>
      <c r="Y4" s="440"/>
      <c r="Z4" s="440"/>
    </row>
    <row r="5" spans="2:26" x14ac:dyDescent="0.2">
      <c r="B5" s="358" t="s">
        <v>523</v>
      </c>
      <c r="C5" s="359" t="s">
        <v>526</v>
      </c>
      <c r="D5" s="360" t="s">
        <v>489</v>
      </c>
      <c r="E5" s="361"/>
      <c r="F5" s="362">
        <v>1621.8697919063461</v>
      </c>
      <c r="G5" s="363">
        <v>0.65</v>
      </c>
      <c r="H5" s="362">
        <v>1914.7487571262104</v>
      </c>
      <c r="I5" s="363">
        <v>0.67504477042487021</v>
      </c>
      <c r="J5" s="364"/>
      <c r="K5" s="362">
        <v>1197.0469345176282</v>
      </c>
      <c r="L5" s="365">
        <v>6.4011439681053162E-2</v>
      </c>
      <c r="M5" s="366">
        <v>1.3450814882644331</v>
      </c>
      <c r="N5" s="362">
        <v>552.34159447055663</v>
      </c>
      <c r="O5" s="362">
        <v>2573.8260380090292</v>
      </c>
      <c r="P5" s="364"/>
      <c r="Q5" s="367">
        <v>1.2998276736944263</v>
      </c>
      <c r="R5" s="368">
        <v>1.1756392766328025</v>
      </c>
      <c r="T5" s="441"/>
      <c r="U5" s="442"/>
      <c r="V5" s="442"/>
      <c r="W5" s="442"/>
      <c r="X5" s="442"/>
      <c r="Y5" s="442"/>
      <c r="Z5" s="442"/>
    </row>
    <row r="6" spans="2:26" x14ac:dyDescent="0.2">
      <c r="B6" s="358" t="s">
        <v>525</v>
      </c>
      <c r="C6" s="359" t="s">
        <v>526</v>
      </c>
      <c r="D6" s="360" t="s">
        <v>490</v>
      </c>
      <c r="E6" s="361"/>
      <c r="F6" s="362">
        <v>1618.8685219816912</v>
      </c>
      <c r="G6" s="363">
        <v>0.65</v>
      </c>
      <c r="H6" s="362">
        <v>1771.5691169928778</v>
      </c>
      <c r="I6" s="363">
        <v>0.65770147668866585</v>
      </c>
      <c r="J6" s="364"/>
      <c r="K6" s="362">
        <v>1197.3261935123217</v>
      </c>
      <c r="L6" s="365">
        <v>2.7292004227638243E-2</v>
      </c>
      <c r="M6" s="366">
        <v>1.1460507792927683</v>
      </c>
      <c r="N6" s="362">
        <v>384.30846175764145</v>
      </c>
      <c r="O6" s="362">
        <v>2387.1170242235262</v>
      </c>
      <c r="P6" s="364"/>
      <c r="Q6" s="367">
        <v>1.2998290255193601</v>
      </c>
      <c r="R6" s="368">
        <v>1.1644297121862033</v>
      </c>
      <c r="T6" s="441"/>
      <c r="U6" s="442"/>
      <c r="V6" s="442"/>
      <c r="W6" s="442"/>
      <c r="X6" s="442"/>
      <c r="Y6" s="442"/>
      <c r="Z6" s="442"/>
    </row>
    <row r="7" spans="2:26" x14ac:dyDescent="0.2">
      <c r="B7" s="358" t="s">
        <v>524</v>
      </c>
      <c r="C7" s="359" t="s">
        <v>526</v>
      </c>
      <c r="D7" s="360" t="s">
        <v>491</v>
      </c>
      <c r="E7" s="361"/>
      <c r="F7" s="362">
        <v>1613.7031246969959</v>
      </c>
      <c r="G7" s="363">
        <v>0.65</v>
      </c>
      <c r="H7" s="362">
        <v>1525.1468323409524</v>
      </c>
      <c r="I7" s="363">
        <v>0.62311049246289152</v>
      </c>
      <c r="J7" s="364"/>
      <c r="K7" s="362">
        <v>1197.8068179964121</v>
      </c>
      <c r="L7" s="365">
        <v>-3.7061130255460747E-2</v>
      </c>
      <c r="M7" s="366">
        <v>0.80369804097825248</v>
      </c>
      <c r="N7" s="362">
        <v>95.111558290371704</v>
      </c>
      <c r="O7" s="362">
        <v>2065.7776096301786</v>
      </c>
      <c r="P7" s="364"/>
      <c r="Q7" s="367">
        <v>1.2998319225756583</v>
      </c>
      <c r="R7" s="368">
        <v>1.1402109257165924</v>
      </c>
      <c r="T7" s="441"/>
      <c r="U7" s="442"/>
      <c r="V7" s="442"/>
      <c r="W7" s="442"/>
      <c r="X7" s="442"/>
      <c r="Y7" s="442"/>
      <c r="Z7" s="442"/>
    </row>
    <row r="8" spans="2:26" x14ac:dyDescent="0.2">
      <c r="B8" s="348"/>
      <c r="C8" s="349"/>
      <c r="D8" s="349"/>
      <c r="E8" s="350"/>
      <c r="F8" s="351"/>
      <c r="G8" s="352"/>
      <c r="H8" s="351"/>
      <c r="I8" s="352"/>
      <c r="J8" s="353"/>
      <c r="K8" s="351"/>
      <c r="L8" s="354"/>
      <c r="M8" s="355"/>
      <c r="N8" s="351"/>
      <c r="O8" s="351"/>
      <c r="P8" s="353"/>
      <c r="Q8" s="356"/>
      <c r="R8" s="357"/>
      <c r="T8" s="443"/>
      <c r="U8" s="444"/>
      <c r="V8" s="444"/>
      <c r="W8" s="444"/>
      <c r="X8" s="444"/>
      <c r="Y8" s="444"/>
      <c r="Z8" s="444"/>
    </row>
    <row r="9" spans="2:26" x14ac:dyDescent="0.2">
      <c r="B9" s="369" t="s">
        <v>493</v>
      </c>
      <c r="C9" s="370">
        <v>0.02</v>
      </c>
      <c r="D9" s="17" t="s">
        <v>276</v>
      </c>
      <c r="F9" s="327">
        <v>1617.4867596119691</v>
      </c>
      <c r="G9" s="329">
        <v>0.65</v>
      </c>
      <c r="H9" s="327">
        <v>2073.8317323109595</v>
      </c>
      <c r="I9" s="329">
        <v>0.69341890417618512</v>
      </c>
      <c r="K9" s="327">
        <v>1192.2216128606233</v>
      </c>
      <c r="L9" s="328">
        <v>0.10633513331413269</v>
      </c>
      <c r="M9" s="123">
        <v>1.5792169620358216</v>
      </c>
      <c r="N9" s="327">
        <v>747.42368693585149</v>
      </c>
      <c r="O9" s="327">
        <v>2781.2733076009108</v>
      </c>
      <c r="Q9" s="330">
        <v>1.2998263841687583</v>
      </c>
      <c r="R9" s="371">
        <v>1.1862791749511421</v>
      </c>
    </row>
    <row r="10" spans="2:26" x14ac:dyDescent="0.2">
      <c r="B10" s="369" t="s">
        <v>493</v>
      </c>
      <c r="C10" s="370">
        <v>0.02</v>
      </c>
      <c r="D10" s="17" t="s">
        <v>489</v>
      </c>
      <c r="F10" s="327">
        <v>1614.1521306563461</v>
      </c>
      <c r="G10" s="329">
        <v>0.65</v>
      </c>
      <c r="H10" s="327">
        <v>1914.7487571262104</v>
      </c>
      <c r="I10" s="329">
        <v>0.67612100578891887</v>
      </c>
      <c r="K10" s="327">
        <v>1192.5318898751609</v>
      </c>
      <c r="L10" s="328">
        <v>6.6208794713020325E-2</v>
      </c>
      <c r="M10" s="123">
        <v>1.3572054289300557</v>
      </c>
      <c r="N10" s="327">
        <v>560.72667737799566</v>
      </c>
      <c r="O10" s="327">
        <v>2573.8260380090292</v>
      </c>
      <c r="Q10" s="330">
        <v>1.2998276736944263</v>
      </c>
      <c r="R10" s="371">
        <v>1.1756392766328025</v>
      </c>
    </row>
    <row r="11" spans="2:26" x14ac:dyDescent="0.2">
      <c r="B11" s="369" t="s">
        <v>493</v>
      </c>
      <c r="C11" s="370">
        <v>0.02</v>
      </c>
      <c r="D11" s="17" t="s">
        <v>490</v>
      </c>
      <c r="F11" s="327">
        <v>1611.150860731691</v>
      </c>
      <c r="G11" s="329">
        <v>0.65</v>
      </c>
      <c r="H11" s="327">
        <v>1771.5691169928778</v>
      </c>
      <c r="I11" s="329">
        <v>0.65880578456233307</v>
      </c>
      <c r="K11" s="327">
        <v>1192.8111488698548</v>
      </c>
      <c r="L11" s="328">
        <v>2.9397383332252502E-2</v>
      </c>
      <c r="M11" s="123">
        <v>1.1574185078316299</v>
      </c>
      <c r="N11" s="327">
        <v>392.69354466508094</v>
      </c>
      <c r="O11" s="327">
        <v>2387.1170242235262</v>
      </c>
      <c r="Q11" s="330">
        <v>1.2998290255193601</v>
      </c>
      <c r="R11" s="371">
        <v>1.1644297121862033</v>
      </c>
    </row>
    <row r="12" spans="2:26" x14ac:dyDescent="0.2">
      <c r="B12" s="369" t="s">
        <v>493</v>
      </c>
      <c r="C12" s="370">
        <v>0.02</v>
      </c>
      <c r="D12" s="17" t="s">
        <v>491</v>
      </c>
      <c r="F12" s="327">
        <v>1605.9854634469959</v>
      </c>
      <c r="G12" s="329">
        <v>0.65</v>
      </c>
      <c r="H12" s="327">
        <v>1525.1468323409524</v>
      </c>
      <c r="I12" s="329">
        <v>0.62426204136131691</v>
      </c>
      <c r="K12" s="327">
        <v>1193.2917733539448</v>
      </c>
      <c r="L12" s="328">
        <v>-3.5145129263401027E-2</v>
      </c>
      <c r="M12" s="123">
        <v>0.81376583471469344</v>
      </c>
      <c r="N12" s="327">
        <v>103.49664119781073</v>
      </c>
      <c r="O12" s="327">
        <v>2065.7776096301786</v>
      </c>
      <c r="Q12" s="330">
        <v>1.2998319225756583</v>
      </c>
      <c r="R12" s="371">
        <v>1.1402109257165924</v>
      </c>
    </row>
    <row r="13" spans="2:26" x14ac:dyDescent="0.2">
      <c r="B13" s="348"/>
      <c r="C13" s="349"/>
      <c r="D13" s="349"/>
      <c r="E13" s="350"/>
      <c r="F13" s="351"/>
      <c r="G13" s="352"/>
      <c r="H13" s="351"/>
      <c r="I13" s="352"/>
      <c r="J13" s="353"/>
      <c r="K13" s="351"/>
      <c r="L13" s="354"/>
      <c r="M13" s="355"/>
      <c r="N13" s="351"/>
      <c r="O13" s="351"/>
      <c r="P13" s="353"/>
      <c r="Q13" s="356"/>
      <c r="R13" s="357"/>
    </row>
    <row r="14" spans="2:26" x14ac:dyDescent="0.2">
      <c r="B14" s="369" t="s">
        <v>498</v>
      </c>
      <c r="C14" s="370">
        <v>0.05</v>
      </c>
      <c r="D14" s="17" t="s">
        <v>276</v>
      </c>
      <c r="F14" s="327">
        <v>1663.7927271119693</v>
      </c>
      <c r="G14" s="329">
        <v>0.65</v>
      </c>
      <c r="H14" s="327">
        <v>2073.8317323109595</v>
      </c>
      <c r="I14" s="329">
        <v>0.68719425355579056</v>
      </c>
      <c r="K14" s="327">
        <v>1219.311880715426</v>
      </c>
      <c r="L14" s="328">
        <v>9.2817315459251398E-2</v>
      </c>
      <c r="M14" s="123">
        <v>1.5028690567792846</v>
      </c>
      <c r="N14" s="327">
        <v>697.11318949121846</v>
      </c>
      <c r="O14" s="327">
        <v>2781.2733076009108</v>
      </c>
      <c r="Q14" s="330">
        <v>1.2998263841687583</v>
      </c>
      <c r="R14" s="371">
        <v>1.1862791749511421</v>
      </c>
    </row>
    <row r="15" spans="2:26" x14ac:dyDescent="0.2">
      <c r="B15" s="369" t="s">
        <v>498</v>
      </c>
      <c r="C15" s="370">
        <v>0.05</v>
      </c>
      <c r="D15" s="17" t="s">
        <v>489</v>
      </c>
      <c r="F15" s="327">
        <v>1660.4580981563461</v>
      </c>
      <c r="G15" s="329">
        <v>0.65</v>
      </c>
      <c r="H15" s="327">
        <v>1914.7487571262104</v>
      </c>
      <c r="I15" s="329">
        <v>0.66971458166842446</v>
      </c>
      <c r="K15" s="327">
        <v>1219.622157729963</v>
      </c>
      <c r="L15" s="328">
        <v>5.3211507201194774E-2</v>
      </c>
      <c r="M15" s="123">
        <v>1.2858082708049405</v>
      </c>
      <c r="N15" s="327">
        <v>510.41617993336217</v>
      </c>
      <c r="O15" s="327">
        <v>2573.8260380090292</v>
      </c>
      <c r="Q15" s="330">
        <v>1.2998276736944263</v>
      </c>
      <c r="R15" s="371">
        <v>1.1756392766328025</v>
      </c>
    </row>
    <row r="16" spans="2:26" x14ac:dyDescent="0.2">
      <c r="B16" s="369" t="s">
        <v>498</v>
      </c>
      <c r="C16" s="370">
        <v>0.05</v>
      </c>
      <c r="D16" s="17" t="s">
        <v>490</v>
      </c>
      <c r="F16" s="327">
        <v>1657.4568282316911</v>
      </c>
      <c r="G16" s="329">
        <v>0.65</v>
      </c>
      <c r="H16" s="327">
        <v>1771.5691169928778</v>
      </c>
      <c r="I16" s="329">
        <v>0.65223500787828692</v>
      </c>
      <c r="K16" s="327">
        <v>1219.9014167246567</v>
      </c>
      <c r="L16" s="328">
        <v>1.6957625746726993E-2</v>
      </c>
      <c r="M16" s="123">
        <v>1.0904743484739314</v>
      </c>
      <c r="N16" s="327">
        <v>342.38304722044722</v>
      </c>
      <c r="O16" s="327">
        <v>2387.1170242235262</v>
      </c>
      <c r="Q16" s="330">
        <v>1.2998290255193601</v>
      </c>
      <c r="R16" s="371">
        <v>1.1644297121862033</v>
      </c>
    </row>
    <row r="17" spans="2:18" x14ac:dyDescent="0.2">
      <c r="B17" s="369" t="s">
        <v>498</v>
      </c>
      <c r="C17" s="370">
        <v>0.05</v>
      </c>
      <c r="D17" s="17" t="s">
        <v>491</v>
      </c>
      <c r="F17" s="327">
        <v>1652.2914309469961</v>
      </c>
      <c r="G17" s="329">
        <v>0.65</v>
      </c>
      <c r="H17" s="327">
        <v>1525.1468323409524</v>
      </c>
      <c r="I17" s="329">
        <v>0.61741589193363222</v>
      </c>
      <c r="K17" s="327">
        <v>1220.3820412087471</v>
      </c>
      <c r="L17" s="328">
        <v>-4.6447874605655672E-2</v>
      </c>
      <c r="M17" s="123">
        <v>0.75447650609881545</v>
      </c>
      <c r="N17" s="327">
        <v>53.186143753177248</v>
      </c>
      <c r="O17" s="327">
        <v>2065.7776096301786</v>
      </c>
      <c r="Q17" s="330">
        <v>1.2998319225756583</v>
      </c>
      <c r="R17" s="371">
        <v>1.1402109257165924</v>
      </c>
    </row>
    <row r="18" spans="2:18" x14ac:dyDescent="0.2">
      <c r="B18" s="348"/>
      <c r="C18" s="349"/>
      <c r="D18" s="349"/>
      <c r="E18" s="350"/>
      <c r="F18" s="351"/>
      <c r="G18" s="352"/>
      <c r="H18" s="351"/>
      <c r="I18" s="352"/>
      <c r="J18" s="353"/>
      <c r="K18" s="351"/>
      <c r="L18" s="354"/>
      <c r="M18" s="355"/>
      <c r="N18" s="351"/>
      <c r="O18" s="351"/>
      <c r="P18" s="353"/>
      <c r="Q18" s="356"/>
      <c r="R18" s="357"/>
    </row>
    <row r="19" spans="2:18" x14ac:dyDescent="0.2">
      <c r="B19" s="369" t="s">
        <v>513</v>
      </c>
      <c r="C19" s="17">
        <v>2148</v>
      </c>
      <c r="D19" s="17" t="s">
        <v>276</v>
      </c>
      <c r="F19" s="327">
        <v>1431.6854458619691</v>
      </c>
      <c r="G19" s="329">
        <v>0.65</v>
      </c>
      <c r="H19" s="327">
        <v>2073.8317323109595</v>
      </c>
      <c r="I19" s="329">
        <v>0.7194584321345614</v>
      </c>
      <c r="K19" s="327">
        <v>1083.9772625009821</v>
      </c>
      <c r="L19" s="328">
        <v>0.16409104466438296</v>
      </c>
      <c r="M19" s="123">
        <v>1.922366720888474</v>
      </c>
      <c r="N19" s="327">
        <v>948.44890903232817</v>
      </c>
      <c r="O19" s="327">
        <v>2781.2733076009108</v>
      </c>
      <c r="Q19" s="330">
        <v>1.2998263841687583</v>
      </c>
      <c r="R19" s="371">
        <v>1.1862791749511421</v>
      </c>
    </row>
    <row r="20" spans="2:18" x14ac:dyDescent="0.2">
      <c r="B20" s="369" t="s">
        <v>513</v>
      </c>
      <c r="C20" s="17">
        <v>2148</v>
      </c>
      <c r="D20" s="17" t="s">
        <v>489</v>
      </c>
      <c r="F20" s="327">
        <v>1428.3508169063459</v>
      </c>
      <c r="G20" s="329">
        <v>0.65</v>
      </c>
      <c r="H20" s="327">
        <v>1914.7487571262104</v>
      </c>
      <c r="I20" s="329">
        <v>0.7029910040542916</v>
      </c>
      <c r="K20" s="327">
        <v>1084.2875395155195</v>
      </c>
      <c r="L20" s="328">
        <v>0.12234246134757992</v>
      </c>
      <c r="M20" s="123">
        <v>1.6780935968518718</v>
      </c>
      <c r="N20" s="327">
        <v>761.75189947447211</v>
      </c>
      <c r="O20" s="327">
        <v>2573.8260380090292</v>
      </c>
      <c r="Q20" s="330">
        <v>1.2998276736944263</v>
      </c>
      <c r="R20" s="371">
        <v>1.1756392766328025</v>
      </c>
    </row>
    <row r="21" spans="2:18" x14ac:dyDescent="0.2">
      <c r="B21" s="369" t="s">
        <v>513</v>
      </c>
      <c r="C21" s="17">
        <v>2148</v>
      </c>
      <c r="D21" s="17" t="s">
        <v>490</v>
      </c>
      <c r="F21" s="327">
        <v>1425.349546981691</v>
      </c>
      <c r="G21" s="329">
        <v>0.65</v>
      </c>
      <c r="H21" s="327">
        <v>1771.5691169928778</v>
      </c>
      <c r="I21" s="329">
        <v>0.68643734716359661</v>
      </c>
      <c r="K21" s="327">
        <v>1084.5667985102132</v>
      </c>
      <c r="L21" s="328">
        <v>8.3641180396080012E-2</v>
      </c>
      <c r="M21" s="123">
        <v>1.4582844729516797</v>
      </c>
      <c r="N21" s="327">
        <v>593.71876676155762</v>
      </c>
      <c r="O21" s="327">
        <v>2387.1170242235262</v>
      </c>
      <c r="Q21" s="330">
        <v>1.2998290255193601</v>
      </c>
      <c r="R21" s="371">
        <v>1.1644297121862033</v>
      </c>
    </row>
    <row r="22" spans="2:18" x14ac:dyDescent="0.2">
      <c r="B22" s="369" t="s">
        <v>513</v>
      </c>
      <c r="C22" s="17">
        <v>2148</v>
      </c>
      <c r="D22" s="17" t="s">
        <v>491</v>
      </c>
      <c r="F22" s="327">
        <v>1420.184149696996</v>
      </c>
      <c r="G22" s="329">
        <v>0.65</v>
      </c>
      <c r="H22" s="327">
        <v>1525.1468323409524</v>
      </c>
      <c r="I22" s="329">
        <v>0.65320270487939291</v>
      </c>
      <c r="K22" s="327">
        <v>1085.0474229943034</v>
      </c>
      <c r="L22" s="328">
        <v>1.4890357851982117E-2</v>
      </c>
      <c r="M22" s="123">
        <v>1.0802157336713751</v>
      </c>
      <c r="N22" s="327">
        <v>304.52186329428741</v>
      </c>
      <c r="O22" s="327">
        <v>2065.7776096301786</v>
      </c>
      <c r="Q22" s="330">
        <v>1.2998319225756583</v>
      </c>
      <c r="R22" s="371">
        <v>1.1402109257165924</v>
      </c>
    </row>
    <row r="23" spans="2:18" x14ac:dyDescent="0.2">
      <c r="B23" s="348"/>
      <c r="C23" s="349"/>
      <c r="D23" s="349"/>
      <c r="E23" s="350"/>
      <c r="F23" s="351"/>
      <c r="G23" s="352"/>
      <c r="H23" s="351"/>
      <c r="I23" s="352"/>
      <c r="J23" s="353"/>
      <c r="K23" s="351"/>
      <c r="L23" s="354"/>
      <c r="M23" s="355"/>
      <c r="N23" s="351"/>
      <c r="O23" s="351"/>
      <c r="P23" s="353"/>
      <c r="Q23" s="356"/>
      <c r="R23" s="357"/>
    </row>
    <row r="24" spans="2:18" x14ac:dyDescent="0.2">
      <c r="B24" s="369" t="s">
        <v>514</v>
      </c>
      <c r="C24" s="17">
        <v>3063</v>
      </c>
      <c r="D24" s="17" t="s">
        <v>276</v>
      </c>
      <c r="F24" s="327">
        <v>1902.615930236969</v>
      </c>
      <c r="G24" s="329">
        <v>0.65</v>
      </c>
      <c r="H24" s="327">
        <v>2073.8317323109595</v>
      </c>
      <c r="I24" s="329">
        <v>0.65692214671772697</v>
      </c>
      <c r="K24" s="327">
        <v>1358.3784498066445</v>
      </c>
      <c r="L24" s="328">
        <v>3.0002298951148976E-2</v>
      </c>
      <c r="M24" s="123">
        <v>1.1588814669869967</v>
      </c>
      <c r="N24" s="327">
        <v>438.84670403609744</v>
      </c>
      <c r="O24" s="327">
        <v>2781.2733076009108</v>
      </c>
      <c r="Q24" s="330">
        <v>1.2998263841687583</v>
      </c>
      <c r="R24" s="371">
        <v>1.1862791749511421</v>
      </c>
    </row>
    <row r="25" spans="2:18" x14ac:dyDescent="0.2">
      <c r="B25" s="369" t="s">
        <v>514</v>
      </c>
      <c r="C25" s="17">
        <v>3063</v>
      </c>
      <c r="D25" s="17" t="s">
        <v>489</v>
      </c>
      <c r="F25" s="327">
        <v>1899.281301281346</v>
      </c>
      <c r="G25" s="329">
        <v>0.65</v>
      </c>
      <c r="H25" s="327">
        <v>1914.7487571262104</v>
      </c>
      <c r="I25" s="329">
        <v>0.63865012919876585</v>
      </c>
      <c r="K25" s="327">
        <v>1358.6887268211822</v>
      </c>
      <c r="L25" s="328">
        <v>-6.8069569766521457E-3</v>
      </c>
      <c r="M25" s="123">
        <v>0.96411617050491261</v>
      </c>
      <c r="N25" s="327">
        <v>252.1496944782416</v>
      </c>
      <c r="O25" s="327">
        <v>2573.8260380090292</v>
      </c>
      <c r="Q25" s="330">
        <v>1.2998276736944263</v>
      </c>
      <c r="R25" s="371">
        <v>1.1756392766328025</v>
      </c>
    </row>
    <row r="26" spans="2:18" x14ac:dyDescent="0.2">
      <c r="B26" s="369" t="s">
        <v>514</v>
      </c>
      <c r="C26" s="17">
        <v>3063</v>
      </c>
      <c r="D26" s="17" t="s">
        <v>490</v>
      </c>
      <c r="F26" s="327">
        <v>1896.2800313566911</v>
      </c>
      <c r="G26" s="329">
        <v>0.65</v>
      </c>
      <c r="H26" s="327">
        <v>1771.5691169928778</v>
      </c>
      <c r="I26" s="329">
        <v>0.62046717735858359</v>
      </c>
      <c r="K26" s="327">
        <v>1358.9679858158763</v>
      </c>
      <c r="L26" s="328">
        <v>-4.0189595520496377E-2</v>
      </c>
      <c r="M26" s="123">
        <v>0.78883735918659748</v>
      </c>
      <c r="N26" s="327">
        <v>84.116561765326423</v>
      </c>
      <c r="O26" s="327">
        <v>2387.1170242235262</v>
      </c>
      <c r="Q26" s="330">
        <v>1.2998290255193601</v>
      </c>
      <c r="R26" s="371">
        <v>1.1644297121862033</v>
      </c>
    </row>
    <row r="27" spans="2:18" x14ac:dyDescent="0.2">
      <c r="B27" s="369" t="s">
        <v>514</v>
      </c>
      <c r="C27" s="17">
        <v>3063</v>
      </c>
      <c r="D27" s="17" t="s">
        <v>491</v>
      </c>
      <c r="F27" s="327">
        <v>1891.1146340719961</v>
      </c>
      <c r="G27" s="329">
        <v>0.65</v>
      </c>
      <c r="H27" s="327">
        <v>1525.1468323409524</v>
      </c>
      <c r="I27" s="329">
        <v>0.58450948600804842</v>
      </c>
      <c r="K27" s="327">
        <v>1564.5289520019098</v>
      </c>
      <c r="L27" s="328">
        <v>-9.8000000000000004E-2</v>
      </c>
      <c r="M27" s="123">
        <v>0.55452053711990357</v>
      </c>
      <c r="N27" s="327">
        <v>-205.08034170194355</v>
      </c>
      <c r="O27" s="327">
        <v>2065.7776096301786</v>
      </c>
      <c r="Q27" s="330">
        <v>1.2998319225756583</v>
      </c>
      <c r="R27" s="371">
        <v>1.1402109257165924</v>
      </c>
    </row>
    <row r="28" spans="2:18" x14ac:dyDescent="0.2">
      <c r="B28" s="348"/>
      <c r="C28" s="349"/>
      <c r="D28" s="349"/>
      <c r="E28" s="350"/>
      <c r="F28" s="351"/>
      <c r="G28" s="352"/>
      <c r="H28" s="351"/>
      <c r="I28" s="352"/>
      <c r="J28" s="353"/>
      <c r="K28" s="351"/>
      <c r="L28" s="354"/>
      <c r="M28" s="355"/>
      <c r="N28" s="351"/>
      <c r="O28" s="351"/>
      <c r="P28" s="353"/>
      <c r="Q28" s="356"/>
      <c r="R28" s="357"/>
    </row>
    <row r="29" spans="2:18" x14ac:dyDescent="0.2">
      <c r="B29" s="369" t="s">
        <v>515</v>
      </c>
      <c r="C29" s="17">
        <v>472</v>
      </c>
      <c r="D29" s="17" t="s">
        <v>276</v>
      </c>
      <c r="F29" s="327">
        <v>1585.0595271119691</v>
      </c>
      <c r="G29" s="329">
        <v>0.65</v>
      </c>
      <c r="H29" s="327">
        <v>2073.8317323109595</v>
      </c>
      <c r="I29" s="329">
        <v>0.69794710584260633</v>
      </c>
      <c r="K29" s="327">
        <v>1172.8180676173495</v>
      </c>
      <c r="L29" s="328">
        <v>0.11659415364265444</v>
      </c>
      <c r="M29" s="123">
        <v>1.6360693972639573</v>
      </c>
      <c r="N29" s="327">
        <v>783.45884238764665</v>
      </c>
      <c r="O29" s="327">
        <v>2781.2733076009108</v>
      </c>
      <c r="Q29" s="330">
        <v>1.2998263841687583</v>
      </c>
      <c r="R29" s="371">
        <v>1.1862791749511421</v>
      </c>
    </row>
    <row r="30" spans="2:18" x14ac:dyDescent="0.2">
      <c r="B30" s="369" t="s">
        <v>515</v>
      </c>
      <c r="C30" s="17">
        <v>472</v>
      </c>
      <c r="D30" s="17" t="s">
        <v>489</v>
      </c>
      <c r="F30" s="327">
        <v>1581.7248981563459</v>
      </c>
      <c r="G30" s="329">
        <v>0.65</v>
      </c>
      <c r="H30" s="327">
        <v>1914.7487571262104</v>
      </c>
      <c r="I30" s="329">
        <v>0.68078549414830702</v>
      </c>
      <c r="K30" s="327">
        <v>1173.1283446318866</v>
      </c>
      <c r="L30" s="328">
        <v>7.5986585021018987E-2</v>
      </c>
      <c r="M30" s="123">
        <v>1.410370756220845</v>
      </c>
      <c r="N30" s="327">
        <v>596.76183282979014</v>
      </c>
      <c r="O30" s="327">
        <v>2573.8260380090292</v>
      </c>
      <c r="Q30" s="330">
        <v>1.2998276736944263</v>
      </c>
      <c r="R30" s="371">
        <v>1.1756392766328025</v>
      </c>
    </row>
    <row r="31" spans="2:18" x14ac:dyDescent="0.2">
      <c r="B31" s="369" t="s">
        <v>515</v>
      </c>
      <c r="C31" s="17">
        <v>472</v>
      </c>
      <c r="D31" s="17" t="s">
        <v>490</v>
      </c>
      <c r="F31" s="327">
        <v>1578.723628231691</v>
      </c>
      <c r="G31" s="329">
        <v>0.65</v>
      </c>
      <c r="H31" s="327">
        <v>1771.5691169928778</v>
      </c>
      <c r="I31" s="329">
        <v>0.66359410171196365</v>
      </c>
      <c r="K31" s="327">
        <v>1173.4076036265808</v>
      </c>
      <c r="L31" s="328">
        <v>3.8684150576591497E-2</v>
      </c>
      <c r="M31" s="123">
        <v>1.2072674926627549</v>
      </c>
      <c r="N31" s="327">
        <v>428.72870011687496</v>
      </c>
      <c r="O31" s="327">
        <v>2387.1170242235262</v>
      </c>
      <c r="Q31" s="330">
        <v>1.2998290255193601</v>
      </c>
      <c r="R31" s="371">
        <v>1.1644297121862033</v>
      </c>
    </row>
    <row r="32" spans="2:18" x14ac:dyDescent="0.2">
      <c r="B32" s="369" t="s">
        <v>515</v>
      </c>
      <c r="C32" s="17">
        <v>472</v>
      </c>
      <c r="D32" s="17" t="s">
        <v>491</v>
      </c>
      <c r="F32" s="327">
        <v>1573.558230946996</v>
      </c>
      <c r="G32" s="329">
        <v>0.65</v>
      </c>
      <c r="H32" s="327">
        <v>1525.1468323409524</v>
      </c>
      <c r="I32" s="329">
        <v>0.62925969639230939</v>
      </c>
      <c r="K32" s="327">
        <v>1173.8882281106708</v>
      </c>
      <c r="L32" s="328">
        <v>-2.6814141869544984E-2</v>
      </c>
      <c r="M32" s="123">
        <v>0.85791407336474124</v>
      </c>
      <c r="N32" s="327">
        <v>139.53179664960521</v>
      </c>
      <c r="O32" s="327">
        <v>2065.7776096301786</v>
      </c>
      <c r="Q32" s="330">
        <v>1.2998319225756583</v>
      </c>
      <c r="R32" s="371">
        <v>1.1402109257165924</v>
      </c>
    </row>
    <row r="33" spans="2:18" x14ac:dyDescent="0.2">
      <c r="B33" s="348"/>
      <c r="C33" s="349"/>
      <c r="D33" s="349"/>
      <c r="E33" s="350"/>
      <c r="F33" s="351"/>
      <c r="G33" s="352"/>
      <c r="H33" s="351"/>
      <c r="I33" s="352"/>
      <c r="J33" s="353"/>
      <c r="K33" s="351"/>
      <c r="L33" s="354"/>
      <c r="M33" s="355"/>
      <c r="N33" s="351"/>
      <c r="O33" s="351"/>
      <c r="P33" s="353"/>
      <c r="Q33" s="356"/>
      <c r="R33" s="357"/>
    </row>
    <row r="34" spans="2:18" x14ac:dyDescent="0.2">
      <c r="B34" s="369" t="s">
        <v>516</v>
      </c>
      <c r="C34" s="17">
        <v>678</v>
      </c>
      <c r="D34" s="17" t="s">
        <v>276</v>
      </c>
      <c r="F34" s="327">
        <v>1691.083220861969</v>
      </c>
      <c r="G34" s="329">
        <v>0.65</v>
      </c>
      <c r="H34" s="327">
        <v>2073.8317323109595</v>
      </c>
      <c r="I34" s="329">
        <v>0.68341784567979469</v>
      </c>
      <c r="K34" s="327">
        <v>1235.987676802768</v>
      </c>
      <c r="L34" s="328">
        <v>8.4368535876274117E-2</v>
      </c>
      <c r="M34" s="123">
        <v>1.457536182852462</v>
      </c>
      <c r="N34" s="327">
        <v>666.14385390043958</v>
      </c>
      <c r="O34" s="327">
        <v>2781.2733076009108</v>
      </c>
      <c r="Q34" s="330">
        <v>1.2998263841687583</v>
      </c>
      <c r="R34" s="371">
        <v>1.1862791749511421</v>
      </c>
    </row>
    <row r="35" spans="2:18" x14ac:dyDescent="0.2">
      <c r="B35" s="369" t="s">
        <v>516</v>
      </c>
      <c r="C35" s="17">
        <v>678</v>
      </c>
      <c r="D35" s="17" t="s">
        <v>489</v>
      </c>
      <c r="F35" s="327">
        <v>1687.7485919063458</v>
      </c>
      <c r="G35" s="329">
        <v>0.65</v>
      </c>
      <c r="H35" s="327">
        <v>1914.7487571262104</v>
      </c>
      <c r="I35" s="329">
        <v>0.66583103464200644</v>
      </c>
      <c r="K35" s="327">
        <v>1236.2979538173058</v>
      </c>
      <c r="L35" s="328">
        <v>4.5263877511024481E-2</v>
      </c>
      <c r="M35" s="123">
        <v>1.2434145970466763</v>
      </c>
      <c r="N35" s="327">
        <v>479.44684434258374</v>
      </c>
      <c r="O35" s="327">
        <v>2573.8260380090292</v>
      </c>
      <c r="Q35" s="330">
        <v>1.2998276736944263</v>
      </c>
      <c r="R35" s="371">
        <v>1.1756392766328025</v>
      </c>
    </row>
    <row r="36" spans="2:18" x14ac:dyDescent="0.2">
      <c r="B36" s="369" t="s">
        <v>516</v>
      </c>
      <c r="C36" s="17">
        <v>678</v>
      </c>
      <c r="D36" s="17" t="s">
        <v>490</v>
      </c>
      <c r="F36" s="327">
        <v>1684.7473219816909</v>
      </c>
      <c r="G36" s="329">
        <v>0.65</v>
      </c>
      <c r="H36" s="327">
        <v>1771.5691169928778</v>
      </c>
      <c r="I36" s="329">
        <v>0.64825504987882543</v>
      </c>
      <c r="K36" s="327">
        <v>1236.5772128119993</v>
      </c>
      <c r="L36" s="328">
        <v>9.4941645860672011E-3</v>
      </c>
      <c r="M36" s="123">
        <v>1.0507244137710023</v>
      </c>
      <c r="N36" s="327">
        <v>311.41371162966902</v>
      </c>
      <c r="O36" s="327">
        <v>2387.1170242235262</v>
      </c>
      <c r="Q36" s="330">
        <v>1.2998290255193601</v>
      </c>
      <c r="R36" s="371">
        <v>1.1644297121862033</v>
      </c>
    </row>
    <row r="37" spans="2:18" x14ac:dyDescent="0.2">
      <c r="B37" s="369" t="s">
        <v>516</v>
      </c>
      <c r="C37" s="17">
        <v>678</v>
      </c>
      <c r="D37" s="17" t="s">
        <v>491</v>
      </c>
      <c r="F37" s="327">
        <v>1679.5819246969959</v>
      </c>
      <c r="G37" s="329">
        <v>0.65</v>
      </c>
      <c r="H37" s="327">
        <v>1525.1468323409524</v>
      </c>
      <c r="I37" s="329">
        <v>0.61327581358557015</v>
      </c>
      <c r="K37" s="327">
        <v>1237.0578372960897</v>
      </c>
      <c r="L37" s="328">
        <v>-5.3026349842548379E-2</v>
      </c>
      <c r="M37" s="123">
        <v>0.71927133569678736</v>
      </c>
      <c r="N37" s="327">
        <v>22.216808162398593</v>
      </c>
      <c r="O37" s="327">
        <v>2065.7776096301786</v>
      </c>
      <c r="Q37" s="330">
        <v>1.2998319225756583</v>
      </c>
      <c r="R37" s="371">
        <v>1.1402109257165924</v>
      </c>
    </row>
    <row r="38" spans="2:18" x14ac:dyDescent="0.2">
      <c r="B38" s="348"/>
      <c r="C38" s="349"/>
      <c r="D38" s="349"/>
      <c r="E38" s="350"/>
      <c r="F38" s="351"/>
      <c r="G38" s="352"/>
      <c r="H38" s="351"/>
      <c r="I38" s="352"/>
      <c r="J38" s="353"/>
      <c r="K38" s="351"/>
      <c r="L38" s="354"/>
      <c r="M38" s="355"/>
      <c r="N38" s="351"/>
      <c r="O38" s="351"/>
      <c r="P38" s="353"/>
      <c r="Q38" s="356"/>
      <c r="R38" s="357"/>
    </row>
    <row r="39" spans="2:18" x14ac:dyDescent="0.2">
      <c r="B39" s="369" t="s">
        <v>499</v>
      </c>
      <c r="C39" s="17">
        <v>33.5</v>
      </c>
      <c r="D39" s="17" t="s">
        <v>276</v>
      </c>
      <c r="F39" s="327">
        <v>1626.6916030515529</v>
      </c>
      <c r="G39" s="329">
        <v>0.65</v>
      </c>
      <c r="H39" s="327">
        <v>2143.0642522911789</v>
      </c>
      <c r="I39" s="329">
        <v>0.69935341850068755</v>
      </c>
      <c r="K39" s="327">
        <v>1196.6056118049723</v>
      </c>
      <c r="L39" s="328">
        <v>0.12037616372108456</v>
      </c>
      <c r="M39" s="123">
        <v>1.6564393136431612</v>
      </c>
      <c r="N39" s="327">
        <v>819.13367836877865</v>
      </c>
      <c r="O39" s="327">
        <v>2867.8349816026857</v>
      </c>
      <c r="Q39" s="330">
        <v>1.2998251807335854</v>
      </c>
      <c r="R39" s="371">
        <v>1.1984063520834118</v>
      </c>
    </row>
    <row r="40" spans="2:18" x14ac:dyDescent="0.2">
      <c r="B40" s="369" t="s">
        <v>499</v>
      </c>
      <c r="C40" s="17">
        <v>33.5</v>
      </c>
      <c r="D40" s="17" t="s">
        <v>489</v>
      </c>
      <c r="F40" s="327">
        <v>1623.3569739265527</v>
      </c>
      <c r="G40" s="329">
        <v>0.65</v>
      </c>
      <c r="H40" s="327">
        <v>1983.9812771064296</v>
      </c>
      <c r="I40" s="329">
        <v>0.68281807055644117</v>
      </c>
      <c r="K40" s="327">
        <v>1196.9158888165173</v>
      </c>
      <c r="L40" s="328">
        <v>8.0622306466102633E-2</v>
      </c>
      <c r="M40" s="123">
        <v>1.4352204154277926</v>
      </c>
      <c r="N40" s="327">
        <v>632.43666907705972</v>
      </c>
      <c r="O40" s="327">
        <v>2660.3877120108036</v>
      </c>
      <c r="Q40" s="330">
        <v>1.2998263347346166</v>
      </c>
      <c r="R40" s="371">
        <v>1.1891094670142097</v>
      </c>
    </row>
    <row r="41" spans="2:18" x14ac:dyDescent="0.2">
      <c r="B41" s="369" t="s">
        <v>499</v>
      </c>
      <c r="C41" s="17">
        <v>33.5</v>
      </c>
      <c r="D41" s="17" t="s">
        <v>490</v>
      </c>
      <c r="F41" s="327">
        <v>1620.3557038190459</v>
      </c>
      <c r="G41" s="329">
        <v>0.65</v>
      </c>
      <c r="H41" s="327">
        <v>1840.8016369730972</v>
      </c>
      <c r="I41" s="329">
        <v>0.66631065233652176</v>
      </c>
      <c r="K41" s="327">
        <v>1197.1951478079807</v>
      </c>
      <c r="L41" s="328">
        <v>4.4109615683555606E-2</v>
      </c>
      <c r="M41" s="123">
        <v>1.2362145478392654</v>
      </c>
      <c r="N41" s="327">
        <v>464.40353665145585</v>
      </c>
      <c r="O41" s="327">
        <v>2473.6786982253006</v>
      </c>
      <c r="Q41" s="330">
        <v>1.2998275385600577</v>
      </c>
      <c r="R41" s="371">
        <v>1.1793684371121378</v>
      </c>
    </row>
    <row r="42" spans="2:18" x14ac:dyDescent="0.2">
      <c r="B42" s="369" t="s">
        <v>499</v>
      </c>
      <c r="C42" s="17">
        <v>33.5</v>
      </c>
      <c r="D42" s="17" t="s">
        <v>491</v>
      </c>
      <c r="F42" s="327">
        <v>1615.1903061241678</v>
      </c>
      <c r="G42" s="329">
        <v>0.65</v>
      </c>
      <c r="H42" s="327">
        <v>1594.3793523211723</v>
      </c>
      <c r="I42" s="329">
        <v>0.63351073508780231</v>
      </c>
      <c r="K42" s="327">
        <v>1197.6757722848249</v>
      </c>
      <c r="L42" s="328">
        <v>-2.0053053647279745E-2</v>
      </c>
      <c r="M42" s="123">
        <v>0.89382589777971122</v>
      </c>
      <c r="N42" s="327">
        <v>175.20663382869316</v>
      </c>
      <c r="O42" s="327">
        <v>2152.3392836319531</v>
      </c>
      <c r="Q42" s="330">
        <v>1.299830098267555</v>
      </c>
      <c r="R42" s="371">
        <v>1.1585081632666112</v>
      </c>
    </row>
    <row r="43" spans="2:18" x14ac:dyDescent="0.2">
      <c r="B43" s="348"/>
      <c r="C43" s="349"/>
      <c r="D43" s="349"/>
      <c r="E43" s="350"/>
      <c r="F43" s="351"/>
      <c r="G43" s="352"/>
      <c r="H43" s="351"/>
      <c r="I43" s="352"/>
      <c r="J43" s="353"/>
      <c r="K43" s="351"/>
      <c r="L43" s="354"/>
      <c r="M43" s="355"/>
      <c r="N43" s="351"/>
      <c r="O43" s="351"/>
      <c r="P43" s="353"/>
      <c r="Q43" s="356"/>
      <c r="R43" s="357"/>
    </row>
    <row r="44" spans="2:18" x14ac:dyDescent="0.2">
      <c r="B44" s="369" t="s">
        <v>500</v>
      </c>
      <c r="C44" s="17">
        <v>54.5</v>
      </c>
      <c r="D44" s="17" t="s">
        <v>276</v>
      </c>
      <c r="F44" s="327">
        <v>1622.5274934120046</v>
      </c>
      <c r="G44" s="329">
        <v>0.65</v>
      </c>
      <c r="H44" s="327">
        <v>1949.2131963465647</v>
      </c>
      <c r="I44" s="329">
        <v>0.67896331509430252</v>
      </c>
      <c r="K44" s="327">
        <v>1196.9725397683824</v>
      </c>
      <c r="L44" s="328">
        <v>7.4425092339515705E-2</v>
      </c>
      <c r="M44" s="123">
        <v>1.4038796693184508</v>
      </c>
      <c r="N44" s="327">
        <v>594.86746944381048</v>
      </c>
      <c r="O44" s="327">
        <v>2625.4622943977165</v>
      </c>
      <c r="Q44" s="330">
        <v>1.2998287497520442</v>
      </c>
      <c r="R44" s="371">
        <v>1.1622819090443117</v>
      </c>
    </row>
    <row r="45" spans="2:18" x14ac:dyDescent="0.2">
      <c r="B45" s="369" t="s">
        <v>500</v>
      </c>
      <c r="C45" s="17">
        <v>54.5</v>
      </c>
      <c r="D45" s="17" t="s">
        <v>489</v>
      </c>
      <c r="F45" s="327">
        <v>1619.1928648360058</v>
      </c>
      <c r="G45" s="329">
        <v>0.65</v>
      </c>
      <c r="H45" s="327">
        <v>1790.1302211618154</v>
      </c>
      <c r="I45" s="329">
        <v>0.66005462794128467</v>
      </c>
      <c r="K45" s="327">
        <v>1197.2828167896259</v>
      </c>
      <c r="L45" s="328">
        <v>3.3941969275474548E-2</v>
      </c>
      <c r="M45" s="123">
        <v>1.1827021848645214</v>
      </c>
      <c r="N45" s="327">
        <v>408.17045928946118</v>
      </c>
      <c r="O45" s="327">
        <v>2418.0150248058353</v>
      </c>
      <c r="Q45" s="330">
        <v>1.2998303245189546</v>
      </c>
      <c r="R45" s="371">
        <v>1.1487705064407603</v>
      </c>
    </row>
    <row r="46" spans="2:18" x14ac:dyDescent="0.2">
      <c r="B46" s="369" t="s">
        <v>500</v>
      </c>
      <c r="C46" s="17">
        <v>54.5</v>
      </c>
      <c r="D46" s="17" t="s">
        <v>490</v>
      </c>
      <c r="F46" s="327">
        <v>1616.1915953260805</v>
      </c>
      <c r="G46" s="329">
        <v>0.65</v>
      </c>
      <c r="H46" s="327">
        <v>1646.9505810284829</v>
      </c>
      <c r="I46" s="329">
        <v>0.64103792902357559</v>
      </c>
      <c r="K46" s="327">
        <v>1197.5620757916463</v>
      </c>
      <c r="L46" s="328">
        <v>-3.0400380492210384E-3</v>
      </c>
      <c r="M46" s="123">
        <v>0.98373669797497287</v>
      </c>
      <c r="N46" s="327">
        <v>240.13732592489532</v>
      </c>
      <c r="O46" s="327">
        <v>2231.3060110203314</v>
      </c>
      <c r="Q46" s="330">
        <v>1.299831991453376</v>
      </c>
      <c r="R46" s="371">
        <v>1.1343789498401291</v>
      </c>
    </row>
    <row r="47" spans="2:18" x14ac:dyDescent="0.2">
      <c r="B47" s="369" t="s">
        <v>500</v>
      </c>
      <c r="C47" s="17">
        <v>54.5</v>
      </c>
      <c r="D47" s="17" t="s">
        <v>491</v>
      </c>
      <c r="F47" s="327">
        <v>1611.0261989899539</v>
      </c>
      <c r="G47" s="329">
        <v>0.65</v>
      </c>
      <c r="H47" s="327">
        <v>1400.528296376558</v>
      </c>
      <c r="I47" s="329">
        <v>0.60283098793611556</v>
      </c>
      <c r="K47" s="327">
        <v>1247.1022793253264</v>
      </c>
      <c r="L47" s="328">
        <v>-6.7602805793285398E-2</v>
      </c>
      <c r="M47" s="123">
        <v>0.65555342310539577</v>
      </c>
      <c r="N47" s="327">
        <v>-49.059579032832289</v>
      </c>
      <c r="O47" s="327">
        <v>1909.9665964269843</v>
      </c>
      <c r="Q47" s="330">
        <v>1.2998356202276817</v>
      </c>
      <c r="R47" s="371">
        <v>1.1027232909241804</v>
      </c>
    </row>
    <row r="48" spans="2:18" x14ac:dyDescent="0.2">
      <c r="B48" s="348"/>
      <c r="C48" s="349"/>
      <c r="D48" s="349"/>
      <c r="E48" s="350"/>
      <c r="F48" s="351"/>
      <c r="G48" s="352"/>
      <c r="H48" s="351"/>
      <c r="I48" s="352"/>
      <c r="J48" s="353"/>
      <c r="K48" s="351"/>
      <c r="L48" s="354"/>
      <c r="M48" s="355"/>
      <c r="N48" s="351"/>
      <c r="O48" s="351"/>
      <c r="P48" s="353"/>
      <c r="Q48" s="356"/>
      <c r="R48" s="357"/>
    </row>
    <row r="49" spans="2:18" x14ac:dyDescent="0.2">
      <c r="B49" s="369" t="s">
        <v>501</v>
      </c>
      <c r="C49" s="17">
        <v>63.4</v>
      </c>
      <c r="D49" s="17" t="s">
        <v>276</v>
      </c>
      <c r="F49" s="327">
        <v>1626.9593446555734</v>
      </c>
      <c r="G49" s="329">
        <v>0.65</v>
      </c>
      <c r="H49" s="327">
        <v>2156.7789395549876</v>
      </c>
      <c r="I49" s="329">
        <v>0.70069754304398957</v>
      </c>
      <c r="K49" s="327">
        <v>1196.5855894552167</v>
      </c>
      <c r="L49" s="328">
        <v>0.12328827977180482</v>
      </c>
      <c r="M49" s="123">
        <v>1.6721055907267428</v>
      </c>
      <c r="N49" s="327">
        <v>834.53448624293367</v>
      </c>
      <c r="O49" s="327">
        <v>2883.5801567311119</v>
      </c>
      <c r="Q49" s="330">
        <v>1.2998246187178812</v>
      </c>
      <c r="R49" s="371">
        <v>1.1990545234514773</v>
      </c>
    </row>
    <row r="50" spans="2:18" x14ac:dyDescent="0.2">
      <c r="B50" s="369" t="s">
        <v>501</v>
      </c>
      <c r="C50" s="17">
        <v>63.4</v>
      </c>
      <c r="D50" s="17" t="s">
        <v>489</v>
      </c>
      <c r="F50" s="327">
        <v>1623.6247154904377</v>
      </c>
      <c r="G50" s="329">
        <v>0.65</v>
      </c>
      <c r="H50" s="327">
        <v>1997.6959643702396</v>
      </c>
      <c r="I50" s="329">
        <v>0.68431286835151817</v>
      </c>
      <c r="K50" s="327">
        <v>1196.8958664660529</v>
      </c>
      <c r="L50" s="328">
        <v>8.3564516901969935E-2</v>
      </c>
      <c r="M50" s="123">
        <v>1.4508789319321553</v>
      </c>
      <c r="N50" s="327">
        <v>647.83747701428013</v>
      </c>
      <c r="O50" s="327">
        <v>2676.1328871392302</v>
      </c>
      <c r="Q50" s="330">
        <v>1.2998257226020551</v>
      </c>
      <c r="R50" s="371">
        <v>1.1898731899501505</v>
      </c>
    </row>
    <row r="51" spans="2:18" x14ac:dyDescent="0.2">
      <c r="B51" s="369" t="s">
        <v>501</v>
      </c>
      <c r="C51" s="17">
        <v>63.4</v>
      </c>
      <c r="D51" s="17" t="s">
        <v>490</v>
      </c>
      <c r="F51" s="327">
        <v>1620.623445340035</v>
      </c>
      <c r="G51" s="329">
        <v>0.65</v>
      </c>
      <c r="H51" s="327">
        <v>1854.5163242369051</v>
      </c>
      <c r="I51" s="329">
        <v>0.6679638117146447</v>
      </c>
      <c r="K51" s="327">
        <v>1197.1751254567585</v>
      </c>
      <c r="L51" s="328">
        <v>4.7063609957695013E-2</v>
      </c>
      <c r="M51" s="123">
        <v>1.251866084877415</v>
      </c>
      <c r="N51" s="327">
        <v>479.80434465607368</v>
      </c>
      <c r="O51" s="327">
        <v>2489.4238733537268</v>
      </c>
      <c r="Q51" s="330">
        <v>1.2998268731911562</v>
      </c>
      <c r="R51" s="371">
        <v>1.1802632828687127</v>
      </c>
    </row>
    <row r="52" spans="2:18" x14ac:dyDescent="0.2">
      <c r="B52" s="369" t="s">
        <v>501</v>
      </c>
      <c r="C52" s="17">
        <v>63.4</v>
      </c>
      <c r="D52" s="17" t="s">
        <v>491</v>
      </c>
      <c r="F52" s="327">
        <v>1615.4580475504256</v>
      </c>
      <c r="G52" s="329">
        <v>0.65</v>
      </c>
      <c r="H52" s="327">
        <v>1608.0940395849807</v>
      </c>
      <c r="I52" s="329">
        <v>0.6355020837744334</v>
      </c>
      <c r="K52" s="327">
        <v>1197.6557499319288</v>
      </c>
      <c r="L52" s="328">
        <v>-1.7113056778907777E-2</v>
      </c>
      <c r="M52" s="123">
        <v>0.90947817436750344</v>
      </c>
      <c r="N52" s="327">
        <v>190.60744198216094</v>
      </c>
      <c r="O52" s="327">
        <v>2168.0844587603797</v>
      </c>
      <c r="Q52" s="330">
        <v>1.2998293164791168</v>
      </c>
      <c r="R52" s="371">
        <v>1.1597183283111758</v>
      </c>
    </row>
    <row r="53" spans="2:18" x14ac:dyDescent="0.2">
      <c r="B53" s="348"/>
      <c r="C53" s="349"/>
      <c r="D53" s="349"/>
      <c r="E53" s="350"/>
      <c r="F53" s="351"/>
      <c r="G53" s="352"/>
      <c r="H53" s="351"/>
      <c r="I53" s="352"/>
      <c r="J53" s="353"/>
      <c r="K53" s="351"/>
      <c r="L53" s="354"/>
      <c r="M53" s="355"/>
      <c r="N53" s="351"/>
      <c r="O53" s="351"/>
      <c r="P53" s="353"/>
      <c r="Q53" s="356"/>
      <c r="R53" s="357"/>
    </row>
    <row r="54" spans="2:18" x14ac:dyDescent="0.2">
      <c r="B54" s="369" t="s">
        <v>502</v>
      </c>
      <c r="C54" s="17">
        <v>86.4</v>
      </c>
      <c r="D54" s="17" t="s">
        <v>276</v>
      </c>
      <c r="F54" s="327">
        <v>1622.2659445106999</v>
      </c>
      <c r="G54" s="329">
        <v>0.65</v>
      </c>
      <c r="H54" s="327">
        <v>1934.9433852977022</v>
      </c>
      <c r="I54" s="329">
        <v>0.67735556480044434</v>
      </c>
      <c r="K54" s="327">
        <v>1196.9896086653582</v>
      </c>
      <c r="L54" s="328">
        <v>7.1599367260932953E-2</v>
      </c>
      <c r="M54" s="123">
        <v>1.3889759360167908</v>
      </c>
      <c r="N54" s="327">
        <v>579.13852108333072</v>
      </c>
      <c r="O54" s="327">
        <v>2609.9688160340629</v>
      </c>
      <c r="Q54" s="330">
        <v>1.2998296479946196</v>
      </c>
      <c r="R54" s="371">
        <v>1.162437025704125</v>
      </c>
    </row>
    <row r="55" spans="2:18" x14ac:dyDescent="0.2">
      <c r="B55" s="369" t="s">
        <v>502</v>
      </c>
      <c r="C55" s="17">
        <v>86.4</v>
      </c>
      <c r="D55" s="17" t="s">
        <v>489</v>
      </c>
      <c r="F55" s="327">
        <v>1618.9313160101062</v>
      </c>
      <c r="G55" s="329">
        <v>0.65</v>
      </c>
      <c r="H55" s="327">
        <v>1775.8604101129538</v>
      </c>
      <c r="I55" s="329">
        <v>0.65825236379805918</v>
      </c>
      <c r="K55" s="327">
        <v>1197.2998856879344</v>
      </c>
      <c r="L55" s="328">
        <v>3.1133118271827697E-2</v>
      </c>
      <c r="M55" s="123">
        <v>1.1678057489411895</v>
      </c>
      <c r="N55" s="327">
        <v>392.44151081050109</v>
      </c>
      <c r="O55" s="327">
        <v>2402.5215464421813</v>
      </c>
      <c r="Q55" s="330">
        <v>1.2998313097180456</v>
      </c>
      <c r="R55" s="371">
        <v>1.1488305357962854</v>
      </c>
    </row>
    <row r="56" spans="2:18" x14ac:dyDescent="0.2">
      <c r="B56" s="369" t="s">
        <v>502</v>
      </c>
      <c r="C56" s="17">
        <v>86.4</v>
      </c>
      <c r="D56" s="17" t="s">
        <v>490</v>
      </c>
      <c r="F56" s="327">
        <v>1615.9300465825327</v>
      </c>
      <c r="G56" s="329">
        <v>0.65</v>
      </c>
      <c r="H56" s="327">
        <v>1632.6807699796207</v>
      </c>
      <c r="I56" s="329">
        <v>0.63902877777110634</v>
      </c>
      <c r="K56" s="327">
        <v>1197.5791446914095</v>
      </c>
      <c r="L56" s="328">
        <v>-5.8145061135292057E-3</v>
      </c>
      <c r="M56" s="123">
        <v>0.96884657569272992</v>
      </c>
      <c r="N56" s="327">
        <v>224.40837731653733</v>
      </c>
      <c r="O56" s="327">
        <v>2215.8125326566774</v>
      </c>
      <c r="Q56" s="330">
        <v>1.299833070377481</v>
      </c>
      <c r="R56" s="371">
        <v>1.1343179893604105</v>
      </c>
    </row>
    <row r="57" spans="2:18" x14ac:dyDescent="0.2">
      <c r="B57" s="369" t="s">
        <v>502</v>
      </c>
      <c r="C57" s="17">
        <v>86.4</v>
      </c>
      <c r="D57" s="17" t="s">
        <v>491</v>
      </c>
      <c r="F57" s="327">
        <v>1610.764650434877</v>
      </c>
      <c r="G57" s="329">
        <v>0.65</v>
      </c>
      <c r="H57" s="327">
        <v>1386.2584853276967</v>
      </c>
      <c r="I57" s="329">
        <v>0.60037199345649161</v>
      </c>
      <c r="K57" s="327">
        <v>1262.8482971329145</v>
      </c>
      <c r="L57" s="328">
        <v>-7.0284715294837943E-2</v>
      </c>
      <c r="M57" s="123">
        <v>0.64571080486997467</v>
      </c>
      <c r="N57" s="327">
        <v>-64.788527937327899</v>
      </c>
      <c r="O57" s="327">
        <v>1894.4731180633305</v>
      </c>
      <c r="Q57" s="330">
        <v>1.2998369090948074</v>
      </c>
      <c r="R57" s="371">
        <v>1.1023244534635783</v>
      </c>
    </row>
    <row r="58" spans="2:18" x14ac:dyDescent="0.2">
      <c r="B58" s="348"/>
      <c r="C58" s="349"/>
      <c r="D58" s="349"/>
      <c r="E58" s="350"/>
      <c r="F58" s="351"/>
      <c r="G58" s="352"/>
      <c r="H58" s="351"/>
      <c r="I58" s="352"/>
      <c r="J58" s="353"/>
      <c r="K58" s="351"/>
      <c r="L58" s="354"/>
      <c r="M58" s="355"/>
      <c r="N58" s="351"/>
      <c r="O58" s="351"/>
      <c r="P58" s="353"/>
      <c r="Q58" s="356"/>
      <c r="R58" s="357"/>
    </row>
    <row r="59" spans="2:18" x14ac:dyDescent="0.2">
      <c r="B59" s="369" t="s">
        <v>517</v>
      </c>
      <c r="C59" s="372">
        <v>5.6000000000000001E-2</v>
      </c>
      <c r="D59" s="17" t="s">
        <v>276</v>
      </c>
      <c r="F59" s="327">
        <v>1625.2044208619691</v>
      </c>
      <c r="G59" s="329">
        <v>0.65</v>
      </c>
      <c r="H59" s="327">
        <v>2073.8317323109595</v>
      </c>
      <c r="I59" s="329">
        <v>0.69288563168992523</v>
      </c>
      <c r="K59" s="327">
        <v>1194.5234015932065</v>
      </c>
      <c r="L59" s="328">
        <v>0.10513575673103334</v>
      </c>
      <c r="M59" s="123">
        <v>1.5725952631203071</v>
      </c>
      <c r="N59" s="327">
        <v>743.14893643248342</v>
      </c>
      <c r="O59" s="327">
        <v>2781.2733076009108</v>
      </c>
      <c r="Q59" s="330">
        <v>1.2998263841687583</v>
      </c>
      <c r="R59" s="371">
        <v>1.1862791749511421</v>
      </c>
    </row>
    <row r="60" spans="2:18" x14ac:dyDescent="0.2">
      <c r="B60" s="369" t="s">
        <v>517</v>
      </c>
      <c r="C60" s="372">
        <v>5.6000000000000001E-2</v>
      </c>
      <c r="D60" s="17" t="s">
        <v>489</v>
      </c>
      <c r="F60" s="327">
        <v>1621.8697919063461</v>
      </c>
      <c r="G60" s="329">
        <v>0.65</v>
      </c>
      <c r="H60" s="327">
        <v>1914.7487571262104</v>
      </c>
      <c r="I60" s="329">
        <v>0.67557638960126087</v>
      </c>
      <c r="K60" s="327">
        <v>1194.8148769355794</v>
      </c>
      <c r="L60" s="328">
        <v>6.5075680613517761E-2</v>
      </c>
      <c r="M60" s="123">
        <v>1.3510636276464931</v>
      </c>
      <c r="N60" s="327">
        <v>556.48684426579007</v>
      </c>
      <c r="O60" s="327">
        <v>2573.8260380090292</v>
      </c>
      <c r="Q60" s="330">
        <v>1.2998276736944263</v>
      </c>
      <c r="R60" s="371">
        <v>1.1756392766328025</v>
      </c>
    </row>
    <row r="61" spans="2:18" x14ac:dyDescent="0.2">
      <c r="B61" s="369" t="s">
        <v>517</v>
      </c>
      <c r="C61" s="372">
        <v>5.6000000000000001E-2</v>
      </c>
      <c r="D61" s="17" t="s">
        <v>490</v>
      </c>
      <c r="F61" s="327">
        <v>1618.8685219816912</v>
      </c>
      <c r="G61" s="329">
        <v>0.65</v>
      </c>
      <c r="H61" s="327">
        <v>1771.5691169928778</v>
      </c>
      <c r="I61" s="329">
        <v>0.6582510780825076</v>
      </c>
      <c r="K61" s="327">
        <v>1195.0772138388127</v>
      </c>
      <c r="L61" s="328">
        <v>2.8330543637275694E-2</v>
      </c>
      <c r="M61" s="123">
        <v>1.1517023985904535</v>
      </c>
      <c r="N61" s="327">
        <v>388.48513829415811</v>
      </c>
      <c r="O61" s="327">
        <v>2387.1170242235262</v>
      </c>
      <c r="Q61" s="330">
        <v>1.2998290255193601</v>
      </c>
      <c r="R61" s="371">
        <v>1.1644297121862033</v>
      </c>
    </row>
    <row r="62" spans="2:18" x14ac:dyDescent="0.2">
      <c r="B62" s="369" t="s">
        <v>517</v>
      </c>
      <c r="C62" s="372">
        <v>5.6000000000000001E-2</v>
      </c>
      <c r="D62" s="17" t="s">
        <v>491</v>
      </c>
      <c r="F62" s="327">
        <v>1613.7031246969959</v>
      </c>
      <c r="G62" s="329">
        <v>0.65</v>
      </c>
      <c r="H62" s="327">
        <v>1525.1468323409524</v>
      </c>
      <c r="I62" s="329">
        <v>0.62369098465170636</v>
      </c>
      <c r="K62" s="327">
        <v>1195.5287142069415</v>
      </c>
      <c r="L62" s="328">
        <v>-3.6086142808198926E-2</v>
      </c>
      <c r="M62" s="123">
        <v>0.80876832633497708</v>
      </c>
      <c r="N62" s="327">
        <v>99.342322470816271</v>
      </c>
      <c r="O62" s="327">
        <v>2065.7776096301786</v>
      </c>
      <c r="Q62" s="330">
        <v>1.2998319225756583</v>
      </c>
      <c r="R62" s="371">
        <v>1.1402109257165924</v>
      </c>
    </row>
    <row r="63" spans="2:18" x14ac:dyDescent="0.2">
      <c r="B63" s="348"/>
      <c r="C63" s="373"/>
      <c r="D63" s="349"/>
      <c r="E63" s="350"/>
      <c r="F63" s="351"/>
      <c r="G63" s="352"/>
      <c r="H63" s="351"/>
      <c r="I63" s="352"/>
      <c r="J63" s="353"/>
      <c r="K63" s="351"/>
      <c r="L63" s="354"/>
      <c r="M63" s="355"/>
      <c r="N63" s="351"/>
      <c r="O63" s="351"/>
      <c r="P63" s="353"/>
      <c r="Q63" s="356"/>
      <c r="R63" s="357"/>
    </row>
    <row r="64" spans="2:18" x14ac:dyDescent="0.2">
      <c r="B64" s="369" t="s">
        <v>518</v>
      </c>
      <c r="C64" s="372">
        <v>6.4000000000000001E-2</v>
      </c>
      <c r="D64" s="17" t="s">
        <v>276</v>
      </c>
      <c r="F64" s="327">
        <v>1625.2044208619691</v>
      </c>
      <c r="G64" s="329">
        <v>0.65</v>
      </c>
      <c r="H64" s="327">
        <v>2073.8317323109595</v>
      </c>
      <c r="I64" s="329">
        <v>0.691248222108231</v>
      </c>
      <c r="K64" s="327">
        <v>1201.613222423508</v>
      </c>
      <c r="L64" s="328">
        <v>0.10167320370674135</v>
      </c>
      <c r="M64" s="123">
        <v>1.5523589438840073</v>
      </c>
      <c r="N64" s="327">
        <v>729.98212631906631</v>
      </c>
      <c r="O64" s="327">
        <v>2781.2733076009108</v>
      </c>
      <c r="Q64" s="330">
        <v>1.2998263841687583</v>
      </c>
      <c r="R64" s="371">
        <v>1.1862791749511421</v>
      </c>
    </row>
    <row r="65" spans="2:18" x14ac:dyDescent="0.2">
      <c r="B65" s="369" t="s">
        <v>518</v>
      </c>
      <c r="C65" s="372">
        <v>6.4000000000000001E-2</v>
      </c>
      <c r="D65" s="17" t="s">
        <v>489</v>
      </c>
      <c r="F65" s="327">
        <v>1621.8697919063461</v>
      </c>
      <c r="G65" s="329">
        <v>0.65</v>
      </c>
      <c r="H65" s="327">
        <v>1914.7487571262104</v>
      </c>
      <c r="I65" s="329">
        <v>0.67387639638289665</v>
      </c>
      <c r="K65" s="327">
        <v>1201.9648478841868</v>
      </c>
      <c r="L65" s="328">
        <v>6.1674651503562924E-2</v>
      </c>
      <c r="M65" s="123">
        <v>1.3319793896974739</v>
      </c>
      <c r="N65" s="327">
        <v>543.20832678980423</v>
      </c>
      <c r="O65" s="327">
        <v>2573.8260380090292</v>
      </c>
      <c r="Q65" s="330">
        <v>1.2998276736944263</v>
      </c>
      <c r="R65" s="371">
        <v>1.1756392766328025</v>
      </c>
    </row>
    <row r="66" spans="2:18" x14ac:dyDescent="0.2">
      <c r="B66" s="369" t="s">
        <v>518</v>
      </c>
      <c r="C66" s="372">
        <v>6.4000000000000001E-2</v>
      </c>
      <c r="D66" s="17" t="s">
        <v>490</v>
      </c>
      <c r="F66" s="327">
        <v>1618.8685219816912</v>
      </c>
      <c r="G66" s="329">
        <v>0.65</v>
      </c>
      <c r="H66" s="327">
        <v>1771.5691169928778</v>
      </c>
      <c r="I66" s="329">
        <v>0.65649378456189877</v>
      </c>
      <c r="K66" s="327">
        <v>1202.2813217702594</v>
      </c>
      <c r="L66" s="328">
        <v>2.5012752413749697E-2</v>
      </c>
      <c r="M66" s="123">
        <v>1.1336733020896379</v>
      </c>
      <c r="N66" s="327">
        <v>375.10608070718581</v>
      </c>
      <c r="O66" s="327">
        <v>2387.1170242235262</v>
      </c>
      <c r="Q66" s="330">
        <v>1.2998290255193601</v>
      </c>
      <c r="R66" s="371">
        <v>1.1644297121862033</v>
      </c>
    </row>
    <row r="67" spans="2:18" x14ac:dyDescent="0.2">
      <c r="B67" s="369" t="s">
        <v>518</v>
      </c>
      <c r="C67" s="372">
        <v>6.4000000000000001E-2</v>
      </c>
      <c r="D67" s="17" t="s">
        <v>491</v>
      </c>
      <c r="F67" s="327">
        <v>1613.7031246969959</v>
      </c>
      <c r="G67" s="329">
        <v>0.65</v>
      </c>
      <c r="H67" s="327">
        <v>1525.1468323409524</v>
      </c>
      <c r="I67" s="329">
        <v>0.6218353421487659</v>
      </c>
      <c r="K67" s="327">
        <v>1202.8259957138723</v>
      </c>
      <c r="L67" s="328">
        <v>-3.9199208468198771E-2</v>
      </c>
      <c r="M67" s="123">
        <v>0.7925948278841336</v>
      </c>
      <c r="N67" s="327">
        <v>85.790228243659385</v>
      </c>
      <c r="O67" s="327">
        <v>2065.7776096301786</v>
      </c>
      <c r="Q67" s="330">
        <v>1.2998319225756583</v>
      </c>
      <c r="R67" s="371">
        <v>1.1402109257165924</v>
      </c>
    </row>
    <row r="68" spans="2:18" x14ac:dyDescent="0.2">
      <c r="B68" s="348"/>
      <c r="C68" s="349"/>
      <c r="D68" s="349"/>
      <c r="E68" s="350"/>
      <c r="F68" s="351"/>
      <c r="G68" s="352"/>
      <c r="H68" s="351"/>
      <c r="I68" s="352"/>
      <c r="J68" s="353"/>
      <c r="K68" s="351"/>
      <c r="L68" s="354"/>
      <c r="M68" s="355"/>
      <c r="N68" s="351"/>
      <c r="O68" s="351"/>
      <c r="P68" s="353"/>
      <c r="Q68" s="356"/>
      <c r="R68" s="357"/>
    </row>
    <row r="69" spans="2:18" x14ac:dyDescent="0.2">
      <c r="B69" s="369" t="s">
        <v>504</v>
      </c>
      <c r="C69" s="374">
        <v>5.6000000000000001E-2</v>
      </c>
      <c r="D69" s="17" t="s">
        <v>276</v>
      </c>
      <c r="F69" s="327">
        <v>1624.8903072532798</v>
      </c>
      <c r="G69" s="329">
        <v>0.65</v>
      </c>
      <c r="H69" s="327">
        <v>2101.8711631928163</v>
      </c>
      <c r="I69" s="329">
        <v>0.69522799367323718</v>
      </c>
      <c r="K69" s="327">
        <v>1196.7311083676104</v>
      </c>
      <c r="L69" s="328">
        <v>0.1064864456653595</v>
      </c>
      <c r="M69" s="123">
        <v>1.5727549844328239</v>
      </c>
      <c r="N69" s="327">
        <v>767.57159215326556</v>
      </c>
      <c r="O69" s="327">
        <v>2781.2733076009108</v>
      </c>
      <c r="Q69" s="330">
        <v>1.2996363220902438</v>
      </c>
      <c r="R69" s="371">
        <v>1.2051023969278294</v>
      </c>
    </row>
    <row r="70" spans="2:18" x14ac:dyDescent="0.2">
      <c r="B70" s="369" t="s">
        <v>504</v>
      </c>
      <c r="C70" s="374">
        <v>5.6000000000000001E-2</v>
      </c>
      <c r="D70" s="17" t="s">
        <v>489</v>
      </c>
      <c r="F70" s="327">
        <v>1621.5792507751185</v>
      </c>
      <c r="G70" s="329">
        <v>0.65</v>
      </c>
      <c r="H70" s="327">
        <v>1940.5871626881828</v>
      </c>
      <c r="I70" s="329">
        <v>0.67797938963811022</v>
      </c>
      <c r="K70" s="327">
        <v>1197.0418018138703</v>
      </c>
      <c r="L70" s="328">
        <v>6.5893402695655828E-2</v>
      </c>
      <c r="M70" s="123">
        <v>1.3510856696237468</v>
      </c>
      <c r="N70" s="327">
        <v>578.63651855238538</v>
      </c>
      <c r="O70" s="327">
        <v>2573.8260380090292</v>
      </c>
      <c r="Q70" s="330">
        <v>1.2996390050430142</v>
      </c>
      <c r="R70" s="371">
        <v>1.1943252900552639</v>
      </c>
    </row>
    <row r="71" spans="2:18" x14ac:dyDescent="0.2">
      <c r="B71" s="369" t="s">
        <v>504</v>
      </c>
      <c r="C71" s="374">
        <v>5.6000000000000001E-2</v>
      </c>
      <c r="D71" s="17" t="s">
        <v>490</v>
      </c>
      <c r="F71" s="327">
        <v>1618.5991969815091</v>
      </c>
      <c r="G71" s="329">
        <v>0.65</v>
      </c>
      <c r="H71" s="327">
        <v>1795.4265311077161</v>
      </c>
      <c r="I71" s="329">
        <v>0.66070780620048386</v>
      </c>
      <c r="K71" s="327">
        <v>1197.321435613037</v>
      </c>
      <c r="L71" s="328">
        <v>2.8661122918128969E-2</v>
      </c>
      <c r="M71" s="123">
        <v>1.151595412974231</v>
      </c>
      <c r="N71" s="327">
        <v>408.58905812527894</v>
      </c>
      <c r="O71" s="327">
        <v>2387.1170242235262</v>
      </c>
      <c r="Q71" s="330">
        <v>1.2996418178554507</v>
      </c>
      <c r="R71" s="371">
        <v>1.1829705538620177</v>
      </c>
    </row>
    <row r="72" spans="2:18" x14ac:dyDescent="0.2">
      <c r="B72" s="369" t="s">
        <v>504</v>
      </c>
      <c r="C72" s="374">
        <v>5.6000000000000001E-2</v>
      </c>
      <c r="D72" s="17" t="s">
        <v>491</v>
      </c>
      <c r="F72" s="327">
        <v>1613.4703146573622</v>
      </c>
      <c r="G72" s="329">
        <v>0.65</v>
      </c>
      <c r="H72" s="327">
        <v>1545.5948201028282</v>
      </c>
      <c r="I72" s="329">
        <v>0.62623405385020536</v>
      </c>
      <c r="K72" s="327">
        <v>1197.8027051709394</v>
      </c>
      <c r="L72" s="328">
        <v>-3.6577813327312476E-2</v>
      </c>
      <c r="M72" s="123">
        <v>0.8084499977703139</v>
      </c>
      <c r="N72" s="327">
        <v>115.92535344843986</v>
      </c>
      <c r="O72" s="327">
        <v>2065.7776096301786</v>
      </c>
      <c r="Q72" s="330">
        <v>1.299647846752003</v>
      </c>
      <c r="R72" s="371">
        <v>1.1584359553571375</v>
      </c>
    </row>
    <row r="73" spans="2:18" x14ac:dyDescent="0.2">
      <c r="B73" s="348"/>
      <c r="C73" s="373"/>
      <c r="D73" s="349"/>
      <c r="E73" s="350"/>
      <c r="F73" s="351"/>
      <c r="G73" s="352"/>
      <c r="H73" s="351"/>
      <c r="I73" s="352"/>
      <c r="J73" s="353"/>
      <c r="K73" s="351"/>
      <c r="L73" s="354"/>
      <c r="M73" s="355"/>
      <c r="N73" s="351"/>
      <c r="O73" s="351"/>
      <c r="P73" s="353"/>
      <c r="Q73" s="356"/>
      <c r="R73" s="357"/>
    </row>
    <row r="74" spans="2:18" x14ac:dyDescent="0.2">
      <c r="B74" s="369" t="s">
        <v>505</v>
      </c>
      <c r="C74" s="374">
        <v>6.2E-2</v>
      </c>
      <c r="D74" s="17" t="s">
        <v>276</v>
      </c>
      <c r="F74" s="327">
        <v>1625.5090499116857</v>
      </c>
      <c r="G74" s="329">
        <v>0.65</v>
      </c>
      <c r="H74" s="327">
        <v>2046.381365645608</v>
      </c>
      <c r="I74" s="329">
        <v>0.68952703297571305</v>
      </c>
      <c r="K74" s="327">
        <v>1196.7420390842167</v>
      </c>
      <c r="L74" s="328">
        <v>0.10171775221824647</v>
      </c>
      <c r="M74" s="123">
        <v>1.5599725465501266</v>
      </c>
      <c r="N74" s="327">
        <v>711.10958292162513</v>
      </c>
      <c r="O74" s="327">
        <v>2781.2733076009108</v>
      </c>
      <c r="Q74" s="330">
        <v>1.299944778753267</v>
      </c>
      <c r="R74" s="371">
        <v>1.168643021067503</v>
      </c>
    </row>
    <row r="75" spans="2:18" x14ac:dyDescent="0.2">
      <c r="B75" s="369" t="s">
        <v>505</v>
      </c>
      <c r="C75" s="374">
        <v>6.2E-2</v>
      </c>
      <c r="D75" s="17" t="s">
        <v>489</v>
      </c>
      <c r="F75" s="327">
        <v>1622.1515793013136</v>
      </c>
      <c r="G75" s="329">
        <v>0.65</v>
      </c>
      <c r="H75" s="327">
        <v>1889.4526396777092</v>
      </c>
      <c r="I75" s="329">
        <v>0.67211950422901356</v>
      </c>
      <c r="K75" s="327">
        <v>1197.0519125777566</v>
      </c>
      <c r="L75" s="328">
        <v>6.2212464213371288E-2</v>
      </c>
      <c r="M75" s="123">
        <v>1.3392961204758724</v>
      </c>
      <c r="N75" s="327">
        <v>526.60271298406451</v>
      </c>
      <c r="O75" s="327">
        <v>2573.8260380090292</v>
      </c>
      <c r="Q75" s="330">
        <v>1.2999451916626148</v>
      </c>
      <c r="R75" s="371">
        <v>1.1581307480117755</v>
      </c>
    </row>
    <row r="76" spans="2:18" x14ac:dyDescent="0.2">
      <c r="B76" s="369" t="s">
        <v>505</v>
      </c>
      <c r="C76" s="374">
        <v>6.2E-2</v>
      </c>
      <c r="D76" s="17" t="s">
        <v>490</v>
      </c>
      <c r="F76" s="327">
        <v>1619.1297510689474</v>
      </c>
      <c r="G76" s="329">
        <v>0.65</v>
      </c>
      <c r="H76" s="327">
        <v>1748.211891039635</v>
      </c>
      <c r="I76" s="329">
        <v>0.65470615492389261</v>
      </c>
      <c r="K76" s="327">
        <v>1197.3308083890936</v>
      </c>
      <c r="L76" s="328">
        <v>2.5991371273994448E-2</v>
      </c>
      <c r="M76" s="123">
        <v>1.1407023212500824</v>
      </c>
      <c r="N76" s="327">
        <v>360.54077441549487</v>
      </c>
      <c r="O76" s="327">
        <v>2387.1170242235262</v>
      </c>
      <c r="Q76" s="330">
        <v>1.299945624483535</v>
      </c>
      <c r="R76" s="371">
        <v>1.1470562417526922</v>
      </c>
    </row>
    <row r="77" spans="2:18" x14ac:dyDescent="0.2">
      <c r="B77" s="369" t="s">
        <v>505</v>
      </c>
      <c r="C77" s="374">
        <v>6.2E-2</v>
      </c>
      <c r="D77" s="17" t="s">
        <v>491</v>
      </c>
      <c r="F77" s="327">
        <v>1613.928971164833</v>
      </c>
      <c r="G77" s="329">
        <v>0.65</v>
      </c>
      <c r="H77" s="327">
        <v>1505.1265757466847</v>
      </c>
      <c r="I77" s="329">
        <v>0.62000130907958995</v>
      </c>
      <c r="K77" s="327">
        <v>1197.8108078033258</v>
      </c>
      <c r="L77" s="328">
        <v>-3.7511055916547784E-2</v>
      </c>
      <c r="M77" s="123">
        <v>0.79909732723349558</v>
      </c>
      <c r="N77" s="327">
        <v>74.736435950327859</v>
      </c>
      <c r="O77" s="327">
        <v>2065.7776096301786</v>
      </c>
      <c r="Q77" s="330">
        <v>1.2999465519211835</v>
      </c>
      <c r="R77" s="371">
        <v>1.1231313558351301</v>
      </c>
    </row>
    <row r="78" spans="2:18" x14ac:dyDescent="0.2">
      <c r="B78" s="348"/>
      <c r="C78" s="373"/>
      <c r="D78" s="349"/>
      <c r="E78" s="350"/>
      <c r="F78" s="351"/>
      <c r="G78" s="352"/>
      <c r="H78" s="351"/>
      <c r="I78" s="352"/>
      <c r="J78" s="353"/>
      <c r="K78" s="351"/>
      <c r="L78" s="354"/>
      <c r="M78" s="355"/>
      <c r="N78" s="351"/>
      <c r="O78" s="351"/>
      <c r="P78" s="353"/>
      <c r="Q78" s="356"/>
      <c r="R78" s="357"/>
    </row>
    <row r="79" spans="2:18" x14ac:dyDescent="0.2">
      <c r="B79" s="369" t="s">
        <v>506</v>
      </c>
      <c r="C79" s="374">
        <v>6.3E-2</v>
      </c>
      <c r="D79" s="17" t="s">
        <v>276</v>
      </c>
      <c r="F79" s="327">
        <v>1624.9932828549581</v>
      </c>
      <c r="G79" s="329">
        <v>0.65</v>
      </c>
      <c r="H79" s="327">
        <v>2092.458287226169</v>
      </c>
      <c r="I79" s="329">
        <v>0.69427571513387842</v>
      </c>
      <c r="K79" s="327">
        <v>1196.7329275360548</v>
      </c>
      <c r="L79" s="328">
        <v>0.10567424893379215</v>
      </c>
      <c r="M79" s="123">
        <v>1.570538850181447</v>
      </c>
      <c r="N79" s="327">
        <v>757.99691372835355</v>
      </c>
      <c r="O79" s="327">
        <v>2781.2733076009108</v>
      </c>
      <c r="Q79" s="330">
        <v>1.2999421478754871</v>
      </c>
      <c r="R79" s="371">
        <v>1.1986119586922013</v>
      </c>
    </row>
    <row r="80" spans="2:18" x14ac:dyDescent="0.2">
      <c r="B80" s="369" t="s">
        <v>506</v>
      </c>
      <c r="C80" s="374">
        <v>6.3E-2</v>
      </c>
      <c r="D80" s="17" t="s">
        <v>489</v>
      </c>
      <c r="F80" s="327">
        <v>1621.6745320822524</v>
      </c>
      <c r="G80" s="329">
        <v>0.65</v>
      </c>
      <c r="H80" s="327">
        <v>1931.9132349158174</v>
      </c>
      <c r="I80" s="329">
        <v>0.6770001746878056</v>
      </c>
      <c r="K80" s="327">
        <v>1197.0434850547974</v>
      </c>
      <c r="L80" s="328">
        <v>6.5261694788932817E-2</v>
      </c>
      <c r="M80" s="123">
        <v>1.3490385669879081</v>
      </c>
      <c r="N80" s="327">
        <v>569.81287813479514</v>
      </c>
      <c r="O80" s="327">
        <v>2573.8260380090292</v>
      </c>
      <c r="Q80" s="330">
        <v>1.2999425748738493</v>
      </c>
      <c r="R80" s="371">
        <v>1.1878825570000349</v>
      </c>
    </row>
    <row r="81" spans="2:18" x14ac:dyDescent="0.2">
      <c r="B81" s="369" t="s">
        <v>506</v>
      </c>
      <c r="C81" s="374">
        <v>6.3E-2</v>
      </c>
      <c r="D81" s="17" t="s">
        <v>490</v>
      </c>
      <c r="F81" s="327">
        <v>1618.6875529123513</v>
      </c>
      <c r="G81" s="329">
        <v>0.65</v>
      </c>
      <c r="H81" s="327">
        <v>1787.4176797611069</v>
      </c>
      <c r="I81" s="329">
        <v>0.65970450277823256</v>
      </c>
      <c r="K81" s="327">
        <v>1197.3229965101682</v>
      </c>
      <c r="L81" s="328">
        <v>2.8211084008216855E-2</v>
      </c>
      <c r="M81" s="123">
        <v>1.1497898904820623</v>
      </c>
      <c r="N81" s="327">
        <v>400.4413757684157</v>
      </c>
      <c r="O81" s="327">
        <v>2387.1170242235262</v>
      </c>
      <c r="Q81" s="330">
        <v>1.2999430225364697</v>
      </c>
      <c r="R81" s="371">
        <v>1.1765782843393759</v>
      </c>
    </row>
    <row r="82" spans="2:18" x14ac:dyDescent="0.2">
      <c r="B82" s="369" t="s">
        <v>506</v>
      </c>
      <c r="C82" s="374">
        <v>6.3E-2</v>
      </c>
      <c r="D82" s="17" t="s">
        <v>491</v>
      </c>
      <c r="F82" s="327">
        <v>1613.5467507110966</v>
      </c>
      <c r="G82" s="329">
        <v>0.65</v>
      </c>
      <c r="H82" s="327">
        <v>1538.7306123113365</v>
      </c>
      <c r="I82" s="329">
        <v>0.625191295684005</v>
      </c>
      <c r="K82" s="327">
        <v>1197.8040554913523</v>
      </c>
      <c r="L82" s="328">
        <v>-3.6704340577125558E-2</v>
      </c>
      <c r="M82" s="123">
        <v>0.80703724650265385</v>
      </c>
      <c r="N82" s="327">
        <v>108.94104399021762</v>
      </c>
      <c r="O82" s="327">
        <v>2065.7776096301786</v>
      </c>
      <c r="Q82" s="330">
        <v>1.2999439820316578</v>
      </c>
      <c r="R82" s="371">
        <v>1.1521534302019476</v>
      </c>
    </row>
    <row r="83" spans="2:18" x14ac:dyDescent="0.2">
      <c r="B83" s="348"/>
      <c r="C83" s="373"/>
      <c r="D83" s="349"/>
      <c r="E83" s="350"/>
      <c r="F83" s="351"/>
      <c r="G83" s="352"/>
      <c r="H83" s="351"/>
      <c r="I83" s="352"/>
      <c r="J83" s="353"/>
      <c r="K83" s="351"/>
      <c r="L83" s="354"/>
      <c r="M83" s="355"/>
      <c r="N83" s="351"/>
      <c r="O83" s="351"/>
      <c r="P83" s="353"/>
      <c r="Q83" s="356"/>
      <c r="R83" s="357"/>
    </row>
    <row r="84" spans="2:18" x14ac:dyDescent="0.2">
      <c r="B84" s="369" t="s">
        <v>507</v>
      </c>
      <c r="C84" s="374">
        <v>6.9000000000000006E-2</v>
      </c>
      <c r="D84" s="17" t="s">
        <v>276</v>
      </c>
      <c r="F84" s="327">
        <v>1625.4116206461347</v>
      </c>
      <c r="G84" s="329">
        <v>0.65</v>
      </c>
      <c r="H84" s="327">
        <v>2055.4669744595117</v>
      </c>
      <c r="I84" s="329">
        <v>0.69047501034447811</v>
      </c>
      <c r="K84" s="327">
        <v>1196.7403178974255</v>
      </c>
      <c r="L84" s="328">
        <v>0.10246126055717469</v>
      </c>
      <c r="M84" s="123">
        <v>1.5619310964712467</v>
      </c>
      <c r="N84" s="327">
        <v>720.34827940305559</v>
      </c>
      <c r="O84" s="327">
        <v>2781.2733076009108</v>
      </c>
      <c r="Q84" s="330">
        <v>1.2996528563756946</v>
      </c>
      <c r="R84" s="371">
        <v>1.1744807584835155</v>
      </c>
    </row>
    <row r="85" spans="2:18" x14ac:dyDescent="0.2">
      <c r="B85" s="369" t="s">
        <v>507</v>
      </c>
      <c r="C85" s="374">
        <v>6.9000000000000006E-2</v>
      </c>
      <c r="D85" s="17" t="s">
        <v>489</v>
      </c>
      <c r="F85" s="327">
        <v>1622.0614133552301</v>
      </c>
      <c r="G85" s="329">
        <v>0.65</v>
      </c>
      <c r="H85" s="327">
        <v>1897.8252877642085</v>
      </c>
      <c r="I85" s="329">
        <v>0.67309352212926676</v>
      </c>
      <c r="K85" s="327">
        <v>1197.0503197048702</v>
      </c>
      <c r="L85" s="328">
        <v>6.2767782807350167E-2</v>
      </c>
      <c r="M85" s="123">
        <v>1.3409958994979714</v>
      </c>
      <c r="N85" s="327">
        <v>535.11703610319523</v>
      </c>
      <c r="O85" s="327">
        <v>2573.8260380090292</v>
      </c>
      <c r="Q85" s="330">
        <v>1.2996554508164018</v>
      </c>
      <c r="R85" s="371">
        <v>1.1639260229772403</v>
      </c>
    </row>
    <row r="86" spans="2:18" x14ac:dyDescent="0.2">
      <c r="B86" s="369" t="s">
        <v>507</v>
      </c>
      <c r="C86" s="374">
        <v>6.9000000000000006E-2</v>
      </c>
      <c r="D86" s="17" t="s">
        <v>490</v>
      </c>
      <c r="F86" s="327">
        <v>1619.0461226042707</v>
      </c>
      <c r="G86" s="329">
        <v>0.65</v>
      </c>
      <c r="H86" s="327">
        <v>1755.9428522312267</v>
      </c>
      <c r="I86" s="329">
        <v>0.65570334209786962</v>
      </c>
      <c r="K86" s="327">
        <v>1197.3293310074471</v>
      </c>
      <c r="L86" s="328">
        <v>2.638044059276581E-2</v>
      </c>
      <c r="M86" s="123">
        <v>1.1422552216436725</v>
      </c>
      <c r="N86" s="327">
        <v>368.40313849228403</v>
      </c>
      <c r="O86" s="327">
        <v>2387.1170242235262</v>
      </c>
      <c r="Q86" s="330">
        <v>1.2996581703875476</v>
      </c>
      <c r="R86" s="371">
        <v>1.1528065866398463</v>
      </c>
    </row>
    <row r="87" spans="2:18" x14ac:dyDescent="0.2">
      <c r="B87" s="369" t="s">
        <v>507</v>
      </c>
      <c r="C87" s="374">
        <v>6.9000000000000006E-2</v>
      </c>
      <c r="D87" s="17" t="s">
        <v>491</v>
      </c>
      <c r="F87" s="327">
        <v>1613.8565949708798</v>
      </c>
      <c r="G87" s="329">
        <v>0.65</v>
      </c>
      <c r="H87" s="327">
        <v>1511.7531484195804</v>
      </c>
      <c r="I87" s="329">
        <v>0.62103607880996581</v>
      </c>
      <c r="K87" s="327">
        <v>1197.8095292044536</v>
      </c>
      <c r="L87" s="328">
        <v>-3.7402395904064176E-2</v>
      </c>
      <c r="M87" s="123">
        <v>0.80042906878383635</v>
      </c>
      <c r="N87" s="327">
        <v>81.476731154683193</v>
      </c>
      <c r="O87" s="327">
        <v>2065.7776096301786</v>
      </c>
      <c r="Q87" s="330">
        <v>1.2996639978841817</v>
      </c>
      <c r="R87" s="371">
        <v>1.1287839470321457</v>
      </c>
    </row>
    <row r="88" spans="2:18" x14ac:dyDescent="0.2">
      <c r="B88" s="348"/>
      <c r="C88" s="349"/>
      <c r="D88" s="349"/>
      <c r="E88" s="350"/>
      <c r="F88" s="351"/>
      <c r="G88" s="352"/>
      <c r="H88" s="351"/>
      <c r="I88" s="352"/>
      <c r="J88" s="353"/>
      <c r="K88" s="351"/>
      <c r="L88" s="354"/>
      <c r="M88" s="355"/>
      <c r="N88" s="351"/>
      <c r="O88" s="351"/>
      <c r="P88" s="353"/>
      <c r="Q88" s="356"/>
      <c r="R88" s="357"/>
    </row>
    <row r="89" spans="2:18" x14ac:dyDescent="0.2">
      <c r="B89" s="369" t="s">
        <v>508</v>
      </c>
      <c r="C89" s="374">
        <v>1.4999999999999999E-2</v>
      </c>
      <c r="D89" s="17" t="s">
        <v>276</v>
      </c>
      <c r="F89" s="327">
        <v>1622.4360647605827</v>
      </c>
      <c r="G89" s="329">
        <v>0.65</v>
      </c>
      <c r="H89" s="327">
        <v>1875.1383338190328</v>
      </c>
      <c r="I89" s="329">
        <v>0.67050421218270539</v>
      </c>
      <c r="K89" s="327">
        <v>1196.7899935330784</v>
      </c>
      <c r="L89" s="328">
        <v>7.2966453433036829E-2</v>
      </c>
      <c r="M89" s="123">
        <v>1.4095734521437184</v>
      </c>
      <c r="N89" s="327">
        <v>533.61102992305496</v>
      </c>
      <c r="O89" s="327">
        <v>2593.6817510514202</v>
      </c>
      <c r="Q89" s="330">
        <v>1.2998479779954417</v>
      </c>
      <c r="R89" s="371">
        <v>1.2599589917570106</v>
      </c>
    </row>
    <row r="90" spans="2:18" x14ac:dyDescent="0.2">
      <c r="B90" s="369" t="s">
        <v>508</v>
      </c>
      <c r="C90" s="374">
        <v>1.4999999999999999E-2</v>
      </c>
      <c r="D90" s="17" t="s">
        <v>489</v>
      </c>
      <c r="F90" s="327">
        <v>1619.235877014728</v>
      </c>
      <c r="G90" s="329">
        <v>0.65</v>
      </c>
      <c r="H90" s="327">
        <v>1725.7045582057235</v>
      </c>
      <c r="I90" s="329">
        <v>0.65182832247916012</v>
      </c>
      <c r="K90" s="327">
        <v>1197.0976803902747</v>
      </c>
      <c r="L90" s="328">
        <v>3.5189500451087943E-2</v>
      </c>
      <c r="M90" s="123">
        <v>1.1960395203458625</v>
      </c>
      <c r="N90" s="327">
        <v>356.89025220328085</v>
      </c>
      <c r="O90" s="327">
        <v>2395.3445393718885</v>
      </c>
      <c r="Q90" s="330">
        <v>1.2998499840280502</v>
      </c>
      <c r="R90" s="371">
        <v>1.250632735613799</v>
      </c>
    </row>
    <row r="91" spans="2:18" x14ac:dyDescent="0.2">
      <c r="B91" s="369" t="s">
        <v>508</v>
      </c>
      <c r="C91" s="374">
        <v>1.4999999999999999E-2</v>
      </c>
      <c r="D91" s="17" t="s">
        <v>490</v>
      </c>
      <c r="F91" s="327">
        <v>1616.355608454523</v>
      </c>
      <c r="G91" s="329">
        <v>0.65</v>
      </c>
      <c r="H91" s="327">
        <v>1591.2094986858015</v>
      </c>
      <c r="I91" s="329">
        <v>0.6331244142725011</v>
      </c>
      <c r="K91" s="327">
        <v>1197.374608164009</v>
      </c>
      <c r="L91" s="328">
        <v>7.1282088756561288E-4</v>
      </c>
      <c r="M91" s="123">
        <v>1.0039476025221219</v>
      </c>
      <c r="N91" s="327">
        <v>197.8360392166237</v>
      </c>
      <c r="O91" s="327">
        <v>2216.8348618885193</v>
      </c>
      <c r="Q91" s="330">
        <v>1.2998520921617109</v>
      </c>
      <c r="R91" s="371">
        <v>1.2407408051818554</v>
      </c>
    </row>
    <row r="92" spans="2:18" x14ac:dyDescent="0.2">
      <c r="B92" s="369" t="s">
        <v>508</v>
      </c>
      <c r="C92" s="374">
        <v>1.4999999999999999E-2</v>
      </c>
      <c r="D92" s="17" t="s">
        <v>491</v>
      </c>
      <c r="F92" s="327">
        <v>1611.3984633351336</v>
      </c>
      <c r="G92" s="329">
        <v>0.65</v>
      </c>
      <c r="H92" s="327">
        <v>1359.733991341097</v>
      </c>
      <c r="I92" s="329">
        <v>0.59578237819594915</v>
      </c>
      <c r="K92" s="327">
        <v>1273.7587293851802</v>
      </c>
      <c r="L92" s="328">
        <v>-5.9451790153980257E-2</v>
      </c>
      <c r="M92" s="123">
        <v>0.69301927812027153</v>
      </c>
      <c r="N92" s="327">
        <v>-75.907508928571588</v>
      </c>
      <c r="O92" s="327">
        <v>1909.6070848319059</v>
      </c>
      <c r="Q92" s="330">
        <v>1.2998566270638092</v>
      </c>
      <c r="R92" s="371">
        <v>1.2191330833017449</v>
      </c>
    </row>
    <row r="93" spans="2:18" x14ac:dyDescent="0.2">
      <c r="B93" s="348"/>
      <c r="C93" s="373"/>
      <c r="D93" s="349"/>
      <c r="E93" s="350"/>
      <c r="F93" s="351"/>
      <c r="G93" s="352"/>
      <c r="H93" s="351"/>
      <c r="I93" s="352"/>
      <c r="J93" s="353"/>
      <c r="K93" s="351"/>
      <c r="L93" s="354"/>
      <c r="M93" s="355"/>
      <c r="N93" s="351"/>
      <c r="O93" s="351"/>
      <c r="P93" s="353"/>
      <c r="Q93" s="356"/>
      <c r="R93" s="357"/>
    </row>
    <row r="94" spans="2:18" x14ac:dyDescent="0.2">
      <c r="B94" s="369" t="s">
        <v>509</v>
      </c>
      <c r="C94" s="374">
        <v>2.5000000000000001E-2</v>
      </c>
      <c r="D94" s="17" t="s">
        <v>276</v>
      </c>
      <c r="F94" s="327">
        <v>1628.1249923596699</v>
      </c>
      <c r="G94" s="329">
        <v>0.65</v>
      </c>
      <c r="H94" s="327">
        <v>2286.4609462475005</v>
      </c>
      <c r="I94" s="329">
        <v>0.71277562938423322</v>
      </c>
      <c r="K94" s="327">
        <v>1196.6851061768</v>
      </c>
      <c r="L94" s="328">
        <v>0.13787874579429624</v>
      </c>
      <c r="M94" s="123">
        <v>1.7269474941401963</v>
      </c>
      <c r="N94" s="327">
        <v>958.29540438175286</v>
      </c>
      <c r="O94" s="327">
        <v>2976.310032940798</v>
      </c>
      <c r="Q94" s="330">
        <v>1.299804942875687</v>
      </c>
      <c r="R94" s="371">
        <v>1.1194495068017081</v>
      </c>
    </row>
    <row r="95" spans="2:18" x14ac:dyDescent="0.2">
      <c r="B95" s="369" t="s">
        <v>509</v>
      </c>
      <c r="C95" s="374">
        <v>2.5000000000000001E-2</v>
      </c>
      <c r="D95" s="17" t="s">
        <v>489</v>
      </c>
      <c r="F95" s="327">
        <v>1624.6485298820344</v>
      </c>
      <c r="G95" s="329">
        <v>0.65</v>
      </c>
      <c r="H95" s="327">
        <v>2117.0520028344954</v>
      </c>
      <c r="I95" s="329">
        <v>0.69668953250983234</v>
      </c>
      <c r="K95" s="327">
        <v>1196.9978866734753</v>
      </c>
      <c r="L95" s="328">
        <v>9.5570334792137127E-2</v>
      </c>
      <c r="M95" s="123">
        <v>1.4978395666667523</v>
      </c>
      <c r="N95" s="327">
        <v>760.95057101901295</v>
      </c>
      <c r="O95" s="327">
        <v>2759.39114375386</v>
      </c>
      <c r="Q95" s="330">
        <v>1.2998055883652191</v>
      </c>
      <c r="R95" s="371">
        <v>1.1079972835739145</v>
      </c>
    </row>
    <row r="96" spans="2:18" x14ac:dyDescent="0.2">
      <c r="B96" s="369" t="s">
        <v>509</v>
      </c>
      <c r="C96" s="374">
        <v>2.5000000000000001E-2</v>
      </c>
      <c r="D96" s="17" t="s">
        <v>490</v>
      </c>
      <c r="F96" s="327">
        <v>1621.5196052939086</v>
      </c>
      <c r="G96" s="329">
        <v>0.65</v>
      </c>
      <c r="H96" s="327">
        <v>1964.578669185355</v>
      </c>
      <c r="I96" s="329">
        <v>0.68060006217160962</v>
      </c>
      <c r="K96" s="327">
        <v>1197.3979400510841</v>
      </c>
      <c r="L96" s="328">
        <v>5.6522014737129214E-2</v>
      </c>
      <c r="M96" s="123">
        <v>1.2916097626341707</v>
      </c>
      <c r="N96" s="327">
        <v>583.33406484014677</v>
      </c>
      <c r="O96" s="327">
        <v>2564.1573768731546</v>
      </c>
      <c r="Q96" s="330">
        <v>1.2998062630203508</v>
      </c>
      <c r="R96" s="371">
        <v>1.0960023716167897</v>
      </c>
    </row>
    <row r="97" spans="2:18" x14ac:dyDescent="0.2">
      <c r="B97" s="369" t="s">
        <v>509</v>
      </c>
      <c r="C97" s="374">
        <v>2.5000000000000001E-2</v>
      </c>
      <c r="D97" s="17" t="s">
        <v>491</v>
      </c>
      <c r="F97" s="327">
        <v>1616.1345050959626</v>
      </c>
      <c r="G97" s="329">
        <v>0.65</v>
      </c>
      <c r="H97" s="327">
        <v>1702.1612808518755</v>
      </c>
      <c r="I97" s="329">
        <v>0.64853969042316195</v>
      </c>
      <c r="K97" s="327">
        <v>1198.5262521216248</v>
      </c>
      <c r="L97" s="328">
        <v>-1.2469147145748141E-2</v>
      </c>
      <c r="M97" s="123">
        <v>0.93655335559251984</v>
      </c>
      <c r="N97" s="327">
        <v>277.64349834618133</v>
      </c>
      <c r="O97" s="327">
        <v>2228.146259432554</v>
      </c>
      <c r="Q97" s="330">
        <v>1.2998077020364418</v>
      </c>
      <c r="R97" s="371">
        <v>1.0703306592473469</v>
      </c>
    </row>
    <row r="98" spans="2:18" x14ac:dyDescent="0.2">
      <c r="B98" s="348"/>
      <c r="C98" s="349"/>
      <c r="D98" s="349"/>
      <c r="E98" s="350"/>
      <c r="F98" s="351"/>
      <c r="G98" s="352"/>
      <c r="H98" s="351"/>
      <c r="I98" s="352"/>
      <c r="J98" s="353"/>
      <c r="K98" s="351"/>
      <c r="L98" s="354"/>
      <c r="M98" s="355"/>
      <c r="N98" s="351"/>
      <c r="O98" s="351"/>
      <c r="P98" s="353"/>
      <c r="Q98" s="356"/>
      <c r="R98" s="357"/>
    </row>
    <row r="99" spans="2:18" x14ac:dyDescent="0.2">
      <c r="B99" s="369" t="s">
        <v>519</v>
      </c>
      <c r="C99" s="372">
        <v>1.6999999999999999E-3</v>
      </c>
      <c r="D99" s="17" t="s">
        <v>276</v>
      </c>
      <c r="F99" s="327">
        <v>1625.3131521199348</v>
      </c>
      <c r="G99" s="329">
        <v>0.65</v>
      </c>
      <c r="H99" s="327">
        <v>2083.2053145500281</v>
      </c>
      <c r="I99" s="329">
        <v>0.69333295359010805</v>
      </c>
      <c r="K99" s="327">
        <v>1196.7383809344437</v>
      </c>
      <c r="L99" s="328">
        <v>0.10527105927467348</v>
      </c>
      <c r="M99" s="123">
        <v>1.5716987573980199</v>
      </c>
      <c r="N99" s="327">
        <v>748.33192640861284</v>
      </c>
      <c r="O99" s="327">
        <v>2788.8956568289473</v>
      </c>
      <c r="Q99" s="330">
        <v>1.2998251173972601</v>
      </c>
      <c r="R99" s="371">
        <v>1.1819130040296308</v>
      </c>
    </row>
    <row r="100" spans="2:18" x14ac:dyDescent="0.2">
      <c r="B100" s="369" t="s">
        <v>519</v>
      </c>
      <c r="C100" s="372">
        <v>1.6999999999999999E-3</v>
      </c>
      <c r="D100" s="17" t="s">
        <v>489</v>
      </c>
      <c r="F100" s="327">
        <v>1621.9732427687788</v>
      </c>
      <c r="G100" s="329">
        <v>0.65</v>
      </c>
      <c r="H100" s="327">
        <v>1923.6671276349923</v>
      </c>
      <c r="I100" s="329">
        <v>0.67606289357081173</v>
      </c>
      <c r="K100" s="327">
        <v>1197.0485742526325</v>
      </c>
      <c r="L100" s="328">
        <v>6.511268913745881E-2</v>
      </c>
      <c r="M100" s="123">
        <v>1.3502594769540028</v>
      </c>
      <c r="N100" s="327">
        <v>561.18360288110273</v>
      </c>
      <c r="O100" s="327">
        <v>2581.0782210943412</v>
      </c>
      <c r="Q100" s="330">
        <v>1.2998263686275322</v>
      </c>
      <c r="R100" s="371">
        <v>1.1711907704737279</v>
      </c>
    </row>
    <row r="101" spans="2:18" x14ac:dyDescent="0.2">
      <c r="B101" s="369" t="s">
        <v>519</v>
      </c>
      <c r="C101" s="372">
        <v>1.6999999999999999E-3</v>
      </c>
      <c r="D101" s="17" t="s">
        <v>490</v>
      </c>
      <c r="F101" s="327">
        <v>1618.9672203195883</v>
      </c>
      <c r="G101" s="329">
        <v>0.65</v>
      </c>
      <c r="H101" s="327">
        <v>1780.0777827444322</v>
      </c>
      <c r="I101" s="329">
        <v>0.65877896801487312</v>
      </c>
      <c r="K101" s="327">
        <v>1197.3277579179339</v>
      </c>
      <c r="L101" s="328">
        <v>2.8275796771049497E-2</v>
      </c>
      <c r="M101" s="123">
        <v>1.1509744949854912</v>
      </c>
      <c r="N101" s="327">
        <v>392.74427352314797</v>
      </c>
      <c r="O101" s="327">
        <v>2394.0360462333474</v>
      </c>
      <c r="Q101" s="330">
        <v>1.2998276801879172</v>
      </c>
      <c r="R101" s="371">
        <v>1.1598976864314954</v>
      </c>
    </row>
    <row r="102" spans="2:18" x14ac:dyDescent="0.2">
      <c r="B102" s="369" t="s">
        <v>519</v>
      </c>
      <c r="C102" s="372">
        <v>1.6999999999999999E-3</v>
      </c>
      <c r="D102" s="17" t="s">
        <v>491</v>
      </c>
      <c r="F102" s="327">
        <v>1613.793643592262</v>
      </c>
      <c r="G102" s="329">
        <v>0.65</v>
      </c>
      <c r="H102" s="327">
        <v>1532.9503672358135</v>
      </c>
      <c r="I102" s="329">
        <v>0.62430790590639573</v>
      </c>
      <c r="K102" s="327">
        <v>1197.8082527546035</v>
      </c>
      <c r="L102" s="328">
        <v>-3.6293996125459665E-2</v>
      </c>
      <c r="M102" s="123">
        <v>0.80821323545572299</v>
      </c>
      <c r="N102" s="327">
        <v>102.8482769269508</v>
      </c>
      <c r="O102" s="327">
        <v>2072.1232378718419</v>
      </c>
      <c r="Q102" s="330">
        <v>1.2998304905623348</v>
      </c>
      <c r="R102" s="371">
        <v>1.1355097394445972</v>
      </c>
    </row>
    <row r="103" spans="2:18" x14ac:dyDescent="0.2">
      <c r="B103" s="348"/>
      <c r="C103" s="373"/>
      <c r="D103" s="349"/>
      <c r="E103" s="350"/>
      <c r="F103" s="351"/>
      <c r="G103" s="352"/>
      <c r="H103" s="351"/>
      <c r="I103" s="352"/>
      <c r="J103" s="353"/>
      <c r="K103" s="351"/>
      <c r="L103" s="354"/>
      <c r="M103" s="355"/>
      <c r="N103" s="351"/>
      <c r="O103" s="351"/>
      <c r="P103" s="353"/>
      <c r="Q103" s="356"/>
      <c r="R103" s="357"/>
    </row>
    <row r="104" spans="2:18" x14ac:dyDescent="0.2">
      <c r="B104" s="369" t="s">
        <v>520</v>
      </c>
      <c r="C104" s="372">
        <v>5.0000000000000001E-3</v>
      </c>
      <c r="D104" s="17" t="s">
        <v>276</v>
      </c>
      <c r="F104" s="327">
        <v>1624.1348336544511</v>
      </c>
      <c r="G104" s="329">
        <v>0.65</v>
      </c>
      <c r="H104" s="327">
        <v>1981.8635152034215</v>
      </c>
      <c r="I104" s="329">
        <v>0.68263283747947501</v>
      </c>
      <c r="K104" s="327">
        <v>1196.7197381266287</v>
      </c>
      <c r="L104" s="328">
        <v>9.2191740870475769E-2</v>
      </c>
      <c r="M104" s="123">
        <v>1.5119671974211577</v>
      </c>
      <c r="N104" s="327">
        <v>647.84501702677312</v>
      </c>
      <c r="O104" s="327">
        <v>2705.6701980705816</v>
      </c>
      <c r="Q104" s="330">
        <v>1.299838992895326</v>
      </c>
      <c r="R104" s="371">
        <v>1.2311430776593462</v>
      </c>
    </row>
    <row r="105" spans="2:18" x14ac:dyDescent="0.2">
      <c r="B105" s="369" t="s">
        <v>520</v>
      </c>
      <c r="C105" s="372">
        <v>5.0000000000000001E-3</v>
      </c>
      <c r="D105" s="17" t="s">
        <v>489</v>
      </c>
      <c r="F105" s="327">
        <v>1620.8521478027033</v>
      </c>
      <c r="G105" s="329">
        <v>0.65</v>
      </c>
      <c r="H105" s="327">
        <v>1827.2468166430385</v>
      </c>
      <c r="I105" s="329">
        <v>0.66470509272599676</v>
      </c>
      <c r="K105" s="327">
        <v>1197.0308368094059</v>
      </c>
      <c r="L105" s="328">
        <v>5.3290340304374711E-2</v>
      </c>
      <c r="M105" s="123">
        <v>1.2934335570113027</v>
      </c>
      <c r="N105" s="327">
        <v>465.57666480559226</v>
      </c>
      <c r="O105" s="327">
        <v>2501.8944620959037</v>
      </c>
      <c r="Q105" s="330">
        <v>1.2998406703535621</v>
      </c>
      <c r="R105" s="371">
        <v>1.2214189917906708</v>
      </c>
    </row>
    <row r="106" spans="2:18" x14ac:dyDescent="0.2">
      <c r="B106" s="369" t="s">
        <v>520</v>
      </c>
      <c r="C106" s="372">
        <v>5.0000000000000001E-3</v>
      </c>
      <c r="D106" s="17" t="s">
        <v>490</v>
      </c>
      <c r="F106" s="327">
        <v>1617.8976283318955</v>
      </c>
      <c r="G106" s="329">
        <v>0.65</v>
      </c>
      <c r="H106" s="327">
        <v>1688.086964793586</v>
      </c>
      <c r="I106" s="329">
        <v>0.64675708821988698</v>
      </c>
      <c r="K106" s="327">
        <v>1197.3108353318542</v>
      </c>
      <c r="L106" s="328">
        <v>1.7706105113029481E-2</v>
      </c>
      <c r="M106" s="123">
        <v>1.0968520859187523</v>
      </c>
      <c r="N106" s="327">
        <v>301.5294617812267</v>
      </c>
      <c r="O106" s="327">
        <v>2318.489943096457</v>
      </c>
      <c r="Q106" s="330">
        <v>1.2998424302132097</v>
      </c>
      <c r="R106" s="371">
        <v>1.2111440009731145</v>
      </c>
    </row>
    <row r="107" spans="2:18" x14ac:dyDescent="0.2">
      <c r="B107" s="369" t="s">
        <v>520</v>
      </c>
      <c r="C107" s="372">
        <v>5.0000000000000001E-3</v>
      </c>
      <c r="D107" s="17" t="s">
        <v>491</v>
      </c>
      <c r="F107" s="327">
        <v>1612.8126920095908</v>
      </c>
      <c r="G107" s="329">
        <v>0.65</v>
      </c>
      <c r="H107" s="327">
        <v>1448.5830200104322</v>
      </c>
      <c r="I107" s="329">
        <v>0.61094405202110691</v>
      </c>
      <c r="K107" s="327">
        <v>1197.7927325977207</v>
      </c>
      <c r="L107" s="328">
        <v>-4.4533491879701612E-2</v>
      </c>
      <c r="M107" s="123">
        <v>0.75869004844877708</v>
      </c>
      <c r="N107" s="327">
        <v>19.192624948607545</v>
      </c>
      <c r="O107" s="327">
        <v>2002.8377976849752</v>
      </c>
      <c r="Q107" s="330">
        <v>1.2998462060739129</v>
      </c>
      <c r="R107" s="371">
        <v>1.1888376907074447</v>
      </c>
    </row>
    <row r="108" spans="2:18" x14ac:dyDescent="0.2">
      <c r="B108" s="375"/>
      <c r="C108" s="376"/>
      <c r="D108" s="376"/>
      <c r="E108" s="377"/>
      <c r="F108" s="378"/>
      <c r="G108" s="379"/>
      <c r="H108" s="378"/>
      <c r="I108" s="379"/>
      <c r="J108" s="380"/>
      <c r="K108" s="378"/>
      <c r="L108" s="381"/>
      <c r="M108" s="382"/>
      <c r="N108" s="378"/>
      <c r="O108" s="378"/>
      <c r="P108" s="380"/>
      <c r="Q108" s="383"/>
      <c r="R108" s="384"/>
    </row>
  </sheetData>
  <mergeCells count="1">
    <mergeCell ref="T4:Z8"/>
  </mergeCells>
  <conditionalFormatting sqref="L1:L1048576">
    <cfRule type="colorScale" priority="42">
      <colorScale>
        <cfvo type="min"/>
        <cfvo type="percentile" val="50"/>
        <cfvo type="max"/>
        <color rgb="FFF8696B"/>
        <color rgb="FFFFEB84"/>
        <color rgb="FF63BE7B"/>
      </colorScale>
    </cfRule>
  </conditionalFormatting>
  <conditionalFormatting sqref="N1:N1048576">
    <cfRule type="colorScale" priority="45">
      <colorScale>
        <cfvo type="min"/>
        <cfvo type="percentile" val="50"/>
        <cfvo type="max"/>
        <color rgb="FFF8696B"/>
        <color rgb="FFFFEB84"/>
        <color rgb="FF63BE7B"/>
      </colorScale>
    </cfRule>
  </conditionalFormatting>
  <conditionalFormatting sqref="R1:R1048576">
    <cfRule type="colorScale" priority="48">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A543-C239-45E4-B45C-E2C5AB515672}">
  <sheetPr>
    <tabColor rgb="FFFFFF99"/>
  </sheetPr>
  <dimension ref="B2:AA207"/>
  <sheetViews>
    <sheetView zoomScale="130" zoomScaleNormal="130" workbookViewId="0">
      <pane xSplit="1" ySplit="2" topLeftCell="B3" activePane="bottomRight" state="frozen"/>
      <selection pane="topRight" activeCell="B1" sqref="B1"/>
      <selection pane="bottomLeft" activeCell="A3" sqref="A3"/>
      <selection pane="bottomRight" activeCell="E26" sqref="E26"/>
    </sheetView>
  </sheetViews>
  <sheetFormatPr baseColWidth="10" defaultColWidth="8.83203125" defaultRowHeight="16" x14ac:dyDescent="0.2"/>
  <cols>
    <col min="2" max="2" width="39.83203125" bestFit="1" customWidth="1"/>
    <col min="3" max="4" width="9" style="17"/>
    <col min="5" max="5" width="9" customWidth="1"/>
    <col min="6" max="6" width="12.5" style="327" customWidth="1"/>
    <col min="7" max="7" width="12.5" style="329" customWidth="1"/>
    <col min="8" max="8" width="12.5" style="327" customWidth="1"/>
    <col min="9" max="9" width="12.5" style="329" customWidth="1"/>
    <col min="10" max="10" width="9" style="5" customWidth="1"/>
    <col min="11" max="11" width="12.5" style="327" customWidth="1"/>
    <col min="12" max="12" width="12.5" style="328" customWidth="1"/>
    <col min="13" max="13" width="12.5" style="123" customWidth="1"/>
    <col min="14" max="15" width="12.5" style="327" customWidth="1"/>
    <col min="16" max="16" width="9" style="5" customWidth="1"/>
    <col min="17" max="18" width="12.5" style="330" customWidth="1"/>
  </cols>
  <sheetData>
    <row r="2" spans="2:26" s="126" customFormat="1" ht="51" x14ac:dyDescent="0.2">
      <c r="B2" s="338" t="s">
        <v>495</v>
      </c>
      <c r="C2" s="339" t="s">
        <v>494</v>
      </c>
      <c r="D2" s="339" t="s">
        <v>492</v>
      </c>
      <c r="E2" s="340"/>
      <c r="F2" s="341" t="s">
        <v>472</v>
      </c>
      <c r="G2" s="342" t="s">
        <v>473</v>
      </c>
      <c r="H2" s="341" t="s">
        <v>470</v>
      </c>
      <c r="I2" s="342" t="s">
        <v>471</v>
      </c>
      <c r="J2" s="343"/>
      <c r="K2" s="341" t="s">
        <v>391</v>
      </c>
      <c r="L2" s="344" t="s">
        <v>481</v>
      </c>
      <c r="M2" s="345" t="s">
        <v>390</v>
      </c>
      <c r="N2" s="341" t="s">
        <v>496</v>
      </c>
      <c r="O2" s="341" t="s">
        <v>497</v>
      </c>
      <c r="P2" s="343"/>
      <c r="Q2" s="346" t="s">
        <v>388</v>
      </c>
      <c r="R2" s="347" t="s">
        <v>389</v>
      </c>
    </row>
    <row r="3" spans="2:26" x14ac:dyDescent="0.2">
      <c r="B3" s="348"/>
      <c r="C3" s="349"/>
      <c r="D3" s="349"/>
      <c r="E3" s="350"/>
      <c r="F3" s="351"/>
      <c r="G3" s="352"/>
      <c r="H3" s="351"/>
      <c r="I3" s="352"/>
      <c r="J3" s="353"/>
      <c r="K3" s="351"/>
      <c r="L3" s="354"/>
      <c r="M3" s="355"/>
      <c r="N3" s="351"/>
      <c r="O3" s="351"/>
      <c r="P3" s="353"/>
      <c r="Q3" s="356"/>
      <c r="R3" s="357"/>
    </row>
    <row r="4" spans="2:26" x14ac:dyDescent="0.2">
      <c r="B4" s="358" t="s">
        <v>522</v>
      </c>
      <c r="C4" s="359" t="s">
        <v>526</v>
      </c>
      <c r="D4" s="360" t="s">
        <v>276</v>
      </c>
      <c r="E4" s="361"/>
      <c r="F4" s="362">
        <v>1625.2044208619691</v>
      </c>
      <c r="G4" s="363">
        <v>0.65</v>
      </c>
      <c r="H4" s="362">
        <v>2073.8317323109595</v>
      </c>
      <c r="I4" s="363">
        <v>0.69237364319760575</v>
      </c>
      <c r="J4" s="364"/>
      <c r="K4" s="362">
        <v>1196.7366575030906</v>
      </c>
      <c r="L4" s="365">
        <v>0.10405264496803285</v>
      </c>
      <c r="M4" s="366">
        <v>1.5662522735273705</v>
      </c>
      <c r="N4" s="362">
        <v>739.03860402841246</v>
      </c>
      <c r="O4" s="362">
        <v>2781.2733076009108</v>
      </c>
      <c r="P4" s="364"/>
      <c r="Q4" s="367">
        <v>1.2998263841687583</v>
      </c>
      <c r="R4" s="368">
        <v>1.1862791749511421</v>
      </c>
      <c r="T4" s="439" t="s">
        <v>538</v>
      </c>
      <c r="U4" s="440"/>
      <c r="V4" s="440"/>
      <c r="W4" s="440"/>
      <c r="X4" s="440"/>
      <c r="Y4" s="440"/>
      <c r="Z4" s="440"/>
    </row>
    <row r="5" spans="2:26" x14ac:dyDescent="0.2">
      <c r="B5" s="358" t="s">
        <v>523</v>
      </c>
      <c r="C5" s="359" t="s">
        <v>526</v>
      </c>
      <c r="D5" s="360" t="s">
        <v>489</v>
      </c>
      <c r="E5" s="361"/>
      <c r="F5" s="362">
        <v>1621.8697919063461</v>
      </c>
      <c r="G5" s="363">
        <v>0.65</v>
      </c>
      <c r="H5" s="362">
        <v>1914.7487571262104</v>
      </c>
      <c r="I5" s="363">
        <v>0.67504477042487021</v>
      </c>
      <c r="J5" s="364"/>
      <c r="K5" s="362">
        <v>1197.0469345176282</v>
      </c>
      <c r="L5" s="365">
        <v>6.4011439681053162E-2</v>
      </c>
      <c r="M5" s="366">
        <v>1.3450814882644331</v>
      </c>
      <c r="N5" s="362">
        <v>552.34159447055663</v>
      </c>
      <c r="O5" s="362">
        <v>2573.8260380090292</v>
      </c>
      <c r="P5" s="364"/>
      <c r="Q5" s="367">
        <v>1.2998276736944263</v>
      </c>
      <c r="R5" s="368">
        <v>1.1756392766328025</v>
      </c>
      <c r="T5" s="441"/>
      <c r="U5" s="442"/>
      <c r="V5" s="442"/>
      <c r="W5" s="442"/>
      <c r="X5" s="442"/>
      <c r="Y5" s="442"/>
      <c r="Z5" s="442"/>
    </row>
    <row r="6" spans="2:26" x14ac:dyDescent="0.2">
      <c r="B6" s="358" t="s">
        <v>525</v>
      </c>
      <c r="C6" s="359" t="s">
        <v>526</v>
      </c>
      <c r="D6" s="360" t="s">
        <v>490</v>
      </c>
      <c r="E6" s="361"/>
      <c r="F6" s="362">
        <v>1618.8685219816912</v>
      </c>
      <c r="G6" s="363">
        <v>0.65</v>
      </c>
      <c r="H6" s="362">
        <v>1771.5691169928778</v>
      </c>
      <c r="I6" s="363">
        <v>0.65770147668866585</v>
      </c>
      <c r="J6" s="364"/>
      <c r="K6" s="362">
        <v>1197.3261935123217</v>
      </c>
      <c r="L6" s="365">
        <v>2.7292004227638243E-2</v>
      </c>
      <c r="M6" s="366">
        <v>1.1460507792927683</v>
      </c>
      <c r="N6" s="362">
        <v>384.30846175764145</v>
      </c>
      <c r="O6" s="362">
        <v>2387.1170242235262</v>
      </c>
      <c r="P6" s="364"/>
      <c r="Q6" s="367">
        <v>1.2998290255193601</v>
      </c>
      <c r="R6" s="368">
        <v>1.1644297121862033</v>
      </c>
      <c r="T6" s="441"/>
      <c r="U6" s="442"/>
      <c r="V6" s="442"/>
      <c r="W6" s="442"/>
      <c r="X6" s="442"/>
      <c r="Y6" s="442"/>
      <c r="Z6" s="442"/>
    </row>
    <row r="7" spans="2:26" x14ac:dyDescent="0.2">
      <c r="B7" s="358" t="s">
        <v>524</v>
      </c>
      <c r="C7" s="359" t="s">
        <v>526</v>
      </c>
      <c r="D7" s="360" t="s">
        <v>491</v>
      </c>
      <c r="E7" s="361"/>
      <c r="F7" s="362">
        <v>1613.7031246969959</v>
      </c>
      <c r="G7" s="363">
        <v>0.65</v>
      </c>
      <c r="H7" s="362">
        <v>1525.1468323409524</v>
      </c>
      <c r="I7" s="363">
        <v>0.62311049246289152</v>
      </c>
      <c r="J7" s="364"/>
      <c r="K7" s="362">
        <v>1197.8068179964121</v>
      </c>
      <c r="L7" s="365">
        <v>-3.7061130255460747E-2</v>
      </c>
      <c r="M7" s="366">
        <v>0.80369804097825248</v>
      </c>
      <c r="N7" s="362">
        <v>95.111558290371704</v>
      </c>
      <c r="O7" s="362">
        <v>2065.7776096301786</v>
      </c>
      <c r="P7" s="364"/>
      <c r="Q7" s="367">
        <v>1.2998319225756583</v>
      </c>
      <c r="R7" s="368">
        <v>1.1402109257165924</v>
      </c>
      <c r="T7" s="441"/>
      <c r="U7" s="442"/>
      <c r="V7" s="442"/>
      <c r="W7" s="442"/>
      <c r="X7" s="442"/>
      <c r="Y7" s="442"/>
      <c r="Z7" s="442"/>
    </row>
    <row r="8" spans="2:26" x14ac:dyDescent="0.2">
      <c r="B8" s="348"/>
      <c r="C8" s="349"/>
      <c r="D8" s="349"/>
      <c r="E8" s="350"/>
      <c r="F8" s="351"/>
      <c r="G8" s="352"/>
      <c r="H8" s="351"/>
      <c r="I8" s="352"/>
      <c r="J8" s="353"/>
      <c r="K8" s="351"/>
      <c r="L8" s="354"/>
      <c r="M8" s="355"/>
      <c r="N8" s="351"/>
      <c r="O8" s="351"/>
      <c r="P8" s="353"/>
      <c r="Q8" s="356"/>
      <c r="R8" s="357"/>
      <c r="T8" s="443"/>
      <c r="U8" s="444"/>
      <c r="V8" s="444"/>
      <c r="W8" s="444"/>
      <c r="X8" s="444"/>
      <c r="Y8" s="444"/>
      <c r="Z8" s="444"/>
    </row>
    <row r="9" spans="2:26" x14ac:dyDescent="0.2">
      <c r="B9" s="369" t="s">
        <v>493</v>
      </c>
      <c r="C9" s="370">
        <v>0.02</v>
      </c>
      <c r="D9" s="17" t="s">
        <v>276</v>
      </c>
      <c r="F9" s="327">
        <v>1617.4867596119691</v>
      </c>
      <c r="G9" s="329">
        <v>0.65</v>
      </c>
      <c r="H9" s="327">
        <v>2073.8317323109595</v>
      </c>
      <c r="I9" s="329">
        <v>0.69341890417618512</v>
      </c>
      <c r="K9" s="327">
        <v>1192.2216128606233</v>
      </c>
      <c r="L9" s="328">
        <v>0.10633513331413269</v>
      </c>
      <c r="M9" s="123">
        <v>1.5792169620358216</v>
      </c>
      <c r="N9" s="327">
        <v>747.42368693585149</v>
      </c>
      <c r="O9" s="327">
        <v>2781.2733076009108</v>
      </c>
      <c r="Q9" s="330">
        <v>1.2998263841687583</v>
      </c>
      <c r="R9" s="371">
        <v>1.1862791749511421</v>
      </c>
    </row>
    <row r="10" spans="2:26" x14ac:dyDescent="0.2">
      <c r="B10" s="369" t="s">
        <v>493</v>
      </c>
      <c r="C10" s="370">
        <v>0.02</v>
      </c>
      <c r="D10" s="17" t="s">
        <v>489</v>
      </c>
      <c r="F10" s="327">
        <v>1614.1521306563461</v>
      </c>
      <c r="G10" s="329">
        <v>0.65</v>
      </c>
      <c r="H10" s="327">
        <v>1914.7487571262104</v>
      </c>
      <c r="I10" s="329">
        <v>0.67612100578891887</v>
      </c>
      <c r="K10" s="327">
        <v>1192.5318898751609</v>
      </c>
      <c r="L10" s="328">
        <v>6.6208794713020325E-2</v>
      </c>
      <c r="M10" s="123">
        <v>1.3572054289300557</v>
      </c>
      <c r="N10" s="327">
        <v>560.72667737799566</v>
      </c>
      <c r="O10" s="327">
        <v>2573.8260380090292</v>
      </c>
      <c r="Q10" s="330">
        <v>1.2998276736944263</v>
      </c>
      <c r="R10" s="371">
        <v>1.1756392766328025</v>
      </c>
    </row>
    <row r="11" spans="2:26" x14ac:dyDescent="0.2">
      <c r="B11" s="369" t="s">
        <v>493</v>
      </c>
      <c r="C11" s="370">
        <v>0.02</v>
      </c>
      <c r="D11" s="17" t="s">
        <v>490</v>
      </c>
      <c r="F11" s="327">
        <v>1611.150860731691</v>
      </c>
      <c r="G11" s="329">
        <v>0.65</v>
      </c>
      <c r="H11" s="327">
        <v>1771.5691169928778</v>
      </c>
      <c r="I11" s="329">
        <v>0.65880578456233307</v>
      </c>
      <c r="K11" s="327">
        <v>1192.8111488698548</v>
      </c>
      <c r="L11" s="328">
        <v>2.9397383332252502E-2</v>
      </c>
      <c r="M11" s="123">
        <v>1.1574185078316299</v>
      </c>
      <c r="N11" s="327">
        <v>392.69354466508094</v>
      </c>
      <c r="O11" s="327">
        <v>2387.1170242235262</v>
      </c>
      <c r="Q11" s="330">
        <v>1.2998290255193601</v>
      </c>
      <c r="R11" s="371">
        <v>1.1644297121862033</v>
      </c>
    </row>
    <row r="12" spans="2:26" x14ac:dyDescent="0.2">
      <c r="B12" s="369" t="s">
        <v>493</v>
      </c>
      <c r="C12" s="370">
        <v>0.02</v>
      </c>
      <c r="D12" s="17" t="s">
        <v>491</v>
      </c>
      <c r="F12" s="327">
        <v>1605.9854634469959</v>
      </c>
      <c r="G12" s="329">
        <v>0.65</v>
      </c>
      <c r="H12" s="327">
        <v>1525.1468323409524</v>
      </c>
      <c r="I12" s="329">
        <v>0.62426204136131691</v>
      </c>
      <c r="K12" s="327">
        <v>1193.2917733539448</v>
      </c>
      <c r="L12" s="328">
        <v>-3.5145129263401027E-2</v>
      </c>
      <c r="M12" s="123">
        <v>0.81376583471469344</v>
      </c>
      <c r="N12" s="327">
        <v>103.49664119781073</v>
      </c>
      <c r="O12" s="327">
        <v>2065.7776096301786</v>
      </c>
      <c r="Q12" s="330">
        <v>1.2998319225756583</v>
      </c>
      <c r="R12" s="371">
        <v>1.1402109257165924</v>
      </c>
    </row>
    <row r="13" spans="2:26" x14ac:dyDescent="0.2">
      <c r="B13" s="348"/>
      <c r="C13" s="349"/>
      <c r="D13" s="349"/>
      <c r="E13" s="350"/>
      <c r="F13" s="351"/>
      <c r="G13" s="352"/>
      <c r="H13" s="351"/>
      <c r="I13" s="352"/>
      <c r="J13" s="353"/>
      <c r="K13" s="351"/>
      <c r="L13" s="354"/>
      <c r="M13" s="355"/>
      <c r="N13" s="351"/>
      <c r="O13" s="351"/>
      <c r="P13" s="353"/>
      <c r="Q13" s="356"/>
      <c r="R13" s="357"/>
    </row>
    <row r="14" spans="2:26" x14ac:dyDescent="0.2">
      <c r="B14" s="369" t="s">
        <v>498</v>
      </c>
      <c r="C14" s="370">
        <v>0.05</v>
      </c>
      <c r="D14" s="17" t="s">
        <v>276</v>
      </c>
      <c r="F14" s="327">
        <v>1663.7927271119693</v>
      </c>
      <c r="G14" s="329">
        <v>0.65</v>
      </c>
      <c r="H14" s="327">
        <v>2073.8317323109595</v>
      </c>
      <c r="I14" s="329">
        <v>0.68719425355579056</v>
      </c>
      <c r="K14" s="327">
        <v>1219.311880715426</v>
      </c>
      <c r="L14" s="328">
        <v>9.2817315459251398E-2</v>
      </c>
      <c r="M14" s="123">
        <v>1.5028690567792846</v>
      </c>
      <c r="N14" s="327">
        <v>697.11318949121846</v>
      </c>
      <c r="O14" s="327">
        <v>2781.2733076009108</v>
      </c>
      <c r="Q14" s="330">
        <v>1.2998263841687583</v>
      </c>
      <c r="R14" s="371">
        <v>1.1862791749511421</v>
      </c>
    </row>
    <row r="15" spans="2:26" x14ac:dyDescent="0.2">
      <c r="B15" s="369" t="s">
        <v>498</v>
      </c>
      <c r="C15" s="370">
        <v>0.05</v>
      </c>
      <c r="D15" s="17" t="s">
        <v>489</v>
      </c>
      <c r="F15" s="327">
        <v>1660.4580981563461</v>
      </c>
      <c r="G15" s="329">
        <v>0.65</v>
      </c>
      <c r="H15" s="327">
        <v>1914.7487571262104</v>
      </c>
      <c r="I15" s="329">
        <v>0.66971458166842446</v>
      </c>
      <c r="K15" s="327">
        <v>1219.622157729963</v>
      </c>
      <c r="L15" s="328">
        <v>5.3211507201194774E-2</v>
      </c>
      <c r="M15" s="123">
        <v>1.2858082708049405</v>
      </c>
      <c r="N15" s="327">
        <v>510.41617993336217</v>
      </c>
      <c r="O15" s="327">
        <v>2573.8260380090292</v>
      </c>
      <c r="Q15" s="330">
        <v>1.2998276736944263</v>
      </c>
      <c r="R15" s="371">
        <v>1.1756392766328025</v>
      </c>
    </row>
    <row r="16" spans="2:26" x14ac:dyDescent="0.2">
      <c r="B16" s="369" t="s">
        <v>498</v>
      </c>
      <c r="C16" s="370">
        <v>0.05</v>
      </c>
      <c r="D16" s="17" t="s">
        <v>490</v>
      </c>
      <c r="F16" s="327">
        <v>1657.4568282316911</v>
      </c>
      <c r="G16" s="329">
        <v>0.65</v>
      </c>
      <c r="H16" s="327">
        <v>1771.5691169928778</v>
      </c>
      <c r="I16" s="329">
        <v>0.65223500787828692</v>
      </c>
      <c r="K16" s="327">
        <v>1219.9014167246567</v>
      </c>
      <c r="L16" s="328">
        <v>1.6957625746726993E-2</v>
      </c>
      <c r="M16" s="123">
        <v>1.0904743484739314</v>
      </c>
      <c r="N16" s="327">
        <v>342.38304722044722</v>
      </c>
      <c r="O16" s="327">
        <v>2387.1170242235262</v>
      </c>
      <c r="Q16" s="330">
        <v>1.2998290255193601</v>
      </c>
      <c r="R16" s="371">
        <v>1.1644297121862033</v>
      </c>
    </row>
    <row r="17" spans="2:18" x14ac:dyDescent="0.2">
      <c r="B17" s="369" t="s">
        <v>498</v>
      </c>
      <c r="C17" s="370">
        <v>0.05</v>
      </c>
      <c r="D17" s="17" t="s">
        <v>491</v>
      </c>
      <c r="F17" s="327">
        <v>1652.2914309469961</v>
      </c>
      <c r="G17" s="329">
        <v>0.65</v>
      </c>
      <c r="H17" s="327">
        <v>1525.1468323409524</v>
      </c>
      <c r="I17" s="329">
        <v>0.61741589193363222</v>
      </c>
      <c r="K17" s="327">
        <v>1220.3820412087471</v>
      </c>
      <c r="L17" s="328">
        <v>-4.6447874605655672E-2</v>
      </c>
      <c r="M17" s="123">
        <v>0.75447650609881545</v>
      </c>
      <c r="N17" s="327">
        <v>53.186143753177248</v>
      </c>
      <c r="O17" s="327">
        <v>2065.7776096301786</v>
      </c>
      <c r="Q17" s="330">
        <v>1.2998319225756583</v>
      </c>
      <c r="R17" s="371">
        <v>1.1402109257165924</v>
      </c>
    </row>
    <row r="18" spans="2:18" x14ac:dyDescent="0.2">
      <c r="B18" s="348"/>
      <c r="C18" s="349"/>
      <c r="D18" s="349"/>
      <c r="E18" s="350"/>
      <c r="F18" s="351"/>
      <c r="G18" s="352"/>
      <c r="H18" s="351"/>
      <c r="I18" s="352"/>
      <c r="J18" s="353"/>
      <c r="K18" s="351"/>
      <c r="L18" s="354"/>
      <c r="M18" s="355"/>
      <c r="N18" s="351"/>
      <c r="O18" s="351"/>
      <c r="P18" s="353"/>
      <c r="Q18" s="356"/>
      <c r="R18" s="357"/>
    </row>
    <row r="19" spans="2:18" x14ac:dyDescent="0.2">
      <c r="B19" s="369" t="s">
        <v>513</v>
      </c>
      <c r="C19" s="17">
        <v>2148</v>
      </c>
      <c r="D19" s="17" t="s">
        <v>276</v>
      </c>
      <c r="F19" s="327">
        <v>1431.6854458619691</v>
      </c>
      <c r="G19" s="329">
        <v>0.65</v>
      </c>
      <c r="H19" s="327">
        <v>2073.8317323109595</v>
      </c>
      <c r="I19" s="329">
        <v>0.7194584321345614</v>
      </c>
      <c r="K19" s="327">
        <v>1083.9772625009821</v>
      </c>
      <c r="L19" s="328">
        <v>0.16409104466438296</v>
      </c>
      <c r="M19" s="123">
        <v>1.922366720888474</v>
      </c>
      <c r="N19" s="327">
        <v>948.44890903232817</v>
      </c>
      <c r="O19" s="327">
        <v>2781.2733076009108</v>
      </c>
      <c r="Q19" s="330">
        <v>1.2998263841687583</v>
      </c>
      <c r="R19" s="371">
        <v>1.1862791749511421</v>
      </c>
    </row>
    <row r="20" spans="2:18" x14ac:dyDescent="0.2">
      <c r="B20" s="369" t="s">
        <v>513</v>
      </c>
      <c r="C20" s="17">
        <v>2148</v>
      </c>
      <c r="D20" s="17" t="s">
        <v>489</v>
      </c>
      <c r="F20" s="327">
        <v>1428.3508169063459</v>
      </c>
      <c r="G20" s="329">
        <v>0.65</v>
      </c>
      <c r="H20" s="327">
        <v>1914.7487571262104</v>
      </c>
      <c r="I20" s="329">
        <v>0.7029910040542916</v>
      </c>
      <c r="K20" s="327">
        <v>1084.2875395155195</v>
      </c>
      <c r="L20" s="328">
        <v>0.12234246134757992</v>
      </c>
      <c r="M20" s="123">
        <v>1.6780935968518718</v>
      </c>
      <c r="N20" s="327">
        <v>761.75189947447211</v>
      </c>
      <c r="O20" s="327">
        <v>2573.8260380090292</v>
      </c>
      <c r="Q20" s="330">
        <v>1.2998276736944263</v>
      </c>
      <c r="R20" s="371">
        <v>1.1756392766328025</v>
      </c>
    </row>
    <row r="21" spans="2:18" x14ac:dyDescent="0.2">
      <c r="B21" s="369" t="s">
        <v>513</v>
      </c>
      <c r="C21" s="17">
        <v>2148</v>
      </c>
      <c r="D21" s="17" t="s">
        <v>490</v>
      </c>
      <c r="F21" s="327">
        <v>1425.349546981691</v>
      </c>
      <c r="G21" s="329">
        <v>0.65</v>
      </c>
      <c r="H21" s="327">
        <v>1771.5691169928778</v>
      </c>
      <c r="I21" s="329">
        <v>0.68643734716359661</v>
      </c>
      <c r="K21" s="327">
        <v>1084.5667985102132</v>
      </c>
      <c r="L21" s="328">
        <v>8.3641180396080012E-2</v>
      </c>
      <c r="M21" s="123">
        <v>1.4582844729516797</v>
      </c>
      <c r="N21" s="327">
        <v>593.71876676155762</v>
      </c>
      <c r="O21" s="327">
        <v>2387.1170242235262</v>
      </c>
      <c r="Q21" s="330">
        <v>1.2998290255193601</v>
      </c>
      <c r="R21" s="371">
        <v>1.1644297121862033</v>
      </c>
    </row>
    <row r="22" spans="2:18" x14ac:dyDescent="0.2">
      <c r="B22" s="369" t="s">
        <v>513</v>
      </c>
      <c r="C22" s="17">
        <v>2148</v>
      </c>
      <c r="D22" s="17" t="s">
        <v>491</v>
      </c>
      <c r="F22" s="327">
        <v>1420.184149696996</v>
      </c>
      <c r="G22" s="329">
        <v>0.65</v>
      </c>
      <c r="H22" s="327">
        <v>1525.1468323409524</v>
      </c>
      <c r="I22" s="329">
        <v>0.65320270487939291</v>
      </c>
      <c r="K22" s="327">
        <v>1085.0474229943034</v>
      </c>
      <c r="L22" s="328">
        <v>1.4890357851982117E-2</v>
      </c>
      <c r="M22" s="123">
        <v>1.0802157336713751</v>
      </c>
      <c r="N22" s="327">
        <v>304.52186329428741</v>
      </c>
      <c r="O22" s="327">
        <v>2065.7776096301786</v>
      </c>
      <c r="Q22" s="330">
        <v>1.2998319225756583</v>
      </c>
      <c r="R22" s="371">
        <v>1.1402109257165924</v>
      </c>
    </row>
    <row r="23" spans="2:18" x14ac:dyDescent="0.2">
      <c r="B23" s="348"/>
      <c r="C23" s="349"/>
      <c r="D23" s="349"/>
      <c r="E23" s="350"/>
      <c r="F23" s="351"/>
      <c r="G23" s="352"/>
      <c r="H23" s="351"/>
      <c r="I23" s="352"/>
      <c r="J23" s="353"/>
      <c r="K23" s="351"/>
      <c r="L23" s="354"/>
      <c r="M23" s="355"/>
      <c r="N23" s="351"/>
      <c r="O23" s="351"/>
      <c r="P23" s="353"/>
      <c r="Q23" s="356"/>
      <c r="R23" s="357"/>
    </row>
    <row r="24" spans="2:18" x14ac:dyDescent="0.2">
      <c r="B24" s="369" t="s">
        <v>514</v>
      </c>
      <c r="C24" s="17">
        <v>3063</v>
      </c>
      <c r="D24" s="17" t="s">
        <v>276</v>
      </c>
      <c r="F24" s="327">
        <v>1902.615930236969</v>
      </c>
      <c r="G24" s="329">
        <v>0.65</v>
      </c>
      <c r="H24" s="327">
        <v>2073.8317323109595</v>
      </c>
      <c r="I24" s="329">
        <v>0.65692214671772697</v>
      </c>
      <c r="K24" s="327">
        <v>1358.3784498066445</v>
      </c>
      <c r="L24" s="328">
        <v>3.0002298951148976E-2</v>
      </c>
      <c r="M24" s="123">
        <v>1.1588814669869967</v>
      </c>
      <c r="N24" s="327">
        <v>438.84670403609744</v>
      </c>
      <c r="O24" s="327">
        <v>2781.2733076009108</v>
      </c>
      <c r="Q24" s="330">
        <v>1.2998263841687583</v>
      </c>
      <c r="R24" s="371">
        <v>1.1862791749511421</v>
      </c>
    </row>
    <row r="25" spans="2:18" x14ac:dyDescent="0.2">
      <c r="B25" s="369" t="s">
        <v>514</v>
      </c>
      <c r="C25" s="17">
        <v>3063</v>
      </c>
      <c r="D25" s="17" t="s">
        <v>489</v>
      </c>
      <c r="F25" s="327">
        <v>1899.281301281346</v>
      </c>
      <c r="G25" s="329">
        <v>0.65</v>
      </c>
      <c r="H25" s="327">
        <v>1914.7487571262104</v>
      </c>
      <c r="I25" s="329">
        <v>0.63865012919876585</v>
      </c>
      <c r="K25" s="327">
        <v>1358.6887268211822</v>
      </c>
      <c r="L25" s="328">
        <v>-6.8069569766521457E-3</v>
      </c>
      <c r="M25" s="123">
        <v>0.96411617050491261</v>
      </c>
      <c r="N25" s="327">
        <v>252.1496944782416</v>
      </c>
      <c r="O25" s="327">
        <v>2573.8260380090292</v>
      </c>
      <c r="Q25" s="330">
        <v>1.2998276736944263</v>
      </c>
      <c r="R25" s="371">
        <v>1.1756392766328025</v>
      </c>
    </row>
    <row r="26" spans="2:18" x14ac:dyDescent="0.2">
      <c r="B26" s="369" t="s">
        <v>514</v>
      </c>
      <c r="C26" s="17">
        <v>3063</v>
      </c>
      <c r="D26" s="17" t="s">
        <v>490</v>
      </c>
      <c r="F26" s="327">
        <v>1896.2800313566911</v>
      </c>
      <c r="G26" s="329">
        <v>0.65</v>
      </c>
      <c r="H26" s="327">
        <v>1771.5691169928778</v>
      </c>
      <c r="I26" s="329">
        <v>0.62046717735858359</v>
      </c>
      <c r="K26" s="327">
        <v>1358.9679858158763</v>
      </c>
      <c r="L26" s="328">
        <v>-4.0189595520496377E-2</v>
      </c>
      <c r="M26" s="123">
        <v>0.78883735918659748</v>
      </c>
      <c r="N26" s="327">
        <v>84.116561765326423</v>
      </c>
      <c r="O26" s="327">
        <v>2387.1170242235262</v>
      </c>
      <c r="Q26" s="330">
        <v>1.2998290255193601</v>
      </c>
      <c r="R26" s="371">
        <v>1.1644297121862033</v>
      </c>
    </row>
    <row r="27" spans="2:18" x14ac:dyDescent="0.2">
      <c r="B27" s="369" t="s">
        <v>514</v>
      </c>
      <c r="C27" s="17">
        <v>3063</v>
      </c>
      <c r="D27" s="17" t="s">
        <v>491</v>
      </c>
      <c r="F27" s="327">
        <v>1891.1146340719961</v>
      </c>
      <c r="G27" s="329">
        <v>0.65</v>
      </c>
      <c r="H27" s="327">
        <v>1525.1468323409524</v>
      </c>
      <c r="I27" s="329">
        <v>0.58450948600804842</v>
      </c>
      <c r="K27" s="327">
        <v>1564.5289520019098</v>
      </c>
      <c r="L27" s="328">
        <v>-9.8000000000000004E-2</v>
      </c>
      <c r="M27" s="123">
        <v>0.55452053711990357</v>
      </c>
      <c r="N27" s="327">
        <v>-205.08034170194355</v>
      </c>
      <c r="O27" s="327">
        <v>2065.7776096301786</v>
      </c>
      <c r="Q27" s="330">
        <v>1.2998319225756583</v>
      </c>
      <c r="R27" s="371">
        <v>1.1402109257165924</v>
      </c>
    </row>
    <row r="28" spans="2:18" x14ac:dyDescent="0.2">
      <c r="B28" s="348"/>
      <c r="C28" s="349"/>
      <c r="D28" s="349"/>
      <c r="E28" s="350"/>
      <c r="F28" s="351"/>
      <c r="G28" s="352"/>
      <c r="H28" s="351"/>
      <c r="I28" s="352"/>
      <c r="J28" s="353"/>
      <c r="K28" s="351"/>
      <c r="L28" s="354"/>
      <c r="M28" s="355"/>
      <c r="N28" s="351"/>
      <c r="O28" s="351"/>
      <c r="P28" s="353"/>
      <c r="Q28" s="356"/>
      <c r="R28" s="357"/>
    </row>
    <row r="29" spans="2:18" x14ac:dyDescent="0.2">
      <c r="B29" s="369" t="s">
        <v>515</v>
      </c>
      <c r="C29" s="17">
        <v>472</v>
      </c>
      <c r="D29" s="17" t="s">
        <v>276</v>
      </c>
      <c r="F29" s="327">
        <v>1585.0595271119691</v>
      </c>
      <c r="G29" s="329">
        <v>0.65</v>
      </c>
      <c r="H29" s="327">
        <v>2073.8317323109595</v>
      </c>
      <c r="I29" s="329">
        <v>0.69794710584260633</v>
      </c>
      <c r="K29" s="327">
        <v>1172.8180676173495</v>
      </c>
      <c r="L29" s="328">
        <v>0.11659415364265444</v>
      </c>
      <c r="M29" s="123">
        <v>1.6360693972639573</v>
      </c>
      <c r="N29" s="327">
        <v>783.45884238764665</v>
      </c>
      <c r="O29" s="327">
        <v>2781.2733076009108</v>
      </c>
      <c r="Q29" s="330">
        <v>1.2998263841687583</v>
      </c>
      <c r="R29" s="371">
        <v>1.1862791749511421</v>
      </c>
    </row>
    <row r="30" spans="2:18" x14ac:dyDescent="0.2">
      <c r="B30" s="369" t="s">
        <v>515</v>
      </c>
      <c r="C30" s="17">
        <v>472</v>
      </c>
      <c r="D30" s="17" t="s">
        <v>489</v>
      </c>
      <c r="F30" s="327">
        <v>1581.7248981563459</v>
      </c>
      <c r="G30" s="329">
        <v>0.65</v>
      </c>
      <c r="H30" s="327">
        <v>1914.7487571262104</v>
      </c>
      <c r="I30" s="329">
        <v>0.68078549414830702</v>
      </c>
      <c r="K30" s="327">
        <v>1173.1283446318866</v>
      </c>
      <c r="L30" s="328">
        <v>7.5986585021018987E-2</v>
      </c>
      <c r="M30" s="123">
        <v>1.410370756220845</v>
      </c>
      <c r="N30" s="327">
        <v>596.76183282979014</v>
      </c>
      <c r="O30" s="327">
        <v>2573.8260380090292</v>
      </c>
      <c r="Q30" s="330">
        <v>1.2998276736944263</v>
      </c>
      <c r="R30" s="371">
        <v>1.1756392766328025</v>
      </c>
    </row>
    <row r="31" spans="2:18" x14ac:dyDescent="0.2">
      <c r="B31" s="369" t="s">
        <v>515</v>
      </c>
      <c r="C31" s="17">
        <v>472</v>
      </c>
      <c r="D31" s="17" t="s">
        <v>490</v>
      </c>
      <c r="F31" s="327">
        <v>1578.723628231691</v>
      </c>
      <c r="G31" s="329">
        <v>0.65</v>
      </c>
      <c r="H31" s="327">
        <v>1771.5691169928778</v>
      </c>
      <c r="I31" s="329">
        <v>0.66359410171196365</v>
      </c>
      <c r="K31" s="327">
        <v>1173.4076036265808</v>
      </c>
      <c r="L31" s="328">
        <v>3.8684150576591497E-2</v>
      </c>
      <c r="M31" s="123">
        <v>1.2072674926627549</v>
      </c>
      <c r="N31" s="327">
        <v>428.72870011687496</v>
      </c>
      <c r="O31" s="327">
        <v>2387.1170242235262</v>
      </c>
      <c r="Q31" s="330">
        <v>1.2998290255193601</v>
      </c>
      <c r="R31" s="371">
        <v>1.1644297121862033</v>
      </c>
    </row>
    <row r="32" spans="2:18" x14ac:dyDescent="0.2">
      <c r="B32" s="369" t="s">
        <v>515</v>
      </c>
      <c r="C32" s="17">
        <v>472</v>
      </c>
      <c r="D32" s="17" t="s">
        <v>491</v>
      </c>
      <c r="F32" s="327">
        <v>1573.558230946996</v>
      </c>
      <c r="G32" s="329">
        <v>0.65</v>
      </c>
      <c r="H32" s="327">
        <v>1525.1468323409524</v>
      </c>
      <c r="I32" s="329">
        <v>0.62925969639230939</v>
      </c>
      <c r="K32" s="327">
        <v>1173.8882281106708</v>
      </c>
      <c r="L32" s="328">
        <v>-2.6814141869544984E-2</v>
      </c>
      <c r="M32" s="123">
        <v>0.85791407336474124</v>
      </c>
      <c r="N32" s="327">
        <v>139.53179664960521</v>
      </c>
      <c r="O32" s="327">
        <v>2065.7776096301786</v>
      </c>
      <c r="Q32" s="330">
        <v>1.2998319225756583</v>
      </c>
      <c r="R32" s="371">
        <v>1.1402109257165924</v>
      </c>
    </row>
    <row r="33" spans="2:18" x14ac:dyDescent="0.2">
      <c r="B33" s="348"/>
      <c r="C33" s="349"/>
      <c r="D33" s="349"/>
      <c r="E33" s="350"/>
      <c r="F33" s="351"/>
      <c r="G33" s="352"/>
      <c r="H33" s="351"/>
      <c r="I33" s="352"/>
      <c r="J33" s="353"/>
      <c r="K33" s="351"/>
      <c r="L33" s="354"/>
      <c r="M33" s="355"/>
      <c r="N33" s="351"/>
      <c r="O33" s="351"/>
      <c r="P33" s="353"/>
      <c r="Q33" s="356"/>
      <c r="R33" s="357"/>
    </row>
    <row r="34" spans="2:18" x14ac:dyDescent="0.2">
      <c r="B34" s="369" t="s">
        <v>516</v>
      </c>
      <c r="C34" s="17">
        <v>678</v>
      </c>
      <c r="D34" s="17" t="s">
        <v>276</v>
      </c>
      <c r="F34" s="327">
        <v>1691.083220861969</v>
      </c>
      <c r="G34" s="329">
        <v>0.65</v>
      </c>
      <c r="H34" s="327">
        <v>2073.8317323109595</v>
      </c>
      <c r="I34" s="329">
        <v>0.68341784567979469</v>
      </c>
      <c r="K34" s="327">
        <v>1235.987676802768</v>
      </c>
      <c r="L34" s="328">
        <v>8.4368535876274117E-2</v>
      </c>
      <c r="M34" s="123">
        <v>1.457536182852462</v>
      </c>
      <c r="N34" s="327">
        <v>666.14385390043958</v>
      </c>
      <c r="O34" s="327">
        <v>2781.2733076009108</v>
      </c>
      <c r="Q34" s="330">
        <v>1.2998263841687583</v>
      </c>
      <c r="R34" s="371">
        <v>1.1862791749511421</v>
      </c>
    </row>
    <row r="35" spans="2:18" x14ac:dyDescent="0.2">
      <c r="B35" s="369" t="s">
        <v>516</v>
      </c>
      <c r="C35" s="17">
        <v>678</v>
      </c>
      <c r="D35" s="17" t="s">
        <v>489</v>
      </c>
      <c r="F35" s="327">
        <v>1687.7485919063458</v>
      </c>
      <c r="G35" s="329">
        <v>0.65</v>
      </c>
      <c r="H35" s="327">
        <v>1914.7487571262104</v>
      </c>
      <c r="I35" s="329">
        <v>0.66583103464200644</v>
      </c>
      <c r="K35" s="327">
        <v>1236.2979538173058</v>
      </c>
      <c r="L35" s="328">
        <v>4.5263877511024481E-2</v>
      </c>
      <c r="M35" s="123">
        <v>1.2434145970466763</v>
      </c>
      <c r="N35" s="327">
        <v>479.44684434258374</v>
      </c>
      <c r="O35" s="327">
        <v>2573.8260380090292</v>
      </c>
      <c r="Q35" s="330">
        <v>1.2998276736944263</v>
      </c>
      <c r="R35" s="371">
        <v>1.1756392766328025</v>
      </c>
    </row>
    <row r="36" spans="2:18" x14ac:dyDescent="0.2">
      <c r="B36" s="369" t="s">
        <v>516</v>
      </c>
      <c r="C36" s="17">
        <v>678</v>
      </c>
      <c r="D36" s="17" t="s">
        <v>490</v>
      </c>
      <c r="F36" s="327">
        <v>1684.7473219816909</v>
      </c>
      <c r="G36" s="329">
        <v>0.65</v>
      </c>
      <c r="H36" s="327">
        <v>1771.5691169928778</v>
      </c>
      <c r="I36" s="329">
        <v>0.64825504987882543</v>
      </c>
      <c r="K36" s="327">
        <v>1236.5772128119993</v>
      </c>
      <c r="L36" s="328">
        <v>9.4941645860672011E-3</v>
      </c>
      <c r="M36" s="123">
        <v>1.0507244137710023</v>
      </c>
      <c r="N36" s="327">
        <v>311.41371162966902</v>
      </c>
      <c r="O36" s="327">
        <v>2387.1170242235262</v>
      </c>
      <c r="Q36" s="330">
        <v>1.2998290255193601</v>
      </c>
      <c r="R36" s="371">
        <v>1.1644297121862033</v>
      </c>
    </row>
    <row r="37" spans="2:18" x14ac:dyDescent="0.2">
      <c r="B37" s="369" t="s">
        <v>516</v>
      </c>
      <c r="C37" s="17">
        <v>678</v>
      </c>
      <c r="D37" s="17" t="s">
        <v>491</v>
      </c>
      <c r="F37" s="327">
        <v>1679.5819246969959</v>
      </c>
      <c r="G37" s="329">
        <v>0.65</v>
      </c>
      <c r="H37" s="327">
        <v>1525.1468323409524</v>
      </c>
      <c r="I37" s="329">
        <v>0.61327581358557015</v>
      </c>
      <c r="K37" s="327">
        <v>1237.0578372960897</v>
      </c>
      <c r="L37" s="328">
        <v>-5.3026349842548379E-2</v>
      </c>
      <c r="M37" s="123">
        <v>0.71927133569678736</v>
      </c>
      <c r="N37" s="327">
        <v>22.216808162398593</v>
      </c>
      <c r="O37" s="327">
        <v>2065.7776096301786</v>
      </c>
      <c r="Q37" s="330">
        <v>1.2998319225756583</v>
      </c>
      <c r="R37" s="371">
        <v>1.1402109257165924</v>
      </c>
    </row>
    <row r="38" spans="2:18" x14ac:dyDescent="0.2">
      <c r="B38" s="348"/>
      <c r="C38" s="349"/>
      <c r="D38" s="349"/>
      <c r="E38" s="350"/>
      <c r="F38" s="351"/>
      <c r="G38" s="352"/>
      <c r="H38" s="351"/>
      <c r="I38" s="352"/>
      <c r="J38" s="353"/>
      <c r="K38" s="351"/>
      <c r="L38" s="354"/>
      <c r="M38" s="355"/>
      <c r="N38" s="351"/>
      <c r="O38" s="351"/>
      <c r="P38" s="353"/>
      <c r="Q38" s="356"/>
      <c r="R38" s="357"/>
    </row>
    <row r="39" spans="2:18" x14ac:dyDescent="0.2">
      <c r="B39" s="369" t="s">
        <v>499</v>
      </c>
      <c r="C39" s="17">
        <v>33.5</v>
      </c>
      <c r="D39" s="17" t="s">
        <v>276</v>
      </c>
      <c r="F39" s="327">
        <v>1626.6916030515529</v>
      </c>
      <c r="G39" s="329">
        <v>0.65</v>
      </c>
      <c r="H39" s="327">
        <v>2143.0642522911789</v>
      </c>
      <c r="I39" s="329">
        <v>0.69935341850068755</v>
      </c>
      <c r="K39" s="327">
        <v>1196.6056118049723</v>
      </c>
      <c r="L39" s="328">
        <v>0.12037616372108456</v>
      </c>
      <c r="M39" s="123">
        <v>1.6564393136431612</v>
      </c>
      <c r="N39" s="327">
        <v>819.13367836877865</v>
      </c>
      <c r="O39" s="327">
        <v>2867.8349816026857</v>
      </c>
      <c r="Q39" s="330">
        <v>1.2998251807335854</v>
      </c>
      <c r="R39" s="371">
        <v>1.1984063520834118</v>
      </c>
    </row>
    <row r="40" spans="2:18" x14ac:dyDescent="0.2">
      <c r="B40" s="369" t="s">
        <v>499</v>
      </c>
      <c r="C40" s="17">
        <v>33.5</v>
      </c>
      <c r="D40" s="17" t="s">
        <v>489</v>
      </c>
      <c r="F40" s="327">
        <v>1623.3569739265527</v>
      </c>
      <c r="G40" s="329">
        <v>0.65</v>
      </c>
      <c r="H40" s="327">
        <v>1983.9812771064296</v>
      </c>
      <c r="I40" s="329">
        <v>0.68281807055644117</v>
      </c>
      <c r="K40" s="327">
        <v>1196.9158888165173</v>
      </c>
      <c r="L40" s="328">
        <v>8.0622306466102633E-2</v>
      </c>
      <c r="M40" s="123">
        <v>1.4352204154277926</v>
      </c>
      <c r="N40" s="327">
        <v>632.43666907705972</v>
      </c>
      <c r="O40" s="327">
        <v>2660.3877120108036</v>
      </c>
      <c r="Q40" s="330">
        <v>1.2998263347346166</v>
      </c>
      <c r="R40" s="371">
        <v>1.1891094670142097</v>
      </c>
    </row>
    <row r="41" spans="2:18" x14ac:dyDescent="0.2">
      <c r="B41" s="369" t="s">
        <v>499</v>
      </c>
      <c r="C41" s="17">
        <v>33.5</v>
      </c>
      <c r="D41" s="17" t="s">
        <v>490</v>
      </c>
      <c r="F41" s="327">
        <v>1620.3557038190459</v>
      </c>
      <c r="G41" s="329">
        <v>0.65</v>
      </c>
      <c r="H41" s="327">
        <v>1840.8016369730972</v>
      </c>
      <c r="I41" s="329">
        <v>0.66631065233652176</v>
      </c>
      <c r="K41" s="327">
        <v>1197.1951478079807</v>
      </c>
      <c r="L41" s="328">
        <v>4.4109615683555606E-2</v>
      </c>
      <c r="M41" s="123">
        <v>1.2362145478392654</v>
      </c>
      <c r="N41" s="327">
        <v>464.40353665145585</v>
      </c>
      <c r="O41" s="327">
        <v>2473.6786982253006</v>
      </c>
      <c r="Q41" s="330">
        <v>1.2998275385600577</v>
      </c>
      <c r="R41" s="371">
        <v>1.1793684371121378</v>
      </c>
    </row>
    <row r="42" spans="2:18" x14ac:dyDescent="0.2">
      <c r="B42" s="369" t="s">
        <v>499</v>
      </c>
      <c r="C42" s="17">
        <v>33.5</v>
      </c>
      <c r="D42" s="17" t="s">
        <v>491</v>
      </c>
      <c r="F42" s="327">
        <v>1615.1903061241678</v>
      </c>
      <c r="G42" s="329">
        <v>0.65</v>
      </c>
      <c r="H42" s="327">
        <v>1594.3793523211723</v>
      </c>
      <c r="I42" s="329">
        <v>0.63351073508780231</v>
      </c>
      <c r="K42" s="327">
        <v>1197.6757722848249</v>
      </c>
      <c r="L42" s="328">
        <v>-2.0053053647279745E-2</v>
      </c>
      <c r="M42" s="123">
        <v>0.89382589777971122</v>
      </c>
      <c r="N42" s="327">
        <v>175.20663382869316</v>
      </c>
      <c r="O42" s="327">
        <v>2152.3392836319531</v>
      </c>
      <c r="Q42" s="330">
        <v>1.299830098267555</v>
      </c>
      <c r="R42" s="371">
        <v>1.1585081632666112</v>
      </c>
    </row>
    <row r="43" spans="2:18" x14ac:dyDescent="0.2">
      <c r="B43" s="348"/>
      <c r="C43" s="349"/>
      <c r="D43" s="349"/>
      <c r="E43" s="350"/>
      <c r="F43" s="351"/>
      <c r="G43" s="352"/>
      <c r="H43" s="351"/>
      <c r="I43" s="352"/>
      <c r="J43" s="353"/>
      <c r="K43" s="351"/>
      <c r="L43" s="354"/>
      <c r="M43" s="355"/>
      <c r="N43" s="351"/>
      <c r="O43" s="351"/>
      <c r="P43" s="353"/>
      <c r="Q43" s="356"/>
      <c r="R43" s="357"/>
    </row>
    <row r="44" spans="2:18" x14ac:dyDescent="0.2">
      <c r="B44" s="369" t="s">
        <v>500</v>
      </c>
      <c r="C44" s="17">
        <v>54.5</v>
      </c>
      <c r="D44" s="17" t="s">
        <v>276</v>
      </c>
      <c r="F44" s="327">
        <v>1622.5274934120046</v>
      </c>
      <c r="G44" s="329">
        <v>0.65</v>
      </c>
      <c r="H44" s="327">
        <v>1949.2131963465647</v>
      </c>
      <c r="I44" s="329">
        <v>0.67896331509430252</v>
      </c>
      <c r="K44" s="327">
        <v>1196.9725397683824</v>
      </c>
      <c r="L44" s="328">
        <v>7.4425092339515705E-2</v>
      </c>
      <c r="M44" s="123">
        <v>1.4038796693184508</v>
      </c>
      <c r="N44" s="327">
        <v>594.86746944381048</v>
      </c>
      <c r="O44" s="327">
        <v>2625.4622943977165</v>
      </c>
      <c r="Q44" s="330">
        <v>1.2998287497520442</v>
      </c>
      <c r="R44" s="371">
        <v>1.1622819090443117</v>
      </c>
    </row>
    <row r="45" spans="2:18" x14ac:dyDescent="0.2">
      <c r="B45" s="369" t="s">
        <v>500</v>
      </c>
      <c r="C45" s="17">
        <v>54.5</v>
      </c>
      <c r="D45" s="17" t="s">
        <v>489</v>
      </c>
      <c r="F45" s="327">
        <v>1619.1928648360058</v>
      </c>
      <c r="G45" s="329">
        <v>0.65</v>
      </c>
      <c r="H45" s="327">
        <v>1790.1302211618154</v>
      </c>
      <c r="I45" s="329">
        <v>0.66005462794128467</v>
      </c>
      <c r="K45" s="327">
        <v>1197.2828167896259</v>
      </c>
      <c r="L45" s="328">
        <v>3.3941969275474548E-2</v>
      </c>
      <c r="M45" s="123">
        <v>1.1827021848645214</v>
      </c>
      <c r="N45" s="327">
        <v>408.17045928946118</v>
      </c>
      <c r="O45" s="327">
        <v>2418.0150248058353</v>
      </c>
      <c r="Q45" s="330">
        <v>1.2998303245189546</v>
      </c>
      <c r="R45" s="371">
        <v>1.1487705064407603</v>
      </c>
    </row>
    <row r="46" spans="2:18" x14ac:dyDescent="0.2">
      <c r="B46" s="369" t="s">
        <v>500</v>
      </c>
      <c r="C46" s="17">
        <v>54.5</v>
      </c>
      <c r="D46" s="17" t="s">
        <v>490</v>
      </c>
      <c r="F46" s="327">
        <v>1616.1915953260805</v>
      </c>
      <c r="G46" s="329">
        <v>0.65</v>
      </c>
      <c r="H46" s="327">
        <v>1646.9505810284829</v>
      </c>
      <c r="I46" s="329">
        <v>0.64103792902357559</v>
      </c>
      <c r="K46" s="327">
        <v>1197.5620757916463</v>
      </c>
      <c r="L46" s="328">
        <v>-3.0400380492210384E-3</v>
      </c>
      <c r="M46" s="123">
        <v>0.98373669797497287</v>
      </c>
      <c r="N46" s="327">
        <v>240.13732592489532</v>
      </c>
      <c r="O46" s="327">
        <v>2231.3060110203314</v>
      </c>
      <c r="Q46" s="330">
        <v>1.299831991453376</v>
      </c>
      <c r="R46" s="371">
        <v>1.1343789498401291</v>
      </c>
    </row>
    <row r="47" spans="2:18" x14ac:dyDescent="0.2">
      <c r="B47" s="369" t="s">
        <v>500</v>
      </c>
      <c r="C47" s="17">
        <v>54.5</v>
      </c>
      <c r="D47" s="17" t="s">
        <v>491</v>
      </c>
      <c r="F47" s="327">
        <v>1611.0261989899539</v>
      </c>
      <c r="G47" s="329">
        <v>0.65</v>
      </c>
      <c r="H47" s="327">
        <v>1400.528296376558</v>
      </c>
      <c r="I47" s="329">
        <v>0.60283098793611556</v>
      </c>
      <c r="K47" s="327">
        <v>1247.1022793253264</v>
      </c>
      <c r="L47" s="328">
        <v>-6.7602805793285398E-2</v>
      </c>
      <c r="M47" s="123">
        <v>0.65555342310539577</v>
      </c>
      <c r="N47" s="327">
        <v>-49.059579032832289</v>
      </c>
      <c r="O47" s="327">
        <v>1909.9665964269843</v>
      </c>
      <c r="Q47" s="330">
        <v>1.2998356202276817</v>
      </c>
      <c r="R47" s="371">
        <v>1.1027232909241804</v>
      </c>
    </row>
    <row r="48" spans="2:18" x14ac:dyDescent="0.2">
      <c r="B48" s="348"/>
      <c r="C48" s="349"/>
      <c r="D48" s="349"/>
      <c r="E48" s="350"/>
      <c r="F48" s="351"/>
      <c r="G48" s="352"/>
      <c r="H48" s="351"/>
      <c r="I48" s="352"/>
      <c r="J48" s="353"/>
      <c r="K48" s="351"/>
      <c r="L48" s="354"/>
      <c r="M48" s="355"/>
      <c r="N48" s="351"/>
      <c r="O48" s="351"/>
      <c r="P48" s="353"/>
      <c r="Q48" s="356"/>
      <c r="R48" s="357"/>
    </row>
    <row r="49" spans="2:18" x14ac:dyDescent="0.2">
      <c r="B49" s="369" t="s">
        <v>501</v>
      </c>
      <c r="C49" s="17">
        <v>63.4</v>
      </c>
      <c r="D49" s="17" t="s">
        <v>276</v>
      </c>
      <c r="F49" s="327">
        <v>1626.9593446555734</v>
      </c>
      <c r="G49" s="329">
        <v>0.65</v>
      </c>
      <c r="H49" s="327">
        <v>2156.7789395549876</v>
      </c>
      <c r="I49" s="329">
        <v>0.70069754304398957</v>
      </c>
      <c r="K49" s="327">
        <v>1196.5855894552167</v>
      </c>
      <c r="L49" s="328">
        <v>0.12328827977180482</v>
      </c>
      <c r="M49" s="123">
        <v>1.6721055907267428</v>
      </c>
      <c r="N49" s="327">
        <v>834.53448624293367</v>
      </c>
      <c r="O49" s="327">
        <v>2883.5801567311119</v>
      </c>
      <c r="Q49" s="330">
        <v>1.2998246187178812</v>
      </c>
      <c r="R49" s="371">
        <v>1.1990545234514773</v>
      </c>
    </row>
    <row r="50" spans="2:18" x14ac:dyDescent="0.2">
      <c r="B50" s="369" t="s">
        <v>501</v>
      </c>
      <c r="C50" s="17">
        <v>63.4</v>
      </c>
      <c r="D50" s="17" t="s">
        <v>489</v>
      </c>
      <c r="F50" s="327">
        <v>1623.6247154904377</v>
      </c>
      <c r="G50" s="329">
        <v>0.65</v>
      </c>
      <c r="H50" s="327">
        <v>1997.6959643702396</v>
      </c>
      <c r="I50" s="329">
        <v>0.68431286835151817</v>
      </c>
      <c r="K50" s="327">
        <v>1196.8958664660529</v>
      </c>
      <c r="L50" s="328">
        <v>8.3564516901969935E-2</v>
      </c>
      <c r="M50" s="123">
        <v>1.4508789319321553</v>
      </c>
      <c r="N50" s="327">
        <v>647.83747701428013</v>
      </c>
      <c r="O50" s="327">
        <v>2676.1328871392302</v>
      </c>
      <c r="Q50" s="330">
        <v>1.2998257226020551</v>
      </c>
      <c r="R50" s="371">
        <v>1.1898731899501505</v>
      </c>
    </row>
    <row r="51" spans="2:18" x14ac:dyDescent="0.2">
      <c r="B51" s="369" t="s">
        <v>501</v>
      </c>
      <c r="C51" s="17">
        <v>63.4</v>
      </c>
      <c r="D51" s="17" t="s">
        <v>490</v>
      </c>
      <c r="F51" s="327">
        <v>1620.623445340035</v>
      </c>
      <c r="G51" s="329">
        <v>0.65</v>
      </c>
      <c r="H51" s="327">
        <v>1854.5163242369051</v>
      </c>
      <c r="I51" s="329">
        <v>0.6679638117146447</v>
      </c>
      <c r="K51" s="327">
        <v>1197.1751254567585</v>
      </c>
      <c r="L51" s="328">
        <v>4.7063609957695013E-2</v>
      </c>
      <c r="M51" s="123">
        <v>1.251866084877415</v>
      </c>
      <c r="N51" s="327">
        <v>479.80434465607368</v>
      </c>
      <c r="O51" s="327">
        <v>2489.4238733537268</v>
      </c>
      <c r="Q51" s="330">
        <v>1.2998268731911562</v>
      </c>
      <c r="R51" s="371">
        <v>1.1802632828687127</v>
      </c>
    </row>
    <row r="52" spans="2:18" x14ac:dyDescent="0.2">
      <c r="B52" s="369" t="s">
        <v>501</v>
      </c>
      <c r="C52" s="17">
        <v>63.4</v>
      </c>
      <c r="D52" s="17" t="s">
        <v>491</v>
      </c>
      <c r="F52" s="327">
        <v>1615.4580475504256</v>
      </c>
      <c r="G52" s="329">
        <v>0.65</v>
      </c>
      <c r="H52" s="327">
        <v>1608.0940395849807</v>
      </c>
      <c r="I52" s="329">
        <v>0.6355020837744334</v>
      </c>
      <c r="K52" s="327">
        <v>1197.6557499319288</v>
      </c>
      <c r="L52" s="328">
        <v>-1.7113056778907777E-2</v>
      </c>
      <c r="M52" s="123">
        <v>0.90947817436750344</v>
      </c>
      <c r="N52" s="327">
        <v>190.60744198216094</v>
      </c>
      <c r="O52" s="327">
        <v>2168.0844587603797</v>
      </c>
      <c r="Q52" s="330">
        <v>1.2998293164791168</v>
      </c>
      <c r="R52" s="371">
        <v>1.1597183283111758</v>
      </c>
    </row>
    <row r="53" spans="2:18" x14ac:dyDescent="0.2">
      <c r="B53" s="348"/>
      <c r="C53" s="349"/>
      <c r="D53" s="349"/>
      <c r="E53" s="350"/>
      <c r="F53" s="351"/>
      <c r="G53" s="352"/>
      <c r="H53" s="351"/>
      <c r="I53" s="352"/>
      <c r="J53" s="353"/>
      <c r="K53" s="351"/>
      <c r="L53" s="354"/>
      <c r="M53" s="355"/>
      <c r="N53" s="351"/>
      <c r="O53" s="351"/>
      <c r="P53" s="353"/>
      <c r="Q53" s="356"/>
      <c r="R53" s="357"/>
    </row>
    <row r="54" spans="2:18" x14ac:dyDescent="0.2">
      <c r="B54" s="369" t="s">
        <v>502</v>
      </c>
      <c r="C54" s="17">
        <v>86.4</v>
      </c>
      <c r="D54" s="17" t="s">
        <v>276</v>
      </c>
      <c r="F54" s="327">
        <v>1622.2659445106999</v>
      </c>
      <c r="G54" s="329">
        <v>0.65</v>
      </c>
      <c r="H54" s="327">
        <v>1934.9433852977022</v>
      </c>
      <c r="I54" s="329">
        <v>0.67735556480044434</v>
      </c>
      <c r="K54" s="327">
        <v>1196.9896086653582</v>
      </c>
      <c r="L54" s="328">
        <v>7.1599367260932953E-2</v>
      </c>
      <c r="M54" s="123">
        <v>1.3889759360167908</v>
      </c>
      <c r="N54" s="327">
        <v>579.13852108333072</v>
      </c>
      <c r="O54" s="327">
        <v>2609.9688160340629</v>
      </c>
      <c r="Q54" s="330">
        <v>1.2998296479946196</v>
      </c>
      <c r="R54" s="371">
        <v>1.162437025704125</v>
      </c>
    </row>
    <row r="55" spans="2:18" x14ac:dyDescent="0.2">
      <c r="B55" s="369" t="s">
        <v>502</v>
      </c>
      <c r="C55" s="17">
        <v>86.4</v>
      </c>
      <c r="D55" s="17" t="s">
        <v>489</v>
      </c>
      <c r="F55" s="327">
        <v>1618.9313160101062</v>
      </c>
      <c r="G55" s="329">
        <v>0.65</v>
      </c>
      <c r="H55" s="327">
        <v>1775.8604101129538</v>
      </c>
      <c r="I55" s="329">
        <v>0.65825236379805918</v>
      </c>
      <c r="K55" s="327">
        <v>1197.2998856879344</v>
      </c>
      <c r="L55" s="328">
        <v>3.1133118271827697E-2</v>
      </c>
      <c r="M55" s="123">
        <v>1.1678057489411895</v>
      </c>
      <c r="N55" s="327">
        <v>392.44151081050109</v>
      </c>
      <c r="O55" s="327">
        <v>2402.5215464421813</v>
      </c>
      <c r="Q55" s="330">
        <v>1.2998313097180456</v>
      </c>
      <c r="R55" s="371">
        <v>1.1488305357962854</v>
      </c>
    </row>
    <row r="56" spans="2:18" x14ac:dyDescent="0.2">
      <c r="B56" s="369" t="s">
        <v>502</v>
      </c>
      <c r="C56" s="17">
        <v>86.4</v>
      </c>
      <c r="D56" s="17" t="s">
        <v>490</v>
      </c>
      <c r="F56" s="327">
        <v>1615.9300465825327</v>
      </c>
      <c r="G56" s="329">
        <v>0.65</v>
      </c>
      <c r="H56" s="327">
        <v>1632.6807699796207</v>
      </c>
      <c r="I56" s="329">
        <v>0.63902877777110634</v>
      </c>
      <c r="K56" s="327">
        <v>1197.5791446914095</v>
      </c>
      <c r="L56" s="328">
        <v>-5.8145061135292057E-3</v>
      </c>
      <c r="M56" s="123">
        <v>0.96884657569272992</v>
      </c>
      <c r="N56" s="327">
        <v>224.40837731653733</v>
      </c>
      <c r="O56" s="327">
        <v>2215.8125326566774</v>
      </c>
      <c r="Q56" s="330">
        <v>1.299833070377481</v>
      </c>
      <c r="R56" s="371">
        <v>1.1343179893604105</v>
      </c>
    </row>
    <row r="57" spans="2:18" x14ac:dyDescent="0.2">
      <c r="B57" s="369" t="s">
        <v>502</v>
      </c>
      <c r="C57" s="17">
        <v>86.4</v>
      </c>
      <c r="D57" s="17" t="s">
        <v>491</v>
      </c>
      <c r="F57" s="327">
        <v>1610.764650434877</v>
      </c>
      <c r="G57" s="329">
        <v>0.65</v>
      </c>
      <c r="H57" s="327">
        <v>1386.2584853276967</v>
      </c>
      <c r="I57" s="329">
        <v>0.60037199345649161</v>
      </c>
      <c r="K57" s="327">
        <v>1262.8482971329145</v>
      </c>
      <c r="L57" s="328">
        <v>-7.0284715294837943E-2</v>
      </c>
      <c r="M57" s="123">
        <v>0.64571080486997467</v>
      </c>
      <c r="N57" s="327">
        <v>-64.788527937327899</v>
      </c>
      <c r="O57" s="327">
        <v>1894.4731180633305</v>
      </c>
      <c r="Q57" s="330">
        <v>1.2998369090948074</v>
      </c>
      <c r="R57" s="371">
        <v>1.1023244534635783</v>
      </c>
    </row>
    <row r="58" spans="2:18" x14ac:dyDescent="0.2">
      <c r="B58" s="348"/>
      <c r="C58" s="349"/>
      <c r="D58" s="349"/>
      <c r="E58" s="350"/>
      <c r="F58" s="351"/>
      <c r="G58" s="352"/>
      <c r="H58" s="351"/>
      <c r="I58" s="352"/>
      <c r="J58" s="353"/>
      <c r="K58" s="351"/>
      <c r="L58" s="354"/>
      <c r="M58" s="355"/>
      <c r="N58" s="351"/>
      <c r="O58" s="351"/>
      <c r="P58" s="353"/>
      <c r="Q58" s="356"/>
      <c r="R58" s="357"/>
    </row>
    <row r="59" spans="2:18" x14ac:dyDescent="0.2">
      <c r="B59" s="369" t="s">
        <v>517</v>
      </c>
      <c r="C59" s="372">
        <v>5.6000000000000001E-2</v>
      </c>
      <c r="D59" s="17" t="s">
        <v>276</v>
      </c>
      <c r="F59" s="327">
        <v>1625.2044208619691</v>
      </c>
      <c r="G59" s="329">
        <v>0.65</v>
      </c>
      <c r="H59" s="327">
        <v>2073.8317323109595</v>
      </c>
      <c r="I59" s="329">
        <v>0.69288563168992523</v>
      </c>
      <c r="K59" s="327">
        <v>1194.5234015932065</v>
      </c>
      <c r="L59" s="328">
        <v>0.10513575673103334</v>
      </c>
      <c r="M59" s="123">
        <v>1.5725952631203071</v>
      </c>
      <c r="N59" s="327">
        <v>743.14893643248342</v>
      </c>
      <c r="O59" s="327">
        <v>2781.2733076009108</v>
      </c>
      <c r="Q59" s="330">
        <v>1.2998263841687583</v>
      </c>
      <c r="R59" s="371">
        <v>1.1862791749511421</v>
      </c>
    </row>
    <row r="60" spans="2:18" x14ac:dyDescent="0.2">
      <c r="B60" s="369" t="s">
        <v>517</v>
      </c>
      <c r="C60" s="372">
        <v>5.6000000000000001E-2</v>
      </c>
      <c r="D60" s="17" t="s">
        <v>489</v>
      </c>
      <c r="F60" s="327">
        <v>1621.8697919063461</v>
      </c>
      <c r="G60" s="329">
        <v>0.65</v>
      </c>
      <c r="H60" s="327">
        <v>1914.7487571262104</v>
      </c>
      <c r="I60" s="329">
        <v>0.67557638960126087</v>
      </c>
      <c r="K60" s="327">
        <v>1194.8148769355794</v>
      </c>
      <c r="L60" s="328">
        <v>6.5075680613517761E-2</v>
      </c>
      <c r="M60" s="123">
        <v>1.3510636276464931</v>
      </c>
      <c r="N60" s="327">
        <v>556.48684426579007</v>
      </c>
      <c r="O60" s="327">
        <v>2573.8260380090292</v>
      </c>
      <c r="Q60" s="330">
        <v>1.2998276736944263</v>
      </c>
      <c r="R60" s="371">
        <v>1.1756392766328025</v>
      </c>
    </row>
    <row r="61" spans="2:18" x14ac:dyDescent="0.2">
      <c r="B61" s="369" t="s">
        <v>517</v>
      </c>
      <c r="C61" s="372">
        <v>5.6000000000000001E-2</v>
      </c>
      <c r="D61" s="17" t="s">
        <v>490</v>
      </c>
      <c r="F61" s="327">
        <v>1618.8685219816912</v>
      </c>
      <c r="G61" s="329">
        <v>0.65</v>
      </c>
      <c r="H61" s="327">
        <v>1771.5691169928778</v>
      </c>
      <c r="I61" s="329">
        <v>0.6582510780825076</v>
      </c>
      <c r="K61" s="327">
        <v>1195.0772138388127</v>
      </c>
      <c r="L61" s="328">
        <v>2.8330543637275694E-2</v>
      </c>
      <c r="M61" s="123">
        <v>1.1517023985904535</v>
      </c>
      <c r="N61" s="327">
        <v>388.48513829415811</v>
      </c>
      <c r="O61" s="327">
        <v>2387.1170242235262</v>
      </c>
      <c r="Q61" s="330">
        <v>1.2998290255193601</v>
      </c>
      <c r="R61" s="371">
        <v>1.1644297121862033</v>
      </c>
    </row>
    <row r="62" spans="2:18" x14ac:dyDescent="0.2">
      <c r="B62" s="369" t="s">
        <v>517</v>
      </c>
      <c r="C62" s="372">
        <v>5.6000000000000001E-2</v>
      </c>
      <c r="D62" s="17" t="s">
        <v>491</v>
      </c>
      <c r="F62" s="327">
        <v>1613.7031246969959</v>
      </c>
      <c r="G62" s="329">
        <v>0.65</v>
      </c>
      <c r="H62" s="327">
        <v>1525.1468323409524</v>
      </c>
      <c r="I62" s="329">
        <v>0.62369098465170636</v>
      </c>
      <c r="K62" s="327">
        <v>1195.5287142069415</v>
      </c>
      <c r="L62" s="328">
        <v>-3.6086142808198926E-2</v>
      </c>
      <c r="M62" s="123">
        <v>0.80876832633497708</v>
      </c>
      <c r="N62" s="327">
        <v>99.342322470816271</v>
      </c>
      <c r="O62" s="327">
        <v>2065.7776096301786</v>
      </c>
      <c r="Q62" s="330">
        <v>1.2998319225756583</v>
      </c>
      <c r="R62" s="371">
        <v>1.1402109257165924</v>
      </c>
    </row>
    <row r="63" spans="2:18" x14ac:dyDescent="0.2">
      <c r="B63" s="348"/>
      <c r="C63" s="373"/>
      <c r="D63" s="349"/>
      <c r="E63" s="350"/>
      <c r="F63" s="351"/>
      <c r="G63" s="352"/>
      <c r="H63" s="351"/>
      <c r="I63" s="352"/>
      <c r="J63" s="353"/>
      <c r="K63" s="351"/>
      <c r="L63" s="354"/>
      <c r="M63" s="355"/>
      <c r="N63" s="351"/>
      <c r="O63" s="351"/>
      <c r="P63" s="353"/>
      <c r="Q63" s="356"/>
      <c r="R63" s="357"/>
    </row>
    <row r="64" spans="2:18" x14ac:dyDescent="0.2">
      <c r="B64" s="369" t="s">
        <v>518</v>
      </c>
      <c r="C64" s="372">
        <v>6.4000000000000001E-2</v>
      </c>
      <c r="D64" s="17" t="s">
        <v>276</v>
      </c>
      <c r="F64" s="327">
        <v>1625.2044208619691</v>
      </c>
      <c r="G64" s="329">
        <v>0.65</v>
      </c>
      <c r="H64" s="327">
        <v>2073.8317323109595</v>
      </c>
      <c r="I64" s="329">
        <v>0.691248222108231</v>
      </c>
      <c r="K64" s="327">
        <v>1201.613222423508</v>
      </c>
      <c r="L64" s="328">
        <v>0.10167320370674135</v>
      </c>
      <c r="M64" s="123">
        <v>1.5523589438840073</v>
      </c>
      <c r="N64" s="327">
        <v>729.98212631906631</v>
      </c>
      <c r="O64" s="327">
        <v>2781.2733076009108</v>
      </c>
      <c r="Q64" s="330">
        <v>1.2998263841687583</v>
      </c>
      <c r="R64" s="371">
        <v>1.1862791749511421</v>
      </c>
    </row>
    <row r="65" spans="2:18" x14ac:dyDescent="0.2">
      <c r="B65" s="369" t="s">
        <v>518</v>
      </c>
      <c r="C65" s="372">
        <v>6.4000000000000001E-2</v>
      </c>
      <c r="D65" s="17" t="s">
        <v>489</v>
      </c>
      <c r="F65" s="327">
        <v>1621.8697919063461</v>
      </c>
      <c r="G65" s="329">
        <v>0.65</v>
      </c>
      <c r="H65" s="327">
        <v>1914.7487571262104</v>
      </c>
      <c r="I65" s="329">
        <v>0.67387639638289665</v>
      </c>
      <c r="K65" s="327">
        <v>1201.9648478841868</v>
      </c>
      <c r="L65" s="328">
        <v>6.1674651503562924E-2</v>
      </c>
      <c r="M65" s="123">
        <v>1.3319793896974739</v>
      </c>
      <c r="N65" s="327">
        <v>543.20832678980423</v>
      </c>
      <c r="O65" s="327">
        <v>2573.8260380090292</v>
      </c>
      <c r="Q65" s="330">
        <v>1.2998276736944263</v>
      </c>
      <c r="R65" s="371">
        <v>1.1756392766328025</v>
      </c>
    </row>
    <row r="66" spans="2:18" x14ac:dyDescent="0.2">
      <c r="B66" s="369" t="s">
        <v>518</v>
      </c>
      <c r="C66" s="372">
        <v>6.4000000000000001E-2</v>
      </c>
      <c r="D66" s="17" t="s">
        <v>490</v>
      </c>
      <c r="F66" s="327">
        <v>1618.8685219816912</v>
      </c>
      <c r="G66" s="329">
        <v>0.65</v>
      </c>
      <c r="H66" s="327">
        <v>1771.5691169928778</v>
      </c>
      <c r="I66" s="329">
        <v>0.65649378456189877</v>
      </c>
      <c r="K66" s="327">
        <v>1202.2813217702594</v>
      </c>
      <c r="L66" s="328">
        <v>2.5012752413749697E-2</v>
      </c>
      <c r="M66" s="123">
        <v>1.1336733020896379</v>
      </c>
      <c r="N66" s="327">
        <v>375.10608070718581</v>
      </c>
      <c r="O66" s="327">
        <v>2387.1170242235262</v>
      </c>
      <c r="Q66" s="330">
        <v>1.2998290255193601</v>
      </c>
      <c r="R66" s="371">
        <v>1.1644297121862033</v>
      </c>
    </row>
    <row r="67" spans="2:18" x14ac:dyDescent="0.2">
      <c r="B67" s="369" t="s">
        <v>518</v>
      </c>
      <c r="C67" s="372">
        <v>6.4000000000000001E-2</v>
      </c>
      <c r="D67" s="17" t="s">
        <v>491</v>
      </c>
      <c r="F67" s="327">
        <v>1613.7031246969959</v>
      </c>
      <c r="G67" s="329">
        <v>0.65</v>
      </c>
      <c r="H67" s="327">
        <v>1525.1468323409524</v>
      </c>
      <c r="I67" s="329">
        <v>0.6218353421487659</v>
      </c>
      <c r="K67" s="327">
        <v>1202.8259957138723</v>
      </c>
      <c r="L67" s="328">
        <v>-3.9199208468198771E-2</v>
      </c>
      <c r="M67" s="123">
        <v>0.7925948278841336</v>
      </c>
      <c r="N67" s="327">
        <v>85.790228243659385</v>
      </c>
      <c r="O67" s="327">
        <v>2065.7776096301786</v>
      </c>
      <c r="Q67" s="330">
        <v>1.2998319225756583</v>
      </c>
      <c r="R67" s="371">
        <v>1.1402109257165924</v>
      </c>
    </row>
    <row r="68" spans="2:18" x14ac:dyDescent="0.2">
      <c r="B68" s="348"/>
      <c r="C68" s="349"/>
      <c r="D68" s="349"/>
      <c r="E68" s="350"/>
      <c r="F68" s="351"/>
      <c r="G68" s="352"/>
      <c r="H68" s="351"/>
      <c r="I68" s="352"/>
      <c r="J68" s="353"/>
      <c r="K68" s="351"/>
      <c r="L68" s="354"/>
      <c r="M68" s="355"/>
      <c r="N68" s="351"/>
      <c r="O68" s="351"/>
      <c r="P68" s="353"/>
      <c r="Q68" s="356"/>
      <c r="R68" s="357"/>
    </row>
    <row r="69" spans="2:18" x14ac:dyDescent="0.2">
      <c r="B69" s="369" t="s">
        <v>504</v>
      </c>
      <c r="C69" s="374">
        <v>5.6000000000000001E-2</v>
      </c>
      <c r="D69" s="17" t="s">
        <v>276</v>
      </c>
      <c r="F69" s="327">
        <v>1624.8903072532798</v>
      </c>
      <c r="G69" s="329">
        <v>0.65</v>
      </c>
      <c r="H69" s="327">
        <v>2101.8711631928163</v>
      </c>
      <c r="I69" s="329">
        <v>0.69522799367323718</v>
      </c>
      <c r="K69" s="327">
        <v>1196.7311083676104</v>
      </c>
      <c r="L69" s="328">
        <v>0.1064864456653595</v>
      </c>
      <c r="M69" s="123">
        <v>1.5727549844328239</v>
      </c>
      <c r="N69" s="327">
        <v>767.57159215326556</v>
      </c>
      <c r="O69" s="327">
        <v>2781.2733076009108</v>
      </c>
      <c r="Q69" s="330">
        <v>1.2996363220902438</v>
      </c>
      <c r="R69" s="371">
        <v>1.2051023969278294</v>
      </c>
    </row>
    <row r="70" spans="2:18" x14ac:dyDescent="0.2">
      <c r="B70" s="369" t="s">
        <v>504</v>
      </c>
      <c r="C70" s="374">
        <v>5.6000000000000001E-2</v>
      </c>
      <c r="D70" s="17" t="s">
        <v>489</v>
      </c>
      <c r="F70" s="327">
        <v>1621.5792507751185</v>
      </c>
      <c r="G70" s="329">
        <v>0.65</v>
      </c>
      <c r="H70" s="327">
        <v>1940.5871626881828</v>
      </c>
      <c r="I70" s="329">
        <v>0.67797938963811022</v>
      </c>
      <c r="K70" s="327">
        <v>1197.0418018138703</v>
      </c>
      <c r="L70" s="328">
        <v>6.5893402695655828E-2</v>
      </c>
      <c r="M70" s="123">
        <v>1.3510856696237468</v>
      </c>
      <c r="N70" s="327">
        <v>578.63651855238538</v>
      </c>
      <c r="O70" s="327">
        <v>2573.8260380090292</v>
      </c>
      <c r="Q70" s="330">
        <v>1.2996390050430142</v>
      </c>
      <c r="R70" s="371">
        <v>1.1943252900552639</v>
      </c>
    </row>
    <row r="71" spans="2:18" x14ac:dyDescent="0.2">
      <c r="B71" s="369" t="s">
        <v>504</v>
      </c>
      <c r="C71" s="374">
        <v>5.6000000000000001E-2</v>
      </c>
      <c r="D71" s="17" t="s">
        <v>490</v>
      </c>
      <c r="F71" s="327">
        <v>1618.5991969815091</v>
      </c>
      <c r="G71" s="329">
        <v>0.65</v>
      </c>
      <c r="H71" s="327">
        <v>1795.4265311077161</v>
      </c>
      <c r="I71" s="329">
        <v>0.66070780620048386</v>
      </c>
      <c r="K71" s="327">
        <v>1197.321435613037</v>
      </c>
      <c r="L71" s="328">
        <v>2.8661122918128969E-2</v>
      </c>
      <c r="M71" s="123">
        <v>1.151595412974231</v>
      </c>
      <c r="N71" s="327">
        <v>408.58905812527894</v>
      </c>
      <c r="O71" s="327">
        <v>2387.1170242235262</v>
      </c>
      <c r="Q71" s="330">
        <v>1.2996418178554507</v>
      </c>
      <c r="R71" s="371">
        <v>1.1829705538620177</v>
      </c>
    </row>
    <row r="72" spans="2:18" x14ac:dyDescent="0.2">
      <c r="B72" s="369" t="s">
        <v>504</v>
      </c>
      <c r="C72" s="374">
        <v>5.6000000000000001E-2</v>
      </c>
      <c r="D72" s="17" t="s">
        <v>491</v>
      </c>
      <c r="F72" s="327">
        <v>1613.4703146573622</v>
      </c>
      <c r="G72" s="329">
        <v>0.65</v>
      </c>
      <c r="H72" s="327">
        <v>1545.5948201028282</v>
      </c>
      <c r="I72" s="329">
        <v>0.62623405385020536</v>
      </c>
      <c r="K72" s="327">
        <v>1197.8027051709394</v>
      </c>
      <c r="L72" s="328">
        <v>-3.6577813327312476E-2</v>
      </c>
      <c r="M72" s="123">
        <v>0.8084499977703139</v>
      </c>
      <c r="N72" s="327">
        <v>115.92535344843986</v>
      </c>
      <c r="O72" s="327">
        <v>2065.7776096301786</v>
      </c>
      <c r="Q72" s="330">
        <v>1.299647846752003</v>
      </c>
      <c r="R72" s="371">
        <v>1.1584359553571375</v>
      </c>
    </row>
    <row r="73" spans="2:18" x14ac:dyDescent="0.2">
      <c r="B73" s="348"/>
      <c r="C73" s="373"/>
      <c r="D73" s="349"/>
      <c r="E73" s="350"/>
      <c r="F73" s="351"/>
      <c r="G73" s="352"/>
      <c r="H73" s="351"/>
      <c r="I73" s="352"/>
      <c r="J73" s="353"/>
      <c r="K73" s="351"/>
      <c r="L73" s="354"/>
      <c r="M73" s="355"/>
      <c r="N73" s="351"/>
      <c r="O73" s="351"/>
      <c r="P73" s="353"/>
      <c r="Q73" s="356"/>
      <c r="R73" s="357"/>
    </row>
    <row r="74" spans="2:18" x14ac:dyDescent="0.2">
      <c r="B74" s="369" t="s">
        <v>505</v>
      </c>
      <c r="C74" s="374">
        <v>6.2E-2</v>
      </c>
      <c r="D74" s="17" t="s">
        <v>276</v>
      </c>
      <c r="F74" s="327">
        <v>1625.5090499116857</v>
      </c>
      <c r="G74" s="329">
        <v>0.65</v>
      </c>
      <c r="H74" s="327">
        <v>2046.381365645608</v>
      </c>
      <c r="I74" s="329">
        <v>0.68952703297571305</v>
      </c>
      <c r="K74" s="327">
        <v>1196.7420390842167</v>
      </c>
      <c r="L74" s="328">
        <v>0.10171775221824647</v>
      </c>
      <c r="M74" s="123">
        <v>1.5599725465501266</v>
      </c>
      <c r="N74" s="327">
        <v>711.10958292162513</v>
      </c>
      <c r="O74" s="327">
        <v>2781.2733076009108</v>
      </c>
      <c r="Q74" s="330">
        <v>1.299944778753267</v>
      </c>
      <c r="R74" s="371">
        <v>1.168643021067503</v>
      </c>
    </row>
    <row r="75" spans="2:18" x14ac:dyDescent="0.2">
      <c r="B75" s="369" t="s">
        <v>505</v>
      </c>
      <c r="C75" s="374">
        <v>6.2E-2</v>
      </c>
      <c r="D75" s="17" t="s">
        <v>489</v>
      </c>
      <c r="F75" s="327">
        <v>1622.1515793013136</v>
      </c>
      <c r="G75" s="329">
        <v>0.65</v>
      </c>
      <c r="H75" s="327">
        <v>1889.4526396777092</v>
      </c>
      <c r="I75" s="329">
        <v>0.67211950422901356</v>
      </c>
      <c r="K75" s="327">
        <v>1197.0519125777566</v>
      </c>
      <c r="L75" s="328">
        <v>6.2212464213371288E-2</v>
      </c>
      <c r="M75" s="123">
        <v>1.3392961204758724</v>
      </c>
      <c r="N75" s="327">
        <v>526.60271298406451</v>
      </c>
      <c r="O75" s="327">
        <v>2573.8260380090292</v>
      </c>
      <c r="Q75" s="330">
        <v>1.2999451916626148</v>
      </c>
      <c r="R75" s="371">
        <v>1.1581307480117755</v>
      </c>
    </row>
    <row r="76" spans="2:18" x14ac:dyDescent="0.2">
      <c r="B76" s="369" t="s">
        <v>505</v>
      </c>
      <c r="C76" s="374">
        <v>6.2E-2</v>
      </c>
      <c r="D76" s="17" t="s">
        <v>490</v>
      </c>
      <c r="F76" s="327">
        <v>1619.1297510689474</v>
      </c>
      <c r="G76" s="329">
        <v>0.65</v>
      </c>
      <c r="H76" s="327">
        <v>1748.211891039635</v>
      </c>
      <c r="I76" s="329">
        <v>0.65470615492389261</v>
      </c>
      <c r="K76" s="327">
        <v>1197.3308083890936</v>
      </c>
      <c r="L76" s="328">
        <v>2.5991371273994448E-2</v>
      </c>
      <c r="M76" s="123">
        <v>1.1407023212500824</v>
      </c>
      <c r="N76" s="327">
        <v>360.54077441549487</v>
      </c>
      <c r="O76" s="327">
        <v>2387.1170242235262</v>
      </c>
      <c r="Q76" s="330">
        <v>1.299945624483535</v>
      </c>
      <c r="R76" s="371">
        <v>1.1470562417526922</v>
      </c>
    </row>
    <row r="77" spans="2:18" x14ac:dyDescent="0.2">
      <c r="B77" s="369" t="s">
        <v>505</v>
      </c>
      <c r="C77" s="374">
        <v>6.2E-2</v>
      </c>
      <c r="D77" s="17" t="s">
        <v>491</v>
      </c>
      <c r="F77" s="327">
        <v>1613.928971164833</v>
      </c>
      <c r="G77" s="329">
        <v>0.65</v>
      </c>
      <c r="H77" s="327">
        <v>1505.1265757466847</v>
      </c>
      <c r="I77" s="329">
        <v>0.62000130907958995</v>
      </c>
      <c r="K77" s="327">
        <v>1197.8108078033258</v>
      </c>
      <c r="L77" s="328">
        <v>-3.7511055916547784E-2</v>
      </c>
      <c r="M77" s="123">
        <v>0.79909732723349558</v>
      </c>
      <c r="N77" s="327">
        <v>74.736435950327859</v>
      </c>
      <c r="O77" s="327">
        <v>2065.7776096301786</v>
      </c>
      <c r="Q77" s="330">
        <v>1.2999465519211835</v>
      </c>
      <c r="R77" s="371">
        <v>1.1231313558351301</v>
      </c>
    </row>
    <row r="78" spans="2:18" x14ac:dyDescent="0.2">
      <c r="B78" s="348"/>
      <c r="C78" s="373"/>
      <c r="D78" s="349"/>
      <c r="E78" s="350"/>
      <c r="F78" s="351"/>
      <c r="G78" s="352"/>
      <c r="H78" s="351"/>
      <c r="I78" s="352"/>
      <c r="J78" s="353"/>
      <c r="K78" s="351"/>
      <c r="L78" s="354"/>
      <c r="M78" s="355"/>
      <c r="N78" s="351"/>
      <c r="O78" s="351"/>
      <c r="P78" s="353"/>
      <c r="Q78" s="356"/>
      <c r="R78" s="357"/>
    </row>
    <row r="79" spans="2:18" x14ac:dyDescent="0.2">
      <c r="B79" s="369" t="s">
        <v>506</v>
      </c>
      <c r="C79" s="374">
        <v>6.3E-2</v>
      </c>
      <c r="D79" s="17" t="s">
        <v>276</v>
      </c>
      <c r="F79" s="327">
        <v>1624.9932828549581</v>
      </c>
      <c r="G79" s="329">
        <v>0.65</v>
      </c>
      <c r="H79" s="327">
        <v>2092.458287226169</v>
      </c>
      <c r="I79" s="329">
        <v>0.69427571513387842</v>
      </c>
      <c r="K79" s="327">
        <v>1196.7329275360548</v>
      </c>
      <c r="L79" s="328">
        <v>0.10567424893379215</v>
      </c>
      <c r="M79" s="123">
        <v>1.570538850181447</v>
      </c>
      <c r="N79" s="327">
        <v>757.99691372835355</v>
      </c>
      <c r="O79" s="327">
        <v>2781.2733076009108</v>
      </c>
      <c r="Q79" s="330">
        <v>1.2999421478754871</v>
      </c>
      <c r="R79" s="371">
        <v>1.1986119586922013</v>
      </c>
    </row>
    <row r="80" spans="2:18" x14ac:dyDescent="0.2">
      <c r="B80" s="369" t="s">
        <v>506</v>
      </c>
      <c r="C80" s="374">
        <v>6.3E-2</v>
      </c>
      <c r="D80" s="17" t="s">
        <v>489</v>
      </c>
      <c r="F80" s="327">
        <v>1621.6745320822524</v>
      </c>
      <c r="G80" s="329">
        <v>0.65</v>
      </c>
      <c r="H80" s="327">
        <v>1931.9132349158174</v>
      </c>
      <c r="I80" s="329">
        <v>0.6770001746878056</v>
      </c>
      <c r="K80" s="327">
        <v>1197.0434850547974</v>
      </c>
      <c r="L80" s="328">
        <v>6.5261694788932817E-2</v>
      </c>
      <c r="M80" s="123">
        <v>1.3490385669879081</v>
      </c>
      <c r="N80" s="327">
        <v>569.81287813479514</v>
      </c>
      <c r="O80" s="327">
        <v>2573.8260380090292</v>
      </c>
      <c r="Q80" s="330">
        <v>1.2999425748738493</v>
      </c>
      <c r="R80" s="371">
        <v>1.1878825570000349</v>
      </c>
    </row>
    <row r="81" spans="2:18" x14ac:dyDescent="0.2">
      <c r="B81" s="369" t="s">
        <v>506</v>
      </c>
      <c r="C81" s="374">
        <v>6.3E-2</v>
      </c>
      <c r="D81" s="17" t="s">
        <v>490</v>
      </c>
      <c r="F81" s="327">
        <v>1618.6875529123513</v>
      </c>
      <c r="G81" s="329">
        <v>0.65</v>
      </c>
      <c r="H81" s="327">
        <v>1787.4176797611069</v>
      </c>
      <c r="I81" s="329">
        <v>0.65970450277823256</v>
      </c>
      <c r="K81" s="327">
        <v>1197.3229965101682</v>
      </c>
      <c r="L81" s="328">
        <v>2.8211084008216855E-2</v>
      </c>
      <c r="M81" s="123">
        <v>1.1497898904820623</v>
      </c>
      <c r="N81" s="327">
        <v>400.4413757684157</v>
      </c>
      <c r="O81" s="327">
        <v>2387.1170242235262</v>
      </c>
      <c r="Q81" s="330">
        <v>1.2999430225364697</v>
      </c>
      <c r="R81" s="371">
        <v>1.1765782843393759</v>
      </c>
    </row>
    <row r="82" spans="2:18" x14ac:dyDescent="0.2">
      <c r="B82" s="369" t="s">
        <v>506</v>
      </c>
      <c r="C82" s="374">
        <v>6.3E-2</v>
      </c>
      <c r="D82" s="17" t="s">
        <v>491</v>
      </c>
      <c r="F82" s="327">
        <v>1613.5467507110966</v>
      </c>
      <c r="G82" s="329">
        <v>0.65</v>
      </c>
      <c r="H82" s="327">
        <v>1538.7306123113365</v>
      </c>
      <c r="I82" s="329">
        <v>0.625191295684005</v>
      </c>
      <c r="K82" s="327">
        <v>1197.8040554913523</v>
      </c>
      <c r="L82" s="328">
        <v>-3.6704340577125558E-2</v>
      </c>
      <c r="M82" s="123">
        <v>0.80703724650265385</v>
      </c>
      <c r="N82" s="327">
        <v>108.94104399021762</v>
      </c>
      <c r="O82" s="327">
        <v>2065.7776096301786</v>
      </c>
      <c r="Q82" s="330">
        <v>1.2999439820316578</v>
      </c>
      <c r="R82" s="371">
        <v>1.1521534302019476</v>
      </c>
    </row>
    <row r="83" spans="2:18" x14ac:dyDescent="0.2">
      <c r="B83" s="348"/>
      <c r="C83" s="373"/>
      <c r="D83" s="349"/>
      <c r="E83" s="350"/>
      <c r="F83" s="351"/>
      <c r="G83" s="352"/>
      <c r="H83" s="351"/>
      <c r="I83" s="352"/>
      <c r="J83" s="353"/>
      <c r="K83" s="351"/>
      <c r="L83" s="354"/>
      <c r="M83" s="355"/>
      <c r="N83" s="351"/>
      <c r="O83" s="351"/>
      <c r="P83" s="353"/>
      <c r="Q83" s="356"/>
      <c r="R83" s="357"/>
    </row>
    <row r="84" spans="2:18" x14ac:dyDescent="0.2">
      <c r="B84" s="369" t="s">
        <v>507</v>
      </c>
      <c r="C84" s="374">
        <v>6.9000000000000006E-2</v>
      </c>
      <c r="D84" s="17" t="s">
        <v>276</v>
      </c>
      <c r="F84" s="327">
        <v>1625.4116206461347</v>
      </c>
      <c r="G84" s="329">
        <v>0.65</v>
      </c>
      <c r="H84" s="327">
        <v>2055.4669744595117</v>
      </c>
      <c r="I84" s="329">
        <v>0.69047501034447811</v>
      </c>
      <c r="K84" s="327">
        <v>1196.7403178974255</v>
      </c>
      <c r="L84" s="328">
        <v>0.10246126055717469</v>
      </c>
      <c r="M84" s="123">
        <v>1.5619310964712467</v>
      </c>
      <c r="N84" s="327">
        <v>720.34827940305559</v>
      </c>
      <c r="O84" s="327">
        <v>2781.2733076009108</v>
      </c>
      <c r="Q84" s="330">
        <v>1.2996528563756946</v>
      </c>
      <c r="R84" s="371">
        <v>1.1744807584835155</v>
      </c>
    </row>
    <row r="85" spans="2:18" x14ac:dyDescent="0.2">
      <c r="B85" s="369" t="s">
        <v>507</v>
      </c>
      <c r="C85" s="374">
        <v>6.9000000000000006E-2</v>
      </c>
      <c r="D85" s="17" t="s">
        <v>489</v>
      </c>
      <c r="F85" s="327">
        <v>1622.0614133552301</v>
      </c>
      <c r="G85" s="329">
        <v>0.65</v>
      </c>
      <c r="H85" s="327">
        <v>1897.8252877642085</v>
      </c>
      <c r="I85" s="329">
        <v>0.67309352212926676</v>
      </c>
      <c r="K85" s="327">
        <v>1197.0503197048702</v>
      </c>
      <c r="L85" s="328">
        <v>6.2767782807350167E-2</v>
      </c>
      <c r="M85" s="123">
        <v>1.3409958994979714</v>
      </c>
      <c r="N85" s="327">
        <v>535.11703610319523</v>
      </c>
      <c r="O85" s="327">
        <v>2573.8260380090292</v>
      </c>
      <c r="Q85" s="330">
        <v>1.2996554508164018</v>
      </c>
      <c r="R85" s="371">
        <v>1.1639260229772403</v>
      </c>
    </row>
    <row r="86" spans="2:18" x14ac:dyDescent="0.2">
      <c r="B86" s="369" t="s">
        <v>507</v>
      </c>
      <c r="C86" s="374">
        <v>6.9000000000000006E-2</v>
      </c>
      <c r="D86" s="17" t="s">
        <v>490</v>
      </c>
      <c r="F86" s="327">
        <v>1619.0461226042707</v>
      </c>
      <c r="G86" s="329">
        <v>0.65</v>
      </c>
      <c r="H86" s="327">
        <v>1755.9428522312267</v>
      </c>
      <c r="I86" s="329">
        <v>0.65570334209786962</v>
      </c>
      <c r="K86" s="327">
        <v>1197.3293310074471</v>
      </c>
      <c r="L86" s="328">
        <v>2.638044059276581E-2</v>
      </c>
      <c r="M86" s="123">
        <v>1.1422552216436725</v>
      </c>
      <c r="N86" s="327">
        <v>368.40313849228403</v>
      </c>
      <c r="O86" s="327">
        <v>2387.1170242235262</v>
      </c>
      <c r="Q86" s="330">
        <v>1.2996581703875476</v>
      </c>
      <c r="R86" s="371">
        <v>1.1528065866398463</v>
      </c>
    </row>
    <row r="87" spans="2:18" x14ac:dyDescent="0.2">
      <c r="B87" s="369" t="s">
        <v>507</v>
      </c>
      <c r="C87" s="374">
        <v>6.9000000000000006E-2</v>
      </c>
      <c r="D87" s="17" t="s">
        <v>491</v>
      </c>
      <c r="F87" s="327">
        <v>1613.8565949708798</v>
      </c>
      <c r="G87" s="329">
        <v>0.65</v>
      </c>
      <c r="H87" s="327">
        <v>1511.7531484195804</v>
      </c>
      <c r="I87" s="329">
        <v>0.62103607880996581</v>
      </c>
      <c r="K87" s="327">
        <v>1197.8095292044536</v>
      </c>
      <c r="L87" s="328">
        <v>-3.7402395904064176E-2</v>
      </c>
      <c r="M87" s="123">
        <v>0.80042906878383635</v>
      </c>
      <c r="N87" s="327">
        <v>81.476731154683193</v>
      </c>
      <c r="O87" s="327">
        <v>2065.7776096301786</v>
      </c>
      <c r="Q87" s="330">
        <v>1.2996639978841817</v>
      </c>
      <c r="R87" s="371">
        <v>1.1287839470321457</v>
      </c>
    </row>
    <row r="88" spans="2:18" x14ac:dyDescent="0.2">
      <c r="B88" s="348"/>
      <c r="C88" s="349"/>
      <c r="D88" s="349"/>
      <c r="E88" s="350"/>
      <c r="F88" s="351"/>
      <c r="G88" s="352"/>
      <c r="H88" s="351"/>
      <c r="I88" s="352"/>
      <c r="J88" s="353"/>
      <c r="K88" s="351"/>
      <c r="L88" s="354"/>
      <c r="M88" s="355"/>
      <c r="N88" s="351"/>
      <c r="O88" s="351"/>
      <c r="P88" s="353"/>
      <c r="Q88" s="356"/>
      <c r="R88" s="357"/>
    </row>
    <row r="89" spans="2:18" x14ac:dyDescent="0.2">
      <c r="B89" s="369" t="s">
        <v>508</v>
      </c>
      <c r="C89" s="374">
        <v>1.4999999999999999E-2</v>
      </c>
      <c r="D89" s="17" t="s">
        <v>276</v>
      </c>
      <c r="F89" s="327">
        <v>1622.4360647605827</v>
      </c>
      <c r="G89" s="329">
        <v>0.65</v>
      </c>
      <c r="H89" s="327">
        <v>1875.1383338190328</v>
      </c>
      <c r="I89" s="329">
        <v>0.67050421218270539</v>
      </c>
      <c r="K89" s="327">
        <v>1196.7899935330784</v>
      </c>
      <c r="L89" s="328">
        <v>7.2966453433036829E-2</v>
      </c>
      <c r="M89" s="123">
        <v>1.4095734521437184</v>
      </c>
      <c r="N89" s="327">
        <v>533.61102992305496</v>
      </c>
      <c r="O89" s="327">
        <v>2593.6817510514202</v>
      </c>
      <c r="Q89" s="330">
        <v>1.2998479779954417</v>
      </c>
      <c r="R89" s="371">
        <v>1.2599589917570106</v>
      </c>
    </row>
    <row r="90" spans="2:18" x14ac:dyDescent="0.2">
      <c r="B90" s="369" t="s">
        <v>508</v>
      </c>
      <c r="C90" s="374">
        <v>1.4999999999999999E-2</v>
      </c>
      <c r="D90" s="17" t="s">
        <v>489</v>
      </c>
      <c r="F90" s="327">
        <v>1619.235877014728</v>
      </c>
      <c r="G90" s="329">
        <v>0.65</v>
      </c>
      <c r="H90" s="327">
        <v>1725.7045582057235</v>
      </c>
      <c r="I90" s="329">
        <v>0.65182832247916012</v>
      </c>
      <c r="K90" s="327">
        <v>1197.0976803902747</v>
      </c>
      <c r="L90" s="328">
        <v>3.5189500451087943E-2</v>
      </c>
      <c r="M90" s="123">
        <v>1.1960395203458625</v>
      </c>
      <c r="N90" s="327">
        <v>356.89025220328085</v>
      </c>
      <c r="O90" s="327">
        <v>2395.3445393718885</v>
      </c>
      <c r="Q90" s="330">
        <v>1.2998499840280502</v>
      </c>
      <c r="R90" s="371">
        <v>1.250632735613799</v>
      </c>
    </row>
    <row r="91" spans="2:18" x14ac:dyDescent="0.2">
      <c r="B91" s="369" t="s">
        <v>508</v>
      </c>
      <c r="C91" s="374">
        <v>1.4999999999999999E-2</v>
      </c>
      <c r="D91" s="17" t="s">
        <v>490</v>
      </c>
      <c r="F91" s="327">
        <v>1616.355608454523</v>
      </c>
      <c r="G91" s="329">
        <v>0.65</v>
      </c>
      <c r="H91" s="327">
        <v>1591.2094986858015</v>
      </c>
      <c r="I91" s="329">
        <v>0.6331244142725011</v>
      </c>
      <c r="K91" s="327">
        <v>1197.374608164009</v>
      </c>
      <c r="L91" s="328">
        <v>7.1282088756561288E-4</v>
      </c>
      <c r="M91" s="123">
        <v>1.0039476025221219</v>
      </c>
      <c r="N91" s="327">
        <v>197.8360392166237</v>
      </c>
      <c r="O91" s="327">
        <v>2216.8348618885193</v>
      </c>
      <c r="Q91" s="330">
        <v>1.2998520921617109</v>
      </c>
      <c r="R91" s="371">
        <v>1.2407408051818554</v>
      </c>
    </row>
    <row r="92" spans="2:18" x14ac:dyDescent="0.2">
      <c r="B92" s="369" t="s">
        <v>508</v>
      </c>
      <c r="C92" s="374">
        <v>1.4999999999999999E-2</v>
      </c>
      <c r="D92" s="17" t="s">
        <v>491</v>
      </c>
      <c r="F92" s="327">
        <v>1611.3984633351336</v>
      </c>
      <c r="G92" s="329">
        <v>0.65</v>
      </c>
      <c r="H92" s="327">
        <v>1359.733991341097</v>
      </c>
      <c r="I92" s="329">
        <v>0.59578237819594915</v>
      </c>
      <c r="K92" s="327">
        <v>1273.7587293851802</v>
      </c>
      <c r="L92" s="328">
        <v>-5.9451790153980257E-2</v>
      </c>
      <c r="M92" s="123">
        <v>0.69301927812027153</v>
      </c>
      <c r="N92" s="327">
        <v>-75.907508928571588</v>
      </c>
      <c r="O92" s="327">
        <v>1909.6070848319059</v>
      </c>
      <c r="Q92" s="330">
        <v>1.2998566270638092</v>
      </c>
      <c r="R92" s="371">
        <v>1.2191330833017449</v>
      </c>
    </row>
    <row r="93" spans="2:18" x14ac:dyDescent="0.2">
      <c r="B93" s="348"/>
      <c r="C93" s="373"/>
      <c r="D93" s="349"/>
      <c r="E93" s="350"/>
      <c r="F93" s="351"/>
      <c r="G93" s="352"/>
      <c r="H93" s="351"/>
      <c r="I93" s="352"/>
      <c r="J93" s="353"/>
      <c r="K93" s="351"/>
      <c r="L93" s="354"/>
      <c r="M93" s="355"/>
      <c r="N93" s="351"/>
      <c r="O93" s="351"/>
      <c r="P93" s="353"/>
      <c r="Q93" s="356"/>
      <c r="R93" s="357"/>
    </row>
    <row r="94" spans="2:18" x14ac:dyDescent="0.2">
      <c r="B94" s="369" t="s">
        <v>509</v>
      </c>
      <c r="C94" s="374">
        <v>2.5000000000000001E-2</v>
      </c>
      <c r="D94" s="17" t="s">
        <v>276</v>
      </c>
      <c r="F94" s="327">
        <v>1628.1249923596699</v>
      </c>
      <c r="G94" s="329">
        <v>0.65</v>
      </c>
      <c r="H94" s="327">
        <v>2286.4609462475005</v>
      </c>
      <c r="I94" s="329">
        <v>0.71277562938423322</v>
      </c>
      <c r="K94" s="327">
        <v>1196.6851061768</v>
      </c>
      <c r="L94" s="328">
        <v>0.13787874579429624</v>
      </c>
      <c r="M94" s="123">
        <v>1.7269474941401963</v>
      </c>
      <c r="N94" s="327">
        <v>958.29540438175286</v>
      </c>
      <c r="O94" s="327">
        <v>2976.310032940798</v>
      </c>
      <c r="Q94" s="330">
        <v>1.299804942875687</v>
      </c>
      <c r="R94" s="371">
        <v>1.1194495068017081</v>
      </c>
    </row>
    <row r="95" spans="2:18" x14ac:dyDescent="0.2">
      <c r="B95" s="369" t="s">
        <v>509</v>
      </c>
      <c r="C95" s="374">
        <v>2.5000000000000001E-2</v>
      </c>
      <c r="D95" s="17" t="s">
        <v>489</v>
      </c>
      <c r="F95" s="327">
        <v>1624.6485298820344</v>
      </c>
      <c r="G95" s="329">
        <v>0.65</v>
      </c>
      <c r="H95" s="327">
        <v>2117.0520028344954</v>
      </c>
      <c r="I95" s="329">
        <v>0.69668953250983234</v>
      </c>
      <c r="K95" s="327">
        <v>1196.9978866734753</v>
      </c>
      <c r="L95" s="328">
        <v>9.5570334792137127E-2</v>
      </c>
      <c r="M95" s="123">
        <v>1.4978395666667523</v>
      </c>
      <c r="N95" s="327">
        <v>760.95057101901295</v>
      </c>
      <c r="O95" s="327">
        <v>2759.39114375386</v>
      </c>
      <c r="Q95" s="330">
        <v>1.2998055883652191</v>
      </c>
      <c r="R95" s="371">
        <v>1.1079972835739145</v>
      </c>
    </row>
    <row r="96" spans="2:18" x14ac:dyDescent="0.2">
      <c r="B96" s="369" t="s">
        <v>509</v>
      </c>
      <c r="C96" s="374">
        <v>2.5000000000000001E-2</v>
      </c>
      <c r="D96" s="17" t="s">
        <v>490</v>
      </c>
      <c r="F96" s="327">
        <v>1621.5196052939086</v>
      </c>
      <c r="G96" s="329">
        <v>0.65</v>
      </c>
      <c r="H96" s="327">
        <v>1964.578669185355</v>
      </c>
      <c r="I96" s="329">
        <v>0.68060006217160962</v>
      </c>
      <c r="K96" s="327">
        <v>1197.3979400510841</v>
      </c>
      <c r="L96" s="328">
        <v>5.6522014737129214E-2</v>
      </c>
      <c r="M96" s="123">
        <v>1.2916097626341707</v>
      </c>
      <c r="N96" s="327">
        <v>583.33406484014677</v>
      </c>
      <c r="O96" s="327">
        <v>2564.1573768731546</v>
      </c>
      <c r="Q96" s="330">
        <v>1.2998062630203508</v>
      </c>
      <c r="R96" s="371">
        <v>1.0960023716167897</v>
      </c>
    </row>
    <row r="97" spans="2:18" x14ac:dyDescent="0.2">
      <c r="B97" s="369" t="s">
        <v>509</v>
      </c>
      <c r="C97" s="374">
        <v>2.5000000000000001E-2</v>
      </c>
      <c r="D97" s="17" t="s">
        <v>491</v>
      </c>
      <c r="F97" s="327">
        <v>1616.1345050959626</v>
      </c>
      <c r="G97" s="329">
        <v>0.65</v>
      </c>
      <c r="H97" s="327">
        <v>1702.1612808518755</v>
      </c>
      <c r="I97" s="329">
        <v>0.64853969042316195</v>
      </c>
      <c r="K97" s="327">
        <v>1198.5262521216248</v>
      </c>
      <c r="L97" s="328">
        <v>-1.2469147145748141E-2</v>
      </c>
      <c r="M97" s="123">
        <v>0.93655335559251984</v>
      </c>
      <c r="N97" s="327">
        <v>277.64349834618133</v>
      </c>
      <c r="O97" s="327">
        <v>2228.146259432554</v>
      </c>
      <c r="Q97" s="330">
        <v>1.2998077020364418</v>
      </c>
      <c r="R97" s="371">
        <v>1.0703306592473469</v>
      </c>
    </row>
    <row r="98" spans="2:18" x14ac:dyDescent="0.2">
      <c r="B98" s="348"/>
      <c r="C98" s="349"/>
      <c r="D98" s="349"/>
      <c r="E98" s="350"/>
      <c r="F98" s="351"/>
      <c r="G98" s="352"/>
      <c r="H98" s="351"/>
      <c r="I98" s="352"/>
      <c r="J98" s="353"/>
      <c r="K98" s="351"/>
      <c r="L98" s="354"/>
      <c r="M98" s="355"/>
      <c r="N98" s="351"/>
      <c r="O98" s="351"/>
      <c r="P98" s="353"/>
      <c r="Q98" s="356"/>
      <c r="R98" s="357"/>
    </row>
    <row r="99" spans="2:18" x14ac:dyDescent="0.2">
      <c r="B99" s="369" t="s">
        <v>519</v>
      </c>
      <c r="C99" s="372">
        <v>1.6999999999999999E-3</v>
      </c>
      <c r="D99" s="17" t="s">
        <v>276</v>
      </c>
      <c r="F99" s="327">
        <v>1625.3131521199348</v>
      </c>
      <c r="G99" s="329">
        <v>0.65</v>
      </c>
      <c r="H99" s="327">
        <v>2083.2053145500281</v>
      </c>
      <c r="I99" s="329">
        <v>0.69333295359010805</v>
      </c>
      <c r="K99" s="327">
        <v>1196.7383809344437</v>
      </c>
      <c r="L99" s="328">
        <v>0.10527105927467348</v>
      </c>
      <c r="M99" s="123">
        <v>1.5716987573980199</v>
      </c>
      <c r="N99" s="327">
        <v>748.33192640861284</v>
      </c>
      <c r="O99" s="327">
        <v>2788.8956568289473</v>
      </c>
      <c r="Q99" s="330">
        <v>1.2998251173972601</v>
      </c>
      <c r="R99" s="371">
        <v>1.1819130040296308</v>
      </c>
    </row>
    <row r="100" spans="2:18" x14ac:dyDescent="0.2">
      <c r="B100" s="369" t="s">
        <v>519</v>
      </c>
      <c r="C100" s="372">
        <v>1.6999999999999999E-3</v>
      </c>
      <c r="D100" s="17" t="s">
        <v>489</v>
      </c>
      <c r="F100" s="327">
        <v>1621.9732427687788</v>
      </c>
      <c r="G100" s="329">
        <v>0.65</v>
      </c>
      <c r="H100" s="327">
        <v>1923.6671276349923</v>
      </c>
      <c r="I100" s="329">
        <v>0.67606289357081173</v>
      </c>
      <c r="K100" s="327">
        <v>1197.0485742526325</v>
      </c>
      <c r="L100" s="328">
        <v>6.511268913745881E-2</v>
      </c>
      <c r="M100" s="123">
        <v>1.3502594769540028</v>
      </c>
      <c r="N100" s="327">
        <v>561.18360288110273</v>
      </c>
      <c r="O100" s="327">
        <v>2581.0782210943412</v>
      </c>
      <c r="Q100" s="330">
        <v>1.2998263686275322</v>
      </c>
      <c r="R100" s="371">
        <v>1.1711907704737279</v>
      </c>
    </row>
    <row r="101" spans="2:18" x14ac:dyDescent="0.2">
      <c r="B101" s="369" t="s">
        <v>519</v>
      </c>
      <c r="C101" s="372">
        <v>1.6999999999999999E-3</v>
      </c>
      <c r="D101" s="17" t="s">
        <v>490</v>
      </c>
      <c r="F101" s="327">
        <v>1618.9672203195883</v>
      </c>
      <c r="G101" s="329">
        <v>0.65</v>
      </c>
      <c r="H101" s="327">
        <v>1780.0777827444322</v>
      </c>
      <c r="I101" s="329">
        <v>0.65877896801487312</v>
      </c>
      <c r="K101" s="327">
        <v>1197.3277579179339</v>
      </c>
      <c r="L101" s="328">
        <v>2.8275796771049497E-2</v>
      </c>
      <c r="M101" s="123">
        <v>1.1509744949854912</v>
      </c>
      <c r="N101" s="327">
        <v>392.74427352314797</v>
      </c>
      <c r="O101" s="327">
        <v>2394.0360462333474</v>
      </c>
      <c r="Q101" s="330">
        <v>1.2998276801879172</v>
      </c>
      <c r="R101" s="371">
        <v>1.1598976864314954</v>
      </c>
    </row>
    <row r="102" spans="2:18" x14ac:dyDescent="0.2">
      <c r="B102" s="369" t="s">
        <v>519</v>
      </c>
      <c r="C102" s="372">
        <v>1.6999999999999999E-3</v>
      </c>
      <c r="D102" s="17" t="s">
        <v>491</v>
      </c>
      <c r="F102" s="327">
        <v>1613.793643592262</v>
      </c>
      <c r="G102" s="329">
        <v>0.65</v>
      </c>
      <c r="H102" s="327">
        <v>1532.9503672358135</v>
      </c>
      <c r="I102" s="329">
        <v>0.62430790590639573</v>
      </c>
      <c r="K102" s="327">
        <v>1197.8082527546035</v>
      </c>
      <c r="L102" s="328">
        <v>-3.6293996125459665E-2</v>
      </c>
      <c r="M102" s="123">
        <v>0.80821323545572299</v>
      </c>
      <c r="N102" s="327">
        <v>102.8482769269508</v>
      </c>
      <c r="O102" s="327">
        <v>2072.1232378718419</v>
      </c>
      <c r="Q102" s="330">
        <v>1.2998304905623348</v>
      </c>
      <c r="R102" s="371">
        <v>1.1355097394445972</v>
      </c>
    </row>
    <row r="103" spans="2:18" x14ac:dyDescent="0.2">
      <c r="B103" s="348"/>
      <c r="C103" s="373"/>
      <c r="D103" s="349"/>
      <c r="E103" s="350"/>
      <c r="F103" s="351"/>
      <c r="G103" s="352"/>
      <c r="H103" s="351"/>
      <c r="I103" s="352"/>
      <c r="J103" s="353"/>
      <c r="K103" s="351"/>
      <c r="L103" s="354"/>
      <c r="M103" s="355"/>
      <c r="N103" s="351"/>
      <c r="O103" s="351"/>
      <c r="P103" s="353"/>
      <c r="Q103" s="356"/>
      <c r="R103" s="357"/>
    </row>
    <row r="104" spans="2:18" x14ac:dyDescent="0.2">
      <c r="B104" s="369" t="s">
        <v>520</v>
      </c>
      <c r="C104" s="372">
        <v>5.0000000000000001E-3</v>
      </c>
      <c r="D104" s="17" t="s">
        <v>276</v>
      </c>
      <c r="F104" s="327">
        <v>1624.1348336544511</v>
      </c>
      <c r="G104" s="329">
        <v>0.65</v>
      </c>
      <c r="H104" s="327">
        <v>1981.8635152034215</v>
      </c>
      <c r="I104" s="329">
        <v>0.68263283747947501</v>
      </c>
      <c r="K104" s="327">
        <v>1196.7197381266287</v>
      </c>
      <c r="L104" s="328">
        <v>9.2191740870475769E-2</v>
      </c>
      <c r="M104" s="123">
        <v>1.5119671974211577</v>
      </c>
      <c r="N104" s="327">
        <v>647.84501702677312</v>
      </c>
      <c r="O104" s="327">
        <v>2705.6701980705816</v>
      </c>
      <c r="Q104" s="330">
        <v>1.299838992895326</v>
      </c>
      <c r="R104" s="371">
        <v>1.2311430776593462</v>
      </c>
    </row>
    <row r="105" spans="2:18" x14ac:dyDescent="0.2">
      <c r="B105" s="369" t="s">
        <v>520</v>
      </c>
      <c r="C105" s="372">
        <v>5.0000000000000001E-3</v>
      </c>
      <c r="D105" s="17" t="s">
        <v>489</v>
      </c>
      <c r="F105" s="327">
        <v>1620.8521478027033</v>
      </c>
      <c r="G105" s="329">
        <v>0.65</v>
      </c>
      <c r="H105" s="327">
        <v>1827.2468166430385</v>
      </c>
      <c r="I105" s="329">
        <v>0.66470509272599676</v>
      </c>
      <c r="K105" s="327">
        <v>1197.0308368094059</v>
      </c>
      <c r="L105" s="328">
        <v>5.3290340304374711E-2</v>
      </c>
      <c r="M105" s="123">
        <v>1.2934335570113027</v>
      </c>
      <c r="N105" s="327">
        <v>465.57666480559226</v>
      </c>
      <c r="O105" s="327">
        <v>2501.8944620959037</v>
      </c>
      <c r="Q105" s="330">
        <v>1.2998406703535621</v>
      </c>
      <c r="R105" s="371">
        <v>1.2214189917906708</v>
      </c>
    </row>
    <row r="106" spans="2:18" x14ac:dyDescent="0.2">
      <c r="B106" s="369" t="s">
        <v>520</v>
      </c>
      <c r="C106" s="372">
        <v>5.0000000000000001E-3</v>
      </c>
      <c r="D106" s="17" t="s">
        <v>490</v>
      </c>
      <c r="F106" s="327">
        <v>1617.8976283318955</v>
      </c>
      <c r="G106" s="329">
        <v>0.65</v>
      </c>
      <c r="H106" s="327">
        <v>1688.086964793586</v>
      </c>
      <c r="I106" s="329">
        <v>0.64675708821988698</v>
      </c>
      <c r="K106" s="327">
        <v>1197.3108353318542</v>
      </c>
      <c r="L106" s="328">
        <v>1.7706105113029481E-2</v>
      </c>
      <c r="M106" s="123">
        <v>1.0968520859187523</v>
      </c>
      <c r="N106" s="327">
        <v>301.5294617812267</v>
      </c>
      <c r="O106" s="327">
        <v>2318.489943096457</v>
      </c>
      <c r="Q106" s="330">
        <v>1.2998424302132097</v>
      </c>
      <c r="R106" s="371">
        <v>1.2111440009731145</v>
      </c>
    </row>
    <row r="107" spans="2:18" x14ac:dyDescent="0.2">
      <c r="B107" s="369" t="s">
        <v>520</v>
      </c>
      <c r="C107" s="372">
        <v>5.0000000000000001E-3</v>
      </c>
      <c r="D107" s="17" t="s">
        <v>491</v>
      </c>
      <c r="F107" s="327">
        <v>1612.8126920095908</v>
      </c>
      <c r="G107" s="329">
        <v>0.65</v>
      </c>
      <c r="H107" s="327">
        <v>1448.5830200104322</v>
      </c>
      <c r="I107" s="329">
        <v>0.61094405202110691</v>
      </c>
      <c r="K107" s="327">
        <v>1197.7927325977207</v>
      </c>
      <c r="L107" s="328">
        <v>-4.4533491879701612E-2</v>
      </c>
      <c r="M107" s="123">
        <v>0.75869004844877708</v>
      </c>
      <c r="N107" s="327">
        <v>19.192624948607545</v>
      </c>
      <c r="O107" s="327">
        <v>2002.8377976849752</v>
      </c>
      <c r="Q107" s="330">
        <v>1.2998462060739129</v>
      </c>
      <c r="R107" s="371">
        <v>1.1888376907074447</v>
      </c>
    </row>
    <row r="108" spans="2:18" x14ac:dyDescent="0.2">
      <c r="B108" s="375"/>
      <c r="C108" s="376"/>
      <c r="D108" s="376"/>
      <c r="E108" s="377"/>
      <c r="F108" s="378"/>
      <c r="G108" s="379"/>
      <c r="H108" s="378"/>
      <c r="I108" s="379"/>
      <c r="J108" s="380"/>
      <c r="K108" s="378"/>
      <c r="L108" s="381"/>
      <c r="M108" s="382"/>
      <c r="N108" s="378"/>
      <c r="O108" s="378"/>
      <c r="P108" s="380"/>
      <c r="Q108" s="383"/>
      <c r="R108" s="384"/>
    </row>
    <row r="110" spans="2:18" x14ac:dyDescent="0.2">
      <c r="B110" s="385"/>
      <c r="C110" s="386" t="s">
        <v>276</v>
      </c>
      <c r="D110" s="386"/>
      <c r="E110" s="206"/>
      <c r="F110" s="386" t="s">
        <v>490</v>
      </c>
      <c r="G110" s="387"/>
    </row>
    <row r="111" spans="2:18" x14ac:dyDescent="0.2">
      <c r="B111" s="369" t="s">
        <v>539</v>
      </c>
      <c r="C111" s="17" t="s">
        <v>527</v>
      </c>
      <c r="D111" s="17" t="s">
        <v>528</v>
      </c>
      <c r="F111" s="329" t="s">
        <v>527</v>
      </c>
      <c r="G111" s="388" t="s">
        <v>528</v>
      </c>
    </row>
    <row r="112" spans="2:18" x14ac:dyDescent="0.2">
      <c r="B112" s="369" t="s">
        <v>530</v>
      </c>
      <c r="C112" s="328">
        <f>Data_for_Graphs!L19-Data_for_Graphs!$L$4</f>
        <v>6.0038399696350109E-2</v>
      </c>
      <c r="D112" s="328">
        <f>Data_for_Graphs!L24-Data_for_Graphs!$L$4</f>
        <v>-7.4050346016883872E-2</v>
      </c>
      <c r="E112" s="5"/>
      <c r="F112" s="329">
        <f>Data_for_Graphs!L21-Data_for_Graphs!$L$6</f>
        <v>5.6349176168441768E-2</v>
      </c>
      <c r="G112" s="389">
        <f>Data_for_Graphs!L26-Data_for_Graphs!$L$6</f>
        <v>-6.7481599748134613E-2</v>
      </c>
    </row>
    <row r="113" spans="2:18" x14ac:dyDescent="0.2">
      <c r="B113" s="369" t="s">
        <v>537</v>
      </c>
      <c r="C113" s="328">
        <f>Data_for_Graphs!L94-Data_for_Graphs!$L$4</f>
        <v>3.3826100826263389E-2</v>
      </c>
      <c r="D113" s="328">
        <f>Data_for_Graphs!L89-Data_for_Graphs!$L$4</f>
        <v>-3.1086191534996019E-2</v>
      </c>
      <c r="E113" s="5"/>
      <c r="F113" s="329">
        <f>Data_for_Graphs!L96-Data_for_Graphs!$L$6</f>
        <v>2.9230010509490971E-2</v>
      </c>
      <c r="G113" s="389">
        <f>Data_for_Graphs!L91-Data_for_Graphs!$L$6</f>
        <v>-2.6579183340072629E-2</v>
      </c>
    </row>
    <row r="114" spans="2:18" x14ac:dyDescent="0.2">
      <c r="B114" s="369" t="s">
        <v>533</v>
      </c>
      <c r="C114" s="328">
        <f>Data_for_Graphs!L49-Data_for_Graphs!$L$4</f>
        <v>1.9235634803771967E-2</v>
      </c>
      <c r="D114" s="328">
        <f>Data_for_Graphs!L54-Data_for_Graphs!$L$4</f>
        <v>-3.2453277707099895E-2</v>
      </c>
      <c r="E114" s="5"/>
      <c r="F114" s="329">
        <f>Data_for_Graphs!L51-Data_for_Graphs!$L$6</f>
        <v>1.977160573005677E-2</v>
      </c>
      <c r="G114" s="389">
        <f>Data_for_Graphs!L56-Data_for_Graphs!$L$6</f>
        <v>-3.3106510341167447E-2</v>
      </c>
    </row>
    <row r="115" spans="2:18" x14ac:dyDescent="0.2">
      <c r="B115" s="369" t="s">
        <v>532</v>
      </c>
      <c r="C115" s="328">
        <f>Data_for_Graphs!L39-Data_for_Graphs!$L$4</f>
        <v>1.6323518753051713E-2</v>
      </c>
      <c r="D115" s="328">
        <f>Data_for_Graphs!L44-Data_for_Graphs!$L$4</f>
        <v>-2.9627552628517143E-2</v>
      </c>
      <c r="E115" s="5"/>
      <c r="F115" s="329">
        <f>Data_for_Graphs!L41-Data_for_Graphs!$L$6</f>
        <v>1.6817611455917363E-2</v>
      </c>
      <c r="G115" s="389">
        <f>Data_for_Graphs!L46-Data_for_Graphs!$L$6</f>
        <v>-3.0332042276859282E-2</v>
      </c>
    </row>
    <row r="116" spans="2:18" x14ac:dyDescent="0.2">
      <c r="B116" s="369" t="s">
        <v>531</v>
      </c>
      <c r="C116" s="328">
        <f>Data_for_Graphs!L29-Data_for_Graphs!$L$4</f>
        <v>1.2541508674621588E-2</v>
      </c>
      <c r="D116" s="328">
        <f>Data_for_Graphs!L34-Data_for_Graphs!$L$4</f>
        <v>-1.9684109091758731E-2</v>
      </c>
      <c r="E116" s="5"/>
      <c r="F116" s="329">
        <f>Data_for_Graphs!L31-Data_for_Graphs!$L$6</f>
        <v>1.1392146348953254E-2</v>
      </c>
      <c r="G116" s="389">
        <f>Data_for_Graphs!L36-Data_for_Graphs!$L$6</f>
        <v>-1.7797839641571042E-2</v>
      </c>
    </row>
    <row r="117" spans="2:18" x14ac:dyDescent="0.2">
      <c r="B117" s="369" t="s">
        <v>529</v>
      </c>
      <c r="C117" s="328">
        <f>Data_for_Graphs!L9-Data_for_Graphs!$L$4</f>
        <v>2.2824883460998424E-3</v>
      </c>
      <c r="D117" s="328">
        <f>Data_for_Graphs!L14-Data_for_Graphs!$L$4</f>
        <v>-1.123532950878145E-2</v>
      </c>
      <c r="E117" s="5"/>
      <c r="F117" s="329">
        <f>Data_for_Graphs!L11-Data_for_Graphs!$L$6</f>
        <v>2.1053791046142592E-3</v>
      </c>
      <c r="G117" s="389">
        <f>Data_for_Graphs!L16-Data_for_Graphs!$L$6</f>
        <v>-1.033437848091125E-2</v>
      </c>
    </row>
    <row r="118" spans="2:18" x14ac:dyDescent="0.2">
      <c r="B118" s="369" t="s">
        <v>512</v>
      </c>
      <c r="C118" s="328">
        <f>Data_for_Graphs!L99-Data_for_Graphs!$L$4</f>
        <v>1.2184143066406306E-3</v>
      </c>
      <c r="D118" s="328">
        <f>Data_for_Graphs!L104-Data_for_Graphs!$L$4</f>
        <v>-1.1860904097557079E-2</v>
      </c>
      <c r="E118" s="5"/>
      <c r="F118" s="329">
        <f>Data_for_Graphs!L101-Data_for_Graphs!$L$6</f>
        <v>9.8379254341125419E-4</v>
      </c>
      <c r="G118" s="389">
        <f>Data_for_Graphs!L106-Data_for_Graphs!$L$6</f>
        <v>-9.5858991146087619E-3</v>
      </c>
    </row>
    <row r="119" spans="2:18" x14ac:dyDescent="0.2">
      <c r="B119" s="369" t="s">
        <v>535</v>
      </c>
      <c r="C119" s="328">
        <f>Data_for_Graphs!L69-Data_for_Graphs!$L$4</f>
        <v>2.4338006973266546E-3</v>
      </c>
      <c r="D119" s="328">
        <f>Data_for_Graphs!L74-Data_for_Graphs!$L$4</f>
        <v>-2.334892749786377E-3</v>
      </c>
      <c r="E119" s="5"/>
      <c r="F119" s="329">
        <f>Data_for_Graphs!L71-Data_for_Graphs!$L$6</f>
        <v>1.3691186904907261E-3</v>
      </c>
      <c r="G119" s="389">
        <f>Data_for_Graphs!L76-Data_for_Graphs!$L$6</f>
        <v>-1.3006329536437954E-3</v>
      </c>
    </row>
    <row r="120" spans="2:18" x14ac:dyDescent="0.2">
      <c r="B120" s="369" t="s">
        <v>536</v>
      </c>
      <c r="C120" s="328">
        <f>Data_for_Graphs!L79-Data_for_Graphs!$L$4</f>
        <v>1.6216039657593051E-3</v>
      </c>
      <c r="D120" s="328">
        <f>Data_for_Graphs!L84-Data_for_Graphs!$L$4</f>
        <v>-1.5913844108581543E-3</v>
      </c>
      <c r="E120" s="5"/>
      <c r="F120" s="329">
        <f>Data_for_Graphs!L81-Data_for_Graphs!$L$6</f>
        <v>9.1907978057861189E-4</v>
      </c>
      <c r="G120" s="389">
        <f>Data_for_Graphs!L86-Data_for_Graphs!$L$6</f>
        <v>-9.1156363487243305E-4</v>
      </c>
    </row>
    <row r="121" spans="2:18" x14ac:dyDescent="0.2">
      <c r="B121" s="390" t="s">
        <v>534</v>
      </c>
      <c r="C121" s="391">
        <f>Data_for_Graphs!L59-Data_for_Graphs!$L$4</f>
        <v>1.0831117630004938E-3</v>
      </c>
      <c r="D121" s="391">
        <f>Data_for_Graphs!L64-Data_for_Graphs!$L$4</f>
        <v>-2.3794412612914984E-3</v>
      </c>
      <c r="E121" s="43"/>
      <c r="F121" s="392">
        <f>Data_for_Graphs!L61-Data_for_Graphs!$L$6</f>
        <v>1.0385394096374505E-3</v>
      </c>
      <c r="G121" s="393">
        <f>Data_for_Graphs!L66-Data_for_Graphs!$L$6</f>
        <v>-2.2792518138885463E-3</v>
      </c>
    </row>
    <row r="123" spans="2:18" x14ac:dyDescent="0.2">
      <c r="B123" s="385" t="s">
        <v>540</v>
      </c>
      <c r="C123" s="394">
        <v>0.1</v>
      </c>
      <c r="D123" s="395" t="s">
        <v>276</v>
      </c>
      <c r="E123" s="206"/>
      <c r="F123" s="396">
        <v>1740.969339611969</v>
      </c>
      <c r="G123" s="397">
        <v>0.65</v>
      </c>
      <c r="H123" s="396">
        <v>2073.8317323109595</v>
      </c>
      <c r="I123" s="397">
        <v>0.67706451801231116</v>
      </c>
      <c r="J123" s="276"/>
      <c r="K123" s="396">
        <v>1264.4623271400969</v>
      </c>
      <c r="L123" s="398">
        <v>7.1222260594367981E-2</v>
      </c>
      <c r="M123" s="399">
        <v>1.3828923404710023</v>
      </c>
      <c r="N123" s="396">
        <v>613.26236041682955</v>
      </c>
      <c r="O123" s="396">
        <v>2781.2733076009108</v>
      </c>
      <c r="P123" s="276"/>
      <c r="Q123" s="400">
        <v>1.2998263841687583</v>
      </c>
      <c r="R123" s="401">
        <v>1.1862791749511421</v>
      </c>
    </row>
    <row r="124" spans="2:18" x14ac:dyDescent="0.2">
      <c r="B124" s="369" t="s">
        <v>540</v>
      </c>
      <c r="C124" s="370">
        <v>0.1</v>
      </c>
      <c r="D124" s="17" t="s">
        <v>489</v>
      </c>
      <c r="F124" s="327">
        <v>1737.634710656346</v>
      </c>
      <c r="G124" s="329">
        <v>0.65</v>
      </c>
      <c r="H124" s="327">
        <v>1914.7487571262104</v>
      </c>
      <c r="I124" s="329">
        <v>0.65930280294991084</v>
      </c>
      <c r="K124" s="327">
        <v>1264.7726041546343</v>
      </c>
      <c r="L124" s="328">
        <v>3.2527634501457223E-2</v>
      </c>
      <c r="M124" s="123">
        <v>1.173609725349716</v>
      </c>
      <c r="N124" s="327">
        <v>426.56535085897326</v>
      </c>
      <c r="O124" s="327">
        <v>2573.8260380090292</v>
      </c>
      <c r="Q124" s="330">
        <v>1.2998276736944263</v>
      </c>
      <c r="R124" s="371">
        <v>1.1756392766328025</v>
      </c>
    </row>
    <row r="125" spans="2:18" x14ac:dyDescent="0.2">
      <c r="B125" s="369" t="s">
        <v>540</v>
      </c>
      <c r="C125" s="370">
        <v>0.1</v>
      </c>
      <c r="D125" s="17" t="s">
        <v>490</v>
      </c>
      <c r="F125" s="327">
        <v>1734.6334407316911</v>
      </c>
      <c r="G125" s="329">
        <v>0.65</v>
      </c>
      <c r="H125" s="327">
        <v>1771.5691169928778</v>
      </c>
      <c r="I125" s="329">
        <v>0.64157021931431146</v>
      </c>
      <c r="K125" s="327">
        <v>1265.0518631493276</v>
      </c>
      <c r="L125" s="328">
        <v>-2.7746632695198068E-3</v>
      </c>
      <c r="M125" s="123">
        <v>0.98527215352887798</v>
      </c>
      <c r="N125" s="327">
        <v>258.53221814605877</v>
      </c>
      <c r="O125" s="327">
        <v>2387.1170242235262</v>
      </c>
      <c r="Q125" s="330">
        <v>1.2998290255193601</v>
      </c>
      <c r="R125" s="371">
        <v>1.1644297121862033</v>
      </c>
    </row>
    <row r="126" spans="2:18" x14ac:dyDescent="0.2">
      <c r="B126" s="390" t="s">
        <v>540</v>
      </c>
      <c r="C126" s="402">
        <v>0.1</v>
      </c>
      <c r="D126" s="403" t="s">
        <v>491</v>
      </c>
      <c r="E126" s="404"/>
      <c r="F126" s="405">
        <v>1729.468043446996</v>
      </c>
      <c r="G126" s="392">
        <v>0.65</v>
      </c>
      <c r="H126" s="405">
        <v>1525.1468323409524</v>
      </c>
      <c r="I126" s="392">
        <v>0.60633334327087274</v>
      </c>
      <c r="J126" s="43"/>
      <c r="K126" s="405">
        <v>1296.1971729546294</v>
      </c>
      <c r="L126" s="391">
        <v>-6.4293321967124936E-2</v>
      </c>
      <c r="M126" s="406">
        <v>0.6693144013160921</v>
      </c>
      <c r="N126" s="405">
        <v>-30.664685321211437</v>
      </c>
      <c r="O126" s="405">
        <v>2065.7776096301786</v>
      </c>
      <c r="P126" s="43"/>
      <c r="Q126" s="407">
        <v>1.2998319225756583</v>
      </c>
      <c r="R126" s="408">
        <v>1.1402109257165924</v>
      </c>
    </row>
    <row r="128" spans="2:18" x14ac:dyDescent="0.2">
      <c r="B128" s="385" t="s">
        <v>492</v>
      </c>
      <c r="C128" s="409" t="s">
        <v>625</v>
      </c>
    </row>
    <row r="129" spans="2:4" ht="34" x14ac:dyDescent="0.2">
      <c r="B129" s="435" t="s">
        <v>558</v>
      </c>
      <c r="C129" s="410">
        <f>O89</f>
        <v>2593.6817510514202</v>
      </c>
    </row>
    <row r="130" spans="2:4" ht="34" x14ac:dyDescent="0.2">
      <c r="B130" s="435" t="s">
        <v>559</v>
      </c>
      <c r="C130" s="410">
        <f>O54</f>
        <v>2609.9688160340629</v>
      </c>
    </row>
    <row r="131" spans="2:4" x14ac:dyDescent="0.2">
      <c r="B131" s="369" t="s">
        <v>542</v>
      </c>
      <c r="C131" s="410">
        <f>O44</f>
        <v>2625.4622943977165</v>
      </c>
    </row>
    <row r="132" spans="2:4" ht="34" x14ac:dyDescent="0.2">
      <c r="B132" s="435" t="s">
        <v>560</v>
      </c>
      <c r="C132" s="410">
        <f>O104</f>
        <v>2705.6701980705816</v>
      </c>
    </row>
    <row r="133" spans="2:4" x14ac:dyDescent="0.2">
      <c r="B133" s="369" t="s">
        <v>522</v>
      </c>
      <c r="C133" s="410">
        <f>O4</f>
        <v>2781.2733076009108</v>
      </c>
    </row>
    <row r="134" spans="2:4" ht="34" x14ac:dyDescent="0.2">
      <c r="B134" s="435" t="s">
        <v>561</v>
      </c>
      <c r="C134" s="410">
        <f>O99</f>
        <v>2788.8956568289473</v>
      </c>
    </row>
    <row r="135" spans="2:4" x14ac:dyDescent="0.2">
      <c r="B135" s="369" t="s">
        <v>541</v>
      </c>
      <c r="C135" s="410">
        <f>O39</f>
        <v>2867.8349816026857</v>
      </c>
    </row>
    <row r="136" spans="2:4" ht="34" x14ac:dyDescent="0.2">
      <c r="B136" s="435" t="s">
        <v>562</v>
      </c>
      <c r="C136" s="410">
        <f>O49</f>
        <v>2883.5801567311119</v>
      </c>
    </row>
    <row r="137" spans="2:4" ht="34" x14ac:dyDescent="0.2">
      <c r="B137" s="436" t="s">
        <v>563</v>
      </c>
      <c r="C137" s="411">
        <f>O94</f>
        <v>2976.310032940798</v>
      </c>
    </row>
    <row r="139" spans="2:4" x14ac:dyDescent="0.2">
      <c r="B139" s="385" t="s">
        <v>492</v>
      </c>
      <c r="C139" s="395" t="s">
        <v>626</v>
      </c>
      <c r="D139" s="409" t="s">
        <v>550</v>
      </c>
    </row>
    <row r="140" spans="2:4" ht="34" x14ac:dyDescent="0.2">
      <c r="B140" s="435" t="s">
        <v>564</v>
      </c>
      <c r="C140" s="412">
        <f>N24</f>
        <v>438.84670403609744</v>
      </c>
      <c r="D140" s="413">
        <f>C140/K24</f>
        <v>0.32306659760287282</v>
      </c>
    </row>
    <row r="141" spans="2:4" ht="34" x14ac:dyDescent="0.2">
      <c r="B141" s="435" t="s">
        <v>558</v>
      </c>
      <c r="C141" s="412">
        <f>N89</f>
        <v>533.61102992305496</v>
      </c>
      <c r="D141" s="413">
        <f>C141/K89</f>
        <v>0.44586855906754902</v>
      </c>
    </row>
    <row r="142" spans="2:4" ht="34" x14ac:dyDescent="0.2">
      <c r="B142" s="435" t="s">
        <v>565</v>
      </c>
      <c r="C142" s="412">
        <f>N34</f>
        <v>666.14385390043958</v>
      </c>
      <c r="D142" s="413">
        <f>C142/K34</f>
        <v>0.53895671162645342</v>
      </c>
    </row>
    <row r="143" spans="2:4" ht="34" x14ac:dyDescent="0.2">
      <c r="B143" s="435" t="s">
        <v>566</v>
      </c>
      <c r="C143" s="412">
        <f>N64</f>
        <v>729.98212631906631</v>
      </c>
      <c r="D143" s="413">
        <f>C143/K64</f>
        <v>0.60750174240491539</v>
      </c>
    </row>
    <row r="144" spans="2:4" x14ac:dyDescent="0.2">
      <c r="B144" s="369" t="s">
        <v>522</v>
      </c>
      <c r="C144" s="412">
        <f>N4</f>
        <v>739.03860402841246</v>
      </c>
      <c r="D144" s="413">
        <f>C144/K4</f>
        <v>0.61754488708515554</v>
      </c>
    </row>
    <row r="145" spans="2:6" ht="34" x14ac:dyDescent="0.2">
      <c r="B145" s="435" t="s">
        <v>567</v>
      </c>
      <c r="C145" s="412">
        <f>N59</f>
        <v>743.14893643248342</v>
      </c>
      <c r="D145" s="413">
        <f>C145/K59</f>
        <v>0.62213007751987259</v>
      </c>
    </row>
    <row r="146" spans="2:6" ht="34" x14ac:dyDescent="0.2">
      <c r="B146" s="435" t="s">
        <v>568</v>
      </c>
      <c r="C146" s="412">
        <f>N29</f>
        <v>783.45884238764665</v>
      </c>
      <c r="D146" s="413">
        <f>C146/K29</f>
        <v>0.66801396057897577</v>
      </c>
    </row>
    <row r="147" spans="2:6" ht="34" x14ac:dyDescent="0.2">
      <c r="B147" s="435" t="s">
        <v>569</v>
      </c>
      <c r="C147" s="412">
        <f>N19</f>
        <v>948.44890903232817</v>
      </c>
      <c r="D147" s="413">
        <f>C147/K19</f>
        <v>0.87497122111587544</v>
      </c>
    </row>
    <row r="148" spans="2:6" ht="34" x14ac:dyDescent="0.2">
      <c r="B148" s="436" t="s">
        <v>563</v>
      </c>
      <c r="C148" s="414">
        <f>N94</f>
        <v>958.29540438175286</v>
      </c>
      <c r="D148" s="415">
        <f>C148/K94</f>
        <v>0.80079161964615686</v>
      </c>
    </row>
    <row r="150" spans="2:6" x14ac:dyDescent="0.2">
      <c r="B150" s="385"/>
      <c r="C150" s="276" t="s">
        <v>276</v>
      </c>
      <c r="D150" s="276" t="s">
        <v>489</v>
      </c>
      <c r="E150" s="276" t="s">
        <v>490</v>
      </c>
      <c r="F150" s="416" t="s">
        <v>491</v>
      </c>
    </row>
    <row r="151" spans="2:6" x14ac:dyDescent="0.2">
      <c r="B151" s="369" t="s">
        <v>551</v>
      </c>
      <c r="C151" s="330" cm="1">
        <f t="array" ref="C151:F151">TRANSPOSE(R4:R7)</f>
        <v>1.1862791749511421</v>
      </c>
      <c r="D151" s="330">
        <v>1.1756392766328025</v>
      </c>
      <c r="E151" s="330">
        <v>1.1644297121862033</v>
      </c>
      <c r="F151" s="371">
        <v>1.1402109257165924</v>
      </c>
    </row>
    <row r="152" spans="2:6" x14ac:dyDescent="0.2">
      <c r="B152" s="369" t="s">
        <v>552</v>
      </c>
      <c r="C152" s="330" cm="1">
        <f t="array" ref="C152:F152">TRANSPOSE(R14:R17)</f>
        <v>1.1862791749511421</v>
      </c>
      <c r="D152" s="330">
        <v>1.1756392766328025</v>
      </c>
      <c r="E152" s="330">
        <v>1.1644297121862033</v>
      </c>
      <c r="F152" s="371">
        <v>1.1402109257165924</v>
      </c>
    </row>
    <row r="153" spans="2:6" x14ac:dyDescent="0.2">
      <c r="B153" s="369" t="s">
        <v>549</v>
      </c>
      <c r="C153" s="330" cm="1">
        <f t="array" ref="C153:F153">TRANSPOSE(R24:R27)</f>
        <v>1.1862791749511421</v>
      </c>
      <c r="D153" s="330">
        <v>1.1756392766328025</v>
      </c>
      <c r="E153" s="330">
        <v>1.1644297121862033</v>
      </c>
      <c r="F153" s="371">
        <v>1.1402109257165924</v>
      </c>
    </row>
    <row r="154" spans="2:6" x14ac:dyDescent="0.2">
      <c r="B154" s="369" t="s">
        <v>548</v>
      </c>
      <c r="C154" s="330" cm="1">
        <f t="array" ref="C154:F154">TRANSPOSE(R34:R37)</f>
        <v>1.1862791749511421</v>
      </c>
      <c r="D154" s="330">
        <v>1.1756392766328025</v>
      </c>
      <c r="E154" s="330">
        <v>1.1644297121862033</v>
      </c>
      <c r="F154" s="371">
        <v>1.1402109257165924</v>
      </c>
    </row>
    <row r="155" spans="2:6" x14ac:dyDescent="0.2">
      <c r="B155" s="369" t="s">
        <v>542</v>
      </c>
      <c r="C155" s="330" cm="1">
        <f t="array" ref="C155:F155">TRANSPOSE(R44:R47)</f>
        <v>1.1622819090443117</v>
      </c>
      <c r="D155" s="330">
        <v>1.1487705064407603</v>
      </c>
      <c r="E155" s="330">
        <v>1.1343789498401291</v>
      </c>
      <c r="F155" s="371">
        <v>1.1027232909241804</v>
      </c>
    </row>
    <row r="156" spans="2:6" x14ac:dyDescent="0.2">
      <c r="B156" s="369" t="s">
        <v>543</v>
      </c>
      <c r="C156" s="330" cm="1">
        <f t="array" ref="C156:F156">TRANSPOSE(R54:R57)</f>
        <v>1.162437025704125</v>
      </c>
      <c r="D156" s="330">
        <v>1.1488305357962854</v>
      </c>
      <c r="E156" s="330">
        <v>1.1343179893604105</v>
      </c>
      <c r="F156" s="371">
        <v>1.1023244534635783</v>
      </c>
    </row>
    <row r="157" spans="2:6" x14ac:dyDescent="0.2">
      <c r="B157" s="369" t="s">
        <v>547</v>
      </c>
      <c r="C157" s="330" cm="1">
        <f t="array" ref="C157:F157">TRANSPOSE(R64:R67)</f>
        <v>1.1862791749511421</v>
      </c>
      <c r="D157" s="330">
        <v>1.1756392766328025</v>
      </c>
      <c r="E157" s="330">
        <v>1.1644297121862033</v>
      </c>
      <c r="F157" s="371">
        <v>1.1402109257165924</v>
      </c>
    </row>
    <row r="158" spans="2:6" x14ac:dyDescent="0.2">
      <c r="B158" s="369" t="s">
        <v>553</v>
      </c>
      <c r="C158" s="330" cm="1">
        <f t="array" ref="C158:F158">TRANSPOSE(R74:R77)</f>
        <v>1.168643021067503</v>
      </c>
      <c r="D158" s="330">
        <v>1.1581307480117755</v>
      </c>
      <c r="E158" s="330">
        <v>1.1470562417526922</v>
      </c>
      <c r="F158" s="371">
        <v>1.1231313558351301</v>
      </c>
    </row>
    <row r="159" spans="2:6" x14ac:dyDescent="0.2">
      <c r="B159" s="369" t="s">
        <v>554</v>
      </c>
      <c r="C159" s="330" cm="1">
        <f t="array" ref="C159:F159">TRANSPOSE(R74:R77)</f>
        <v>1.168643021067503</v>
      </c>
      <c r="D159" s="330">
        <v>1.1581307480117755</v>
      </c>
      <c r="E159" s="330">
        <v>1.1470562417526922</v>
      </c>
      <c r="F159" s="371">
        <v>1.1231313558351301</v>
      </c>
    </row>
    <row r="160" spans="2:6" x14ac:dyDescent="0.2">
      <c r="B160" s="369" t="s">
        <v>545</v>
      </c>
      <c r="C160" s="330" cm="1">
        <f t="array" ref="C160:F160">TRANSPOSE(R94:R97)</f>
        <v>1.1194495068017081</v>
      </c>
      <c r="D160" s="330">
        <v>1.1079972835739145</v>
      </c>
      <c r="E160" s="330">
        <v>1.0960023716167897</v>
      </c>
      <c r="F160" s="371">
        <v>1.0703306592473469</v>
      </c>
    </row>
    <row r="161" spans="2:6" x14ac:dyDescent="0.2">
      <c r="B161" s="390" t="s">
        <v>546</v>
      </c>
      <c r="C161" s="407" cm="1">
        <f t="array" ref="C161:F161">TRANSPOSE(R99:R102)</f>
        <v>1.1819130040296308</v>
      </c>
      <c r="D161" s="407">
        <v>1.1711907704737279</v>
      </c>
      <c r="E161" s="407">
        <v>1.1598976864314954</v>
      </c>
      <c r="F161" s="408">
        <v>1.1355097394445972</v>
      </c>
    </row>
    <row r="163" spans="2:6" x14ac:dyDescent="0.2">
      <c r="B163" s="385"/>
      <c r="C163" s="395" t="s">
        <v>490</v>
      </c>
      <c r="D163" s="409" t="s">
        <v>491</v>
      </c>
    </row>
    <row r="164" spans="2:6" x14ac:dyDescent="0.2">
      <c r="B164" s="369" t="s">
        <v>551</v>
      </c>
      <c r="C164" s="418">
        <v>1.1644297121862033</v>
      </c>
      <c r="D164" s="419">
        <v>1.1402109257165924</v>
      </c>
    </row>
    <row r="165" spans="2:6" x14ac:dyDescent="0.2">
      <c r="B165" s="369" t="s">
        <v>552</v>
      </c>
      <c r="C165" s="418">
        <v>1.1644297121862033</v>
      </c>
      <c r="D165" s="419">
        <v>1.1402109257165924</v>
      </c>
    </row>
    <row r="166" spans="2:6" x14ac:dyDescent="0.2">
      <c r="B166" s="369" t="s">
        <v>549</v>
      </c>
      <c r="C166" s="418">
        <v>1.1644297121862033</v>
      </c>
      <c r="D166" s="419">
        <v>1.1402109257165924</v>
      </c>
    </row>
    <row r="167" spans="2:6" x14ac:dyDescent="0.2">
      <c r="B167" s="369" t="s">
        <v>548</v>
      </c>
      <c r="C167" s="418">
        <v>1.1644297121862033</v>
      </c>
      <c r="D167" s="419">
        <v>1.1402109257165924</v>
      </c>
    </row>
    <row r="168" spans="2:6" x14ac:dyDescent="0.2">
      <c r="B168" s="369" t="s">
        <v>547</v>
      </c>
      <c r="C168" s="418">
        <v>1.1644297121862033</v>
      </c>
      <c r="D168" s="419">
        <v>1.1402109257165924</v>
      </c>
    </row>
    <row r="169" spans="2:6" x14ac:dyDescent="0.2">
      <c r="B169" s="369" t="s">
        <v>546</v>
      </c>
      <c r="C169" s="418">
        <v>1.1598976864314954</v>
      </c>
      <c r="D169" s="419">
        <v>1.1355097394445972</v>
      </c>
    </row>
    <row r="170" spans="2:6" x14ac:dyDescent="0.2">
      <c r="B170" s="369" t="s">
        <v>553</v>
      </c>
      <c r="C170" s="418">
        <v>1.1470562417526922</v>
      </c>
      <c r="D170" s="419">
        <v>1.1231313558351301</v>
      </c>
    </row>
    <row r="171" spans="2:6" x14ac:dyDescent="0.2">
      <c r="B171" s="369" t="s">
        <v>554</v>
      </c>
      <c r="C171" s="418">
        <v>1.1470562417526922</v>
      </c>
      <c r="D171" s="419">
        <v>1.1231313558351301</v>
      </c>
    </row>
    <row r="172" spans="2:6" x14ac:dyDescent="0.2">
      <c r="B172" s="369" t="s">
        <v>542</v>
      </c>
      <c r="C172" s="418">
        <v>1.1343789498401291</v>
      </c>
      <c r="D172" s="419">
        <v>1.1027232909241804</v>
      </c>
    </row>
    <row r="173" spans="2:6" x14ac:dyDescent="0.2">
      <c r="B173" s="369" t="s">
        <v>543</v>
      </c>
      <c r="C173" s="418">
        <v>1.1343179893604105</v>
      </c>
      <c r="D173" s="419">
        <v>1.1023244534635783</v>
      </c>
    </row>
    <row r="174" spans="2:6" x14ac:dyDescent="0.2">
      <c r="B174" s="390" t="s">
        <v>545</v>
      </c>
      <c r="C174" s="420">
        <v>1.0960023716167897</v>
      </c>
      <c r="D174" s="421">
        <v>1.0703306592473469</v>
      </c>
    </row>
    <row r="175" spans="2:6" x14ac:dyDescent="0.2">
      <c r="C175" s="417"/>
      <c r="D175" s="417"/>
    </row>
    <row r="176" spans="2:6" x14ac:dyDescent="0.2">
      <c r="B176" s="385"/>
      <c r="C176" s="395" t="s">
        <v>276</v>
      </c>
      <c r="D176" s="409" t="s">
        <v>490</v>
      </c>
    </row>
    <row r="177" spans="2:26" x14ac:dyDescent="0.2">
      <c r="B177" s="369" t="s">
        <v>551</v>
      </c>
      <c r="C177" s="374">
        <f>I4</f>
        <v>0.69237364319760575</v>
      </c>
      <c r="D177" s="413">
        <f>I11</f>
        <v>0.65880578456233307</v>
      </c>
    </row>
    <row r="178" spans="2:26" x14ac:dyDescent="0.2">
      <c r="B178" s="369" t="s">
        <v>547</v>
      </c>
      <c r="C178" s="374">
        <f>I64</f>
        <v>0.691248222108231</v>
      </c>
      <c r="D178" s="413">
        <f>I66</f>
        <v>0.65649378456189877</v>
      </c>
    </row>
    <row r="179" spans="2:26" x14ac:dyDescent="0.2">
      <c r="B179" s="369" t="s">
        <v>553</v>
      </c>
      <c r="C179" s="374">
        <f>I74</f>
        <v>0.68952703297571305</v>
      </c>
      <c r="D179" s="413">
        <f>I76</f>
        <v>0.65470615492389261</v>
      </c>
    </row>
    <row r="180" spans="2:26" x14ac:dyDescent="0.2">
      <c r="B180" s="369" t="s">
        <v>554</v>
      </c>
      <c r="C180" s="374">
        <f>I84</f>
        <v>0.69047501034447811</v>
      </c>
      <c r="D180" s="413">
        <f>I86</f>
        <v>0.65570334209786962</v>
      </c>
    </row>
    <row r="181" spans="2:26" x14ac:dyDescent="0.2">
      <c r="B181" s="369" t="s">
        <v>552</v>
      </c>
      <c r="C181" s="374">
        <f>I14</f>
        <v>0.68719425355579056</v>
      </c>
      <c r="D181" s="413">
        <f>I16</f>
        <v>0.65223500787828692</v>
      </c>
    </row>
    <row r="182" spans="2:26" x14ac:dyDescent="0.2">
      <c r="B182" s="369" t="s">
        <v>548</v>
      </c>
      <c r="C182" s="374">
        <f>I34</f>
        <v>0.68341784567979469</v>
      </c>
      <c r="D182" s="413">
        <f>I36</f>
        <v>0.64825504987882543</v>
      </c>
    </row>
    <row r="183" spans="2:26" x14ac:dyDescent="0.2">
      <c r="B183" s="369" t="s">
        <v>555</v>
      </c>
      <c r="C183" s="374">
        <f>I104</f>
        <v>0.68263283747947501</v>
      </c>
      <c r="D183" s="413">
        <f>I106</f>
        <v>0.64675708821988698</v>
      </c>
    </row>
    <row r="184" spans="2:26" x14ac:dyDescent="0.2">
      <c r="B184" s="369" t="s">
        <v>542</v>
      </c>
      <c r="C184" s="374">
        <f>I44</f>
        <v>0.67896331509430252</v>
      </c>
      <c r="D184" s="413">
        <f>I46</f>
        <v>0.64103792902357559</v>
      </c>
    </row>
    <row r="185" spans="2:26" x14ac:dyDescent="0.2">
      <c r="B185" s="369" t="s">
        <v>543</v>
      </c>
      <c r="C185" s="374">
        <f>I54</f>
        <v>0.67735556480044434</v>
      </c>
      <c r="D185" s="413">
        <f>I56</f>
        <v>0.63902877777110634</v>
      </c>
    </row>
    <row r="186" spans="2:26" x14ac:dyDescent="0.2">
      <c r="B186" s="369" t="s">
        <v>544</v>
      </c>
      <c r="C186" s="374">
        <f>I89</f>
        <v>0.67050421218270539</v>
      </c>
      <c r="D186" s="413">
        <f>I91</f>
        <v>0.6331244142725011</v>
      </c>
    </row>
    <row r="187" spans="2:26" x14ac:dyDescent="0.2">
      <c r="B187" s="390" t="s">
        <v>549</v>
      </c>
      <c r="C187" s="434">
        <f>I24</f>
        <v>0.65692214671772697</v>
      </c>
      <c r="D187" s="415">
        <f>I26</f>
        <v>0.62046717735858359</v>
      </c>
    </row>
    <row r="189" spans="2:26" x14ac:dyDescent="0.2">
      <c r="B189" s="385" t="s">
        <v>628</v>
      </c>
      <c r="C189" s="276" t="s">
        <v>592</v>
      </c>
      <c r="D189" s="276" t="s">
        <v>593</v>
      </c>
      <c r="E189" s="276" t="s">
        <v>594</v>
      </c>
      <c r="F189" s="276" t="s">
        <v>595</v>
      </c>
      <c r="G189" s="276" t="s">
        <v>596</v>
      </c>
      <c r="H189" s="276" t="s">
        <v>597</v>
      </c>
      <c r="I189" s="276" t="s">
        <v>598</v>
      </c>
      <c r="J189" s="276" t="s">
        <v>599</v>
      </c>
      <c r="K189" s="276" t="s">
        <v>600</v>
      </c>
      <c r="L189" s="276" t="s">
        <v>601</v>
      </c>
      <c r="M189" s="276" t="s">
        <v>602</v>
      </c>
      <c r="N189" s="276" t="s">
        <v>603</v>
      </c>
      <c r="O189" s="276" t="s">
        <v>604</v>
      </c>
      <c r="P189" s="276" t="s">
        <v>605</v>
      </c>
      <c r="Q189" s="276" t="s">
        <v>606</v>
      </c>
      <c r="R189" s="276" t="s">
        <v>607</v>
      </c>
      <c r="S189" s="276" t="s">
        <v>608</v>
      </c>
      <c r="T189" s="276" t="s">
        <v>609</v>
      </c>
      <c r="U189" s="276" t="s">
        <v>610</v>
      </c>
      <c r="V189" s="276" t="s">
        <v>611</v>
      </c>
      <c r="W189" s="276" t="s">
        <v>612</v>
      </c>
      <c r="X189" s="276" t="s">
        <v>613</v>
      </c>
      <c r="Y189" s="276" t="s">
        <v>614</v>
      </c>
      <c r="Z189" s="447" t="s">
        <v>615</v>
      </c>
    </row>
    <row r="190" spans="2:26" s="337" customFormat="1" x14ac:dyDescent="0.2">
      <c r="B190" s="445" t="s">
        <v>617</v>
      </c>
      <c r="C190" s="446">
        <v>1.2998263841687581</v>
      </c>
      <c r="D190" s="446">
        <v>1.1862791749511421</v>
      </c>
      <c r="E190" s="446">
        <v>1.2998263841687583</v>
      </c>
      <c r="F190" s="446">
        <v>1.2998263841687583</v>
      </c>
      <c r="G190" s="446">
        <v>1.2998263841687581</v>
      </c>
      <c r="H190" s="446">
        <v>1.2295766349786788</v>
      </c>
      <c r="I190" s="446">
        <v>1.2998263841687583</v>
      </c>
      <c r="J190" s="446">
        <v>1.2998263841687583</v>
      </c>
      <c r="K190" s="446">
        <v>1.2998263841687583</v>
      </c>
      <c r="L190" s="446">
        <v>1.271511169322028</v>
      </c>
      <c r="M190" s="446">
        <v>1.2998263841687583</v>
      </c>
      <c r="N190" s="446">
        <v>1.2998263841687583</v>
      </c>
      <c r="O190" s="446">
        <v>1.2998263841687585</v>
      </c>
      <c r="P190" s="446">
        <v>1.2832480432304452</v>
      </c>
      <c r="Q190" s="446">
        <v>1.2998263841687583</v>
      </c>
      <c r="R190" s="446">
        <v>1.2998263841687583</v>
      </c>
      <c r="S190" s="446">
        <v>1.2998263841687583</v>
      </c>
      <c r="T190" s="446">
        <v>1.2998263841687583</v>
      </c>
      <c r="U190" s="446">
        <v>1.2998263841687583</v>
      </c>
      <c r="V190" s="446">
        <v>1.2998263841687583</v>
      </c>
      <c r="W190" s="446">
        <v>1.2998263841687583</v>
      </c>
      <c r="X190" s="446">
        <v>1.2998263841687583</v>
      </c>
      <c r="Y190" s="446">
        <v>1.2998263841687583</v>
      </c>
      <c r="Z190" s="371">
        <v>1.2998263841687583</v>
      </c>
    </row>
    <row r="191" spans="2:26" s="337" customFormat="1" x14ac:dyDescent="0.2">
      <c r="B191" s="445" t="s">
        <v>618</v>
      </c>
      <c r="C191" s="446">
        <v>1.2998276736944265</v>
      </c>
      <c r="D191" s="446">
        <v>1.1756392766328025</v>
      </c>
      <c r="E191" s="446">
        <v>1.2998276736944265</v>
      </c>
      <c r="F191" s="446">
        <v>1.2998276736944263</v>
      </c>
      <c r="G191" s="446">
        <v>1.2998276736944265</v>
      </c>
      <c r="H191" s="446">
        <v>1.21836750491917</v>
      </c>
      <c r="I191" s="446">
        <v>1.2998276736944263</v>
      </c>
      <c r="J191" s="446">
        <v>1.2998276736944263</v>
      </c>
      <c r="K191" s="446">
        <v>1.2998276736944263</v>
      </c>
      <c r="L191" s="446">
        <v>1.2661441055655442</v>
      </c>
      <c r="M191" s="446">
        <v>1.2998276736944265</v>
      </c>
      <c r="N191" s="446">
        <v>1.2998276736944263</v>
      </c>
      <c r="O191" s="446">
        <v>1.2998276736944263</v>
      </c>
      <c r="P191" s="446">
        <v>1.2777368166030785</v>
      </c>
      <c r="Q191" s="446">
        <v>1.2998276736944265</v>
      </c>
      <c r="R191" s="446">
        <v>1.2998276736944263</v>
      </c>
      <c r="S191" s="446">
        <v>1.2998276736944263</v>
      </c>
      <c r="T191" s="446">
        <v>1.2998276736944265</v>
      </c>
      <c r="U191" s="446">
        <v>1.2998276736944263</v>
      </c>
      <c r="V191" s="446">
        <v>1.2998276736944265</v>
      </c>
      <c r="W191" s="446">
        <v>1.2998276736944265</v>
      </c>
      <c r="X191" s="446">
        <v>1.2998276736944265</v>
      </c>
      <c r="Y191" s="446">
        <v>1.2998276736944263</v>
      </c>
      <c r="Z191" s="371">
        <v>1.2998276736944265</v>
      </c>
    </row>
    <row r="192" spans="2:26" s="337" customFormat="1" x14ac:dyDescent="0.2">
      <c r="B192" s="445" t="s">
        <v>619</v>
      </c>
      <c r="C192" s="446">
        <v>1.2998290255193601</v>
      </c>
      <c r="D192" s="446">
        <v>1.1644297121862033</v>
      </c>
      <c r="E192" s="446">
        <v>1.2998290255193601</v>
      </c>
      <c r="F192" s="446">
        <v>1.2998290255193603</v>
      </c>
      <c r="G192" s="446">
        <v>1.2998290255193601</v>
      </c>
      <c r="H192" s="446">
        <v>1.2065463453976282</v>
      </c>
      <c r="I192" s="446">
        <v>1.2998290255193603</v>
      </c>
      <c r="J192" s="446">
        <v>1.2998290255193601</v>
      </c>
      <c r="K192" s="446">
        <v>1.2998290255193603</v>
      </c>
      <c r="L192" s="446">
        <v>1.2536712828252259</v>
      </c>
      <c r="M192" s="446">
        <v>1.2998290255193603</v>
      </c>
      <c r="N192" s="446">
        <v>1.2998290255193603</v>
      </c>
      <c r="O192" s="446">
        <v>1.2998290255193601</v>
      </c>
      <c r="P192" s="446">
        <v>1.2718413237779205</v>
      </c>
      <c r="Q192" s="446">
        <v>1.2998290255193601</v>
      </c>
      <c r="R192" s="446">
        <v>1.2998290255193603</v>
      </c>
      <c r="S192" s="446">
        <v>1.2998290255193601</v>
      </c>
      <c r="T192" s="446">
        <v>1.2948433023239343</v>
      </c>
      <c r="U192" s="446">
        <v>1.2998290255193601</v>
      </c>
      <c r="V192" s="446">
        <v>1.2998290255193601</v>
      </c>
      <c r="W192" s="446">
        <v>1.2998290255193601</v>
      </c>
      <c r="X192" s="446">
        <v>1.2998290255193601</v>
      </c>
      <c r="Y192" s="446">
        <v>1.2998290255193601</v>
      </c>
      <c r="Z192" s="371">
        <v>1.2998290255193601</v>
      </c>
    </row>
    <row r="193" spans="2:27" s="337" customFormat="1" x14ac:dyDescent="0.2">
      <c r="B193" s="445" t="s">
        <v>620</v>
      </c>
      <c r="C193" s="446">
        <v>1.2998319225756583</v>
      </c>
      <c r="D193" s="446">
        <v>1.1402109257165924</v>
      </c>
      <c r="E193" s="446">
        <v>1.2998319225756583</v>
      </c>
      <c r="F193" s="446">
        <v>1.2998319225756583</v>
      </c>
      <c r="G193" s="446">
        <v>1.2998319225756583</v>
      </c>
      <c r="H193" s="446">
        <v>1.1809644503712473</v>
      </c>
      <c r="I193" s="446">
        <v>1.2998319225756583</v>
      </c>
      <c r="J193" s="446">
        <v>1.2998319225756583</v>
      </c>
      <c r="K193" s="446">
        <v>1.2998319225756583</v>
      </c>
      <c r="L193" s="446">
        <v>1.2266318453451877</v>
      </c>
      <c r="M193" s="446">
        <v>1.2998319225756583</v>
      </c>
      <c r="N193" s="446">
        <v>1.2998319225756583</v>
      </c>
      <c r="O193" s="446">
        <v>1.2998319225756583</v>
      </c>
      <c r="P193" s="446">
        <v>1.2493808884630146</v>
      </c>
      <c r="Q193" s="446">
        <v>1.2998319225756583</v>
      </c>
      <c r="R193" s="446">
        <v>1.2998319225756583</v>
      </c>
      <c r="S193" s="446">
        <v>1.2998319225756583</v>
      </c>
      <c r="T193" s="446">
        <v>1.2816632983313869</v>
      </c>
      <c r="U193" s="446">
        <v>1.2998319225756583</v>
      </c>
      <c r="V193" s="446">
        <v>1.2998319225756583</v>
      </c>
      <c r="W193" s="446">
        <v>1.2998319225756583</v>
      </c>
      <c r="X193" s="446">
        <v>1.2985097369895884</v>
      </c>
      <c r="Y193" s="446">
        <v>1.2998319225756583</v>
      </c>
      <c r="Z193" s="371">
        <v>1.2998319225756583</v>
      </c>
    </row>
    <row r="194" spans="2:27" s="337" customFormat="1" x14ac:dyDescent="0.2">
      <c r="B194" s="445" t="s">
        <v>621</v>
      </c>
      <c r="C194" s="446">
        <v>1.299831991453376</v>
      </c>
      <c r="D194" s="446">
        <v>1.1343789498401291</v>
      </c>
      <c r="E194" s="446">
        <v>1.299831991453376</v>
      </c>
      <c r="F194" s="446">
        <v>1.299831991453376</v>
      </c>
      <c r="G194" s="446">
        <v>1.2998319914533758</v>
      </c>
      <c r="H194" s="446">
        <v>1.1749751802138824</v>
      </c>
      <c r="I194" s="446">
        <v>1.2998319914533762</v>
      </c>
      <c r="J194" s="446">
        <v>1.299831991453376</v>
      </c>
      <c r="K194" s="446">
        <v>1.2998319914533762</v>
      </c>
      <c r="L194" s="446">
        <v>1.2204799584067227</v>
      </c>
      <c r="M194" s="446">
        <v>1.299831991453376</v>
      </c>
      <c r="N194" s="446">
        <v>1.299831991453376</v>
      </c>
      <c r="O194" s="446">
        <v>1.2998319914533762</v>
      </c>
      <c r="P194" s="446">
        <v>1.2427782028035514</v>
      </c>
      <c r="Q194" s="446">
        <v>1.299831991453376</v>
      </c>
      <c r="R194" s="446">
        <v>1.299831991453376</v>
      </c>
      <c r="S194" s="446">
        <v>1.299831991453376</v>
      </c>
      <c r="T194" s="446">
        <v>1.2788492458146377</v>
      </c>
      <c r="U194" s="446">
        <v>1.299831991453376</v>
      </c>
      <c r="V194" s="446">
        <v>1.299831991453376</v>
      </c>
      <c r="W194" s="446">
        <v>1.299831991453376</v>
      </c>
      <c r="X194" s="446">
        <v>1.2956372649939327</v>
      </c>
      <c r="Y194" s="446">
        <v>1.299831991453376</v>
      </c>
      <c r="Z194" s="371">
        <v>1.2998319914533762</v>
      </c>
    </row>
    <row r="195" spans="2:27" s="337" customFormat="1" x14ac:dyDescent="0.2">
      <c r="B195" s="445" t="s">
        <v>622</v>
      </c>
      <c r="C195" s="446">
        <v>1.2998330703774812</v>
      </c>
      <c r="D195" s="446">
        <v>1.1343179893604105</v>
      </c>
      <c r="E195" s="446">
        <v>1.299833070377481</v>
      </c>
      <c r="F195" s="446">
        <v>1.2998330703774812</v>
      </c>
      <c r="G195" s="446">
        <v>1.2998330703774812</v>
      </c>
      <c r="H195" s="446">
        <v>1.1746020574418015</v>
      </c>
      <c r="I195" s="446">
        <v>1.299833070377481</v>
      </c>
      <c r="J195" s="446">
        <v>1.2998330703774812</v>
      </c>
      <c r="K195" s="446">
        <v>1.2998330703774812</v>
      </c>
      <c r="L195" s="446">
        <v>1.2197615527412631</v>
      </c>
      <c r="M195" s="446">
        <v>1.2998330703774812</v>
      </c>
      <c r="N195" s="446">
        <v>1.299833070377481</v>
      </c>
      <c r="O195" s="446">
        <v>1.299833070377481</v>
      </c>
      <c r="P195" s="446">
        <v>1.2413974766843063</v>
      </c>
      <c r="Q195" s="446">
        <v>1.299833070377481</v>
      </c>
      <c r="R195" s="446">
        <v>1.299833070377481</v>
      </c>
      <c r="S195" s="446">
        <v>1.299833070377481</v>
      </c>
      <c r="T195" s="446">
        <v>1.278065619972353</v>
      </c>
      <c r="U195" s="446">
        <v>1.299833070377481</v>
      </c>
      <c r="V195" s="446">
        <v>1.299833070377481</v>
      </c>
      <c r="W195" s="446">
        <v>1.299833070377481</v>
      </c>
      <c r="X195" s="446">
        <v>1.2945892994351156</v>
      </c>
      <c r="Y195" s="446">
        <v>1.299833070377481</v>
      </c>
      <c r="Z195" s="371">
        <v>1.2998330703774812</v>
      </c>
    </row>
    <row r="196" spans="2:27" s="337" customFormat="1" x14ac:dyDescent="0.2">
      <c r="B196" s="445" t="s">
        <v>623</v>
      </c>
      <c r="C196" s="446">
        <v>1.2998062630203508</v>
      </c>
      <c r="D196" s="446">
        <v>1.0960023716167897</v>
      </c>
      <c r="E196" s="446">
        <v>1.2998062630203506</v>
      </c>
      <c r="F196" s="446">
        <v>1.2998062630203508</v>
      </c>
      <c r="G196" s="446">
        <v>1.2998062630203508</v>
      </c>
      <c r="H196" s="446">
        <v>1.1413652988644094</v>
      </c>
      <c r="I196" s="446">
        <v>1.2998062630203508</v>
      </c>
      <c r="J196" s="446">
        <v>1.2998062630203508</v>
      </c>
      <c r="K196" s="446">
        <v>1.2998062630203508</v>
      </c>
      <c r="L196" s="446">
        <v>1.1920829992873179</v>
      </c>
      <c r="M196" s="446">
        <v>1.2998062630203508</v>
      </c>
      <c r="N196" s="446">
        <v>1.2998062630203508</v>
      </c>
      <c r="O196" s="446">
        <v>1.2998062630203508</v>
      </c>
      <c r="P196" s="446">
        <v>1.2243337017215024</v>
      </c>
      <c r="Q196" s="446">
        <v>1.2998062630203508</v>
      </c>
      <c r="R196" s="446">
        <v>1.2998062630203506</v>
      </c>
      <c r="S196" s="446">
        <v>1.2998062630203511</v>
      </c>
      <c r="T196" s="446">
        <v>1.274367768847978</v>
      </c>
      <c r="U196" s="446">
        <v>1.2998062630203508</v>
      </c>
      <c r="V196" s="446">
        <v>1.2998062630203508</v>
      </c>
      <c r="W196" s="446">
        <v>1.2998062630203511</v>
      </c>
      <c r="X196" s="446">
        <v>1.2956081075600698</v>
      </c>
      <c r="Y196" s="446">
        <v>1.2998062630203508</v>
      </c>
      <c r="Z196" s="371">
        <v>1.2998062630203508</v>
      </c>
    </row>
    <row r="197" spans="2:27" x14ac:dyDescent="0.2">
      <c r="B197" s="390" t="s">
        <v>375</v>
      </c>
      <c r="C197" s="407">
        <v>1.1000000000000001</v>
      </c>
      <c r="D197" s="407">
        <v>1.1000000000000001</v>
      </c>
      <c r="E197" s="407">
        <v>1.1000000000000001</v>
      </c>
      <c r="F197" s="407">
        <v>1.1000000000000001</v>
      </c>
      <c r="G197" s="407">
        <v>1.1000000000000001</v>
      </c>
      <c r="H197" s="407">
        <v>1.1000000000000001</v>
      </c>
      <c r="I197" s="407">
        <v>1.1000000000000001</v>
      </c>
      <c r="J197" s="407">
        <v>1.1000000000000001</v>
      </c>
      <c r="K197" s="407">
        <v>1.1000000000000001</v>
      </c>
      <c r="L197" s="407">
        <v>1.1000000000000001</v>
      </c>
      <c r="M197" s="407">
        <v>1.1000000000000001</v>
      </c>
      <c r="N197" s="407">
        <v>1.1000000000000001</v>
      </c>
      <c r="O197" s="407">
        <v>1.1000000000000001</v>
      </c>
      <c r="P197" s="407">
        <v>1.1000000000000001</v>
      </c>
      <c r="Q197" s="407">
        <v>1.1000000000000001</v>
      </c>
      <c r="R197" s="407">
        <v>1.1000000000000001</v>
      </c>
      <c r="S197" s="407">
        <v>1.1000000000000001</v>
      </c>
      <c r="T197" s="407">
        <v>1.1000000000000001</v>
      </c>
      <c r="U197" s="407">
        <v>1.1000000000000001</v>
      </c>
      <c r="V197" s="407">
        <v>1.1000000000000001</v>
      </c>
      <c r="W197" s="407">
        <v>1.1000000000000001</v>
      </c>
      <c r="X197" s="407">
        <v>1.1000000000000001</v>
      </c>
      <c r="Y197" s="407">
        <v>1.1000000000000001</v>
      </c>
      <c r="Z197" s="408">
        <v>1.1000000000000001</v>
      </c>
    </row>
    <row r="198" spans="2:27" x14ac:dyDescent="0.2">
      <c r="C198" s="418"/>
      <c r="D198" s="418"/>
      <c r="E198" s="418"/>
      <c r="F198" s="418"/>
      <c r="G198" s="418"/>
      <c r="H198" s="418"/>
      <c r="I198" s="418"/>
      <c r="J198" s="418"/>
      <c r="K198" s="418"/>
      <c r="L198" s="418"/>
      <c r="M198" s="418"/>
      <c r="N198" s="418"/>
      <c r="O198" s="418"/>
      <c r="P198" s="418"/>
      <c r="Q198" s="418"/>
      <c r="R198" s="418"/>
      <c r="S198" s="418"/>
      <c r="T198" s="418"/>
      <c r="U198" s="418"/>
      <c r="V198" s="418"/>
      <c r="W198" s="418"/>
      <c r="X198" s="418"/>
      <c r="Y198" s="418"/>
      <c r="Z198" s="418"/>
    </row>
    <row r="200" spans="2:27" x14ac:dyDescent="0.2">
      <c r="B200" s="385" t="s">
        <v>627</v>
      </c>
      <c r="C200" s="276" t="s">
        <v>624</v>
      </c>
      <c r="D200" s="276" t="s">
        <v>572</v>
      </c>
      <c r="E200" s="276" t="s">
        <v>573</v>
      </c>
      <c r="F200" s="276" t="s">
        <v>574</v>
      </c>
      <c r="G200" s="276" t="s">
        <v>575</v>
      </c>
      <c r="H200" s="276" t="s">
        <v>576</v>
      </c>
      <c r="I200" s="276" t="s">
        <v>577</v>
      </c>
      <c r="J200" s="276" t="s">
        <v>578</v>
      </c>
      <c r="K200" s="276" t="s">
        <v>579</v>
      </c>
      <c r="L200" s="276" t="s">
        <v>580</v>
      </c>
      <c r="M200" s="276" t="s">
        <v>581</v>
      </c>
      <c r="N200" s="276" t="s">
        <v>582</v>
      </c>
      <c r="O200" s="276" t="s">
        <v>583</v>
      </c>
      <c r="P200" s="276" t="s">
        <v>584</v>
      </c>
      <c r="Q200" s="276" t="s">
        <v>585</v>
      </c>
      <c r="R200" s="276" t="s">
        <v>586</v>
      </c>
      <c r="S200" s="276" t="s">
        <v>587</v>
      </c>
      <c r="T200" s="276" t="s">
        <v>588</v>
      </c>
      <c r="U200" s="276" t="s">
        <v>589</v>
      </c>
      <c r="V200" s="447" t="s">
        <v>590</v>
      </c>
      <c r="W200" s="17"/>
      <c r="X200" s="17"/>
      <c r="Y200" s="17"/>
      <c r="Z200" s="17"/>
      <c r="AA200" s="17"/>
    </row>
    <row r="201" spans="2:27" x14ac:dyDescent="0.2">
      <c r="B201" s="445" t="s">
        <v>570</v>
      </c>
      <c r="C201" s="448">
        <v>2073.8317323109595</v>
      </c>
      <c r="D201" s="448">
        <v>2023.8199289256791</v>
      </c>
      <c r="E201" s="448">
        <v>1969.5219939817953</v>
      </c>
      <c r="F201" s="448">
        <v>1911.1876236604435</v>
      </c>
      <c r="G201" s="448">
        <v>1849.4088960032393</v>
      </c>
      <c r="H201" s="448">
        <v>1782.2866411087048</v>
      </c>
      <c r="I201" s="448">
        <v>1710.1354656346161</v>
      </c>
      <c r="J201" s="448">
        <v>1631.2091238630021</v>
      </c>
      <c r="K201" s="448">
        <v>1546.0827503875639</v>
      </c>
      <c r="L201" s="448">
        <v>1456.97053660607</v>
      </c>
      <c r="M201" s="448">
        <v>1360.0698346753832</v>
      </c>
      <c r="N201" s="448">
        <v>1254.8854437650934</v>
      </c>
      <c r="O201" s="448">
        <v>1140.891944950291</v>
      </c>
      <c r="P201" s="448">
        <v>1017.5318490850186</v>
      </c>
      <c r="Q201" s="448">
        <v>884.21363001758982</v>
      </c>
      <c r="R201" s="448">
        <v>741.81254753578219</v>
      </c>
      <c r="S201" s="448">
        <v>593.64534589977609</v>
      </c>
      <c r="T201" s="448">
        <v>434.07524657796591</v>
      </c>
      <c r="U201" s="448">
        <v>262.38901368001797</v>
      </c>
      <c r="V201" s="451">
        <v>77.829873456785378</v>
      </c>
      <c r="W201" s="438"/>
      <c r="X201" s="438"/>
      <c r="Y201" s="438"/>
      <c r="Z201" s="438"/>
    </row>
    <row r="202" spans="2:27" x14ac:dyDescent="0.2">
      <c r="B202" s="445" t="s">
        <v>591</v>
      </c>
      <c r="C202" s="448">
        <v>1914.7487571262104</v>
      </c>
      <c r="D202" s="448">
        <v>1867.6585853657366</v>
      </c>
      <c r="E202" s="448">
        <v>1816.5991163523311</v>
      </c>
      <c r="F202" s="448">
        <v>1761.962499710831</v>
      </c>
      <c r="G202" s="448">
        <v>1704.213563040144</v>
      </c>
      <c r="H202" s="448">
        <v>1641.6729279877577</v>
      </c>
      <c r="I202" s="448">
        <v>1574.5577237656178</v>
      </c>
      <c r="J202" s="448">
        <v>1501.2230098083401</v>
      </c>
      <c r="K202" s="448">
        <v>1422.2336088876846</v>
      </c>
      <c r="L202" s="448">
        <v>1339.7149917821421</v>
      </c>
      <c r="M202" s="448">
        <v>1250.0692609205867</v>
      </c>
      <c r="N202" s="448">
        <v>1152.846691972321</v>
      </c>
      <c r="O202" s="448">
        <v>1047.5702463017528</v>
      </c>
      <c r="P202" s="448">
        <v>933.73390107617365</v>
      </c>
      <c r="Q202" s="448">
        <v>810.80087612250907</v>
      </c>
      <c r="R202" s="448">
        <v>679.63167493051674</v>
      </c>
      <c r="S202" s="448">
        <v>543.41155806112511</v>
      </c>
      <c r="T202" s="448">
        <v>396.80904391466152</v>
      </c>
      <c r="U202" s="448">
        <v>239.17917129388215</v>
      </c>
      <c r="V202" s="451">
        <v>69.837774114021556</v>
      </c>
      <c r="W202" s="438"/>
      <c r="X202" s="438"/>
      <c r="Y202" s="438"/>
      <c r="Z202" s="438"/>
    </row>
    <row r="203" spans="2:27" x14ac:dyDescent="0.2">
      <c r="B203" s="445" t="s">
        <v>571</v>
      </c>
      <c r="C203" s="448">
        <v>1771.5691169928778</v>
      </c>
      <c r="D203" s="448">
        <v>1727.1085060138093</v>
      </c>
      <c r="E203" s="448">
        <v>1678.9637587517016</v>
      </c>
      <c r="F203" s="448">
        <v>1627.515959188986</v>
      </c>
      <c r="G203" s="448">
        <v>1573.3857576334617</v>
      </c>
      <c r="H203" s="448">
        <v>1514.8632746679364</v>
      </c>
      <c r="I203" s="448">
        <v>1452.2650029101453</v>
      </c>
      <c r="J203" s="448">
        <v>1383.9463646605977</v>
      </c>
      <c r="K203" s="448">
        <v>1310.4628417751946</v>
      </c>
      <c r="L203" s="448">
        <v>1233.8599899132205</v>
      </c>
      <c r="M203" s="448">
        <v>1150.7241256838515</v>
      </c>
      <c r="N203" s="448">
        <v>1060.6463832070331</v>
      </c>
      <c r="O203" s="448">
        <v>963.19319132307282</v>
      </c>
      <c r="P203" s="448">
        <v>857.9047674371277</v>
      </c>
      <c r="Q203" s="448">
        <v>744.29351836185958</v>
      </c>
      <c r="R203" s="448">
        <v>623.20657490951248</v>
      </c>
      <c r="S203" s="448">
        <v>497.71076079392265</v>
      </c>
      <c r="T203" s="448">
        <v>362.74926815594489</v>
      </c>
      <c r="U203" s="448">
        <v>217.73847545896552</v>
      </c>
      <c r="V203" s="451">
        <v>62.059449242168213</v>
      </c>
      <c r="W203" s="438"/>
      <c r="X203" s="438"/>
      <c r="Y203" s="438"/>
      <c r="Z203" s="438"/>
    </row>
    <row r="204" spans="2:27" x14ac:dyDescent="0.2">
      <c r="B204" s="445" t="s">
        <v>616</v>
      </c>
      <c r="C204" s="448">
        <v>1525.1468323409524</v>
      </c>
      <c r="D204" s="448">
        <v>1485.2118849032959</v>
      </c>
      <c r="E204" s="448">
        <v>1442.0835840118721</v>
      </c>
      <c r="F204" s="448">
        <v>1396.1239688289265</v>
      </c>
      <c r="G204" s="448">
        <v>1348.0604037823596</v>
      </c>
      <c r="H204" s="448">
        <v>1296.409387813831</v>
      </c>
      <c r="I204" s="448">
        <v>1241.5514811549592</v>
      </c>
      <c r="J204" s="448">
        <v>1181.8513538389475</v>
      </c>
      <c r="K204" s="448">
        <v>1117.8284432984649</v>
      </c>
      <c r="L204" s="448">
        <v>1051.3907112230818</v>
      </c>
      <c r="M204" s="448">
        <v>979.44146306323444</v>
      </c>
      <c r="N204" s="448">
        <v>901.64209246564155</v>
      </c>
      <c r="O204" s="448">
        <v>817.63377438835948</v>
      </c>
      <c r="P204" s="448">
        <v>727.03624051845384</v>
      </c>
      <c r="Q204" s="448">
        <v>629.44647931328495</v>
      </c>
      <c r="R204" s="448">
        <v>525.68852893959252</v>
      </c>
      <c r="S204" s="448">
        <v>418.6252923852785</v>
      </c>
      <c r="T204" s="448">
        <v>303.67260852191646</v>
      </c>
      <c r="U204" s="448">
        <v>180.35233349190568</v>
      </c>
      <c r="V204" s="451">
        <v>48.157705914654656</v>
      </c>
      <c r="W204" s="438"/>
      <c r="X204" s="438"/>
      <c r="Y204" s="438"/>
      <c r="Z204" s="438"/>
    </row>
    <row r="205" spans="2:27" x14ac:dyDescent="0.2">
      <c r="B205" s="445" t="s">
        <v>621</v>
      </c>
      <c r="C205" s="448">
        <v>1646.9505810284829</v>
      </c>
      <c r="D205" s="448">
        <v>1603.6547750496925</v>
      </c>
      <c r="E205" s="448">
        <v>1556.9005347354255</v>
      </c>
      <c r="F205" s="448">
        <v>1507.0836406191252</v>
      </c>
      <c r="G205" s="448">
        <v>1454.9982453933044</v>
      </c>
      <c r="H205" s="448">
        <v>1399.1013034639873</v>
      </c>
      <c r="I205" s="448">
        <v>1339.7454550803511</v>
      </c>
      <c r="J205" s="448">
        <v>1275.2030130801463</v>
      </c>
      <c r="K205" s="448">
        <v>1205.9968362605441</v>
      </c>
      <c r="L205" s="448">
        <v>1134.2101871325399</v>
      </c>
      <c r="M205" s="448">
        <v>1056.4696085944888</v>
      </c>
      <c r="N205" s="448">
        <v>972.40912189809796</v>
      </c>
      <c r="O205" s="448">
        <v>881.64088034739393</v>
      </c>
      <c r="P205" s="448">
        <v>783.75384409171716</v>
      </c>
      <c r="Q205" s="448">
        <v>678.31237331898637</v>
      </c>
      <c r="R205" s="448">
        <v>566.21896420405255</v>
      </c>
      <c r="S205" s="448">
        <v>450.59943181475535</v>
      </c>
      <c r="T205" s="448">
        <v>326.45984163213348</v>
      </c>
      <c r="U205" s="448">
        <v>193.28354516908396</v>
      </c>
      <c r="V205" s="451">
        <v>50.522952102475827</v>
      </c>
      <c r="W205" s="438"/>
      <c r="X205" s="438"/>
      <c r="Y205" s="438"/>
      <c r="Z205" s="438"/>
    </row>
    <row r="206" spans="2:27" x14ac:dyDescent="0.2">
      <c r="B206" s="445" t="s">
        <v>622</v>
      </c>
      <c r="C206" s="448">
        <v>1632.6807699796207</v>
      </c>
      <c r="D206" s="448">
        <v>1589.3127605902289</v>
      </c>
      <c r="E206" s="448">
        <v>1542.523742738817</v>
      </c>
      <c r="F206" s="448">
        <v>1492.7129844671933</v>
      </c>
      <c r="G206" s="448">
        <v>1440.6783517578774</v>
      </c>
      <c r="H206" s="448">
        <v>1384.9023764099622</v>
      </c>
      <c r="I206" s="448">
        <v>1325.7322134551314</v>
      </c>
      <c r="J206" s="448">
        <v>1261.4713398869094</v>
      </c>
      <c r="K206" s="448">
        <v>1192.634349897975</v>
      </c>
      <c r="L206" s="448">
        <v>1121.3128664984822</v>
      </c>
      <c r="M206" s="448">
        <v>1044.1424234210579</v>
      </c>
      <c r="N206" s="448">
        <v>960.76669881064299</v>
      </c>
      <c r="O206" s="448">
        <v>870.80821650412258</v>
      </c>
      <c r="P206" s="448">
        <v>773.86706906959262</v>
      </c>
      <c r="Q206" s="448">
        <v>669.51956237865534</v>
      </c>
      <c r="R206" s="448">
        <v>558.68100513392676</v>
      </c>
      <c r="S206" s="448">
        <v>444.49094881224858</v>
      </c>
      <c r="T206" s="448">
        <v>321.97019029276385</v>
      </c>
      <c r="U206" s="448">
        <v>190.6178633785006</v>
      </c>
      <c r="V206" s="451">
        <v>49.90328462341116</v>
      </c>
      <c r="W206" s="438"/>
      <c r="X206" s="438"/>
      <c r="Y206" s="438"/>
      <c r="Z206" s="438"/>
    </row>
    <row r="207" spans="2:27" x14ac:dyDescent="0.2">
      <c r="B207" s="449" t="s">
        <v>623</v>
      </c>
      <c r="C207" s="450">
        <v>1964.578669185355</v>
      </c>
      <c r="D207" s="450">
        <v>1924.2551765193348</v>
      </c>
      <c r="E207" s="450">
        <v>1879.353410942924</v>
      </c>
      <c r="F207" s="450">
        <v>1830.1918254142649</v>
      </c>
      <c r="G207" s="450">
        <v>1777.5027622547827</v>
      </c>
      <c r="H207" s="450">
        <v>1719.6814456529555</v>
      </c>
      <c r="I207" s="450">
        <v>1656.6954878461429</v>
      </c>
      <c r="J207" s="450">
        <v>1586.4477158615266</v>
      </c>
      <c r="K207" s="450">
        <v>1509.3074246250881</v>
      </c>
      <c r="L207" s="450">
        <v>1427.3135367261903</v>
      </c>
      <c r="M207" s="450">
        <v>1336.6879979914288</v>
      </c>
      <c r="N207" s="450">
        <v>1236.8270865347379</v>
      </c>
      <c r="O207" s="450">
        <v>1127.088359947069</v>
      </c>
      <c r="P207" s="450">
        <v>1006.7882256071076</v>
      </c>
      <c r="Q207" s="450">
        <v>875.19935907694185</v>
      </c>
      <c r="R207" s="450">
        <v>733.05120302602199</v>
      </c>
      <c r="S207" s="450">
        <v>583.51994863981565</v>
      </c>
      <c r="T207" s="450">
        <v>420.81958570291931</v>
      </c>
      <c r="U207" s="450">
        <v>244.05904658594443</v>
      </c>
      <c r="V207" s="452">
        <v>52.290585817768758</v>
      </c>
      <c r="W207" s="438"/>
      <c r="X207" s="438"/>
      <c r="Y207" s="438"/>
      <c r="Z207" s="438"/>
    </row>
  </sheetData>
  <mergeCells count="1">
    <mergeCell ref="T4:Z8"/>
  </mergeCells>
  <phoneticPr fontId="34" type="noConversion"/>
  <conditionalFormatting sqref="C151:F161">
    <cfRule type="colorScale" priority="1">
      <colorScale>
        <cfvo type="min"/>
        <cfvo type="percentile" val="50"/>
        <cfvo type="max"/>
        <color rgb="FFF8696B"/>
        <color rgb="FFFFEB84"/>
        <color rgb="FF63BE7B"/>
      </colorScale>
    </cfRule>
  </conditionalFormatting>
  <conditionalFormatting sqref="L1:L188 L199 L208:L1048576">
    <cfRule type="colorScale" priority="4">
      <colorScale>
        <cfvo type="min"/>
        <cfvo type="percentile" val="50"/>
        <cfvo type="max"/>
        <color rgb="FFF8696B"/>
        <color rgb="FFFFEB84"/>
        <color rgb="FF63BE7B"/>
      </colorScale>
    </cfRule>
  </conditionalFormatting>
  <conditionalFormatting sqref="N1:N188 N199 N208:N1048576">
    <cfRule type="colorScale" priority="2">
      <colorScale>
        <cfvo type="min"/>
        <cfvo type="percentile" val="50"/>
        <cfvo type="max"/>
        <color rgb="FFF8696B"/>
        <color rgb="FFFFEB84"/>
        <color rgb="FF63BE7B"/>
      </colorScale>
    </cfRule>
  </conditionalFormatting>
  <conditionalFormatting sqref="R1:R188 R199 R208:R1048576">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5668-E77C-4B40-AA7A-999219A97E3A}">
  <sheetPr>
    <tabColor theme="9" tint="-0.249977111117893"/>
  </sheetPr>
  <dimension ref="A1"/>
  <sheetViews>
    <sheetView zoomScale="115" zoomScaleNormal="115" workbookViewId="0">
      <selection activeCell="O74" sqref="O74"/>
    </sheetView>
  </sheetViews>
  <sheetFormatPr baseColWidth="10" defaultColWidth="8.83203125" defaultRowHeight="16" x14ac:dyDescent="0.2"/>
  <cols>
    <col min="29" max="29" width="28.5" bestFit="1" customWidth="1"/>
    <col min="30" max="30" width="9.6640625" bestFit="1" customWidth="1"/>
    <col min="31" max="31" width="9" customWidth="1"/>
    <col min="33" max="33" width="9.6640625" bestFit="1" customWidth="1"/>
    <col min="34" max="34" width="9"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82D7-B54A-4012-8097-B000F7E33434}">
  <sheetPr>
    <tabColor theme="9" tint="-0.249977111117893"/>
  </sheetPr>
  <dimension ref="B23:F35"/>
  <sheetViews>
    <sheetView zoomScale="115" zoomScaleNormal="115" workbookViewId="0">
      <selection activeCell="B30" sqref="B30"/>
    </sheetView>
  </sheetViews>
  <sheetFormatPr baseColWidth="10" defaultColWidth="8.83203125" defaultRowHeight="16" x14ac:dyDescent="0.2"/>
  <cols>
    <col min="2" max="2" width="28.33203125" bestFit="1" customWidth="1"/>
  </cols>
  <sheetData>
    <row r="23" spans="2:6" x14ac:dyDescent="0.2">
      <c r="B23" s="422"/>
      <c r="C23" s="423" t="s">
        <v>556</v>
      </c>
      <c r="D23" s="424"/>
      <c r="E23" s="424"/>
      <c r="F23" s="425"/>
    </row>
    <row r="24" spans="2:6" x14ac:dyDescent="0.2">
      <c r="B24" s="427" t="s">
        <v>557</v>
      </c>
      <c r="C24" s="432" t="s">
        <v>276</v>
      </c>
      <c r="D24" s="432" t="s">
        <v>489</v>
      </c>
      <c r="E24" s="432" t="s">
        <v>490</v>
      </c>
      <c r="F24" s="433" t="s">
        <v>491</v>
      </c>
    </row>
    <row r="25" spans="2:6" x14ac:dyDescent="0.2">
      <c r="B25" s="427" t="s">
        <v>551</v>
      </c>
      <c r="C25" s="428">
        <f>Data_for_Graphs!C151</f>
        <v>1.1862791749511421</v>
      </c>
      <c r="D25" s="428">
        <f>Data_for_Graphs!D151</f>
        <v>1.1756392766328025</v>
      </c>
      <c r="E25" s="428">
        <f>Data_for_Graphs!E151</f>
        <v>1.1644297121862033</v>
      </c>
      <c r="F25" s="429">
        <f>Data_for_Graphs!F151</f>
        <v>1.1402109257165924</v>
      </c>
    </row>
    <row r="26" spans="2:6" x14ac:dyDescent="0.2">
      <c r="B26" s="427" t="s">
        <v>631</v>
      </c>
      <c r="C26" s="428">
        <f>Data_for_Graphs!C152</f>
        <v>1.1862791749511421</v>
      </c>
      <c r="D26" s="428">
        <f>Data_for_Graphs!D152</f>
        <v>1.1756392766328025</v>
      </c>
      <c r="E26" s="428">
        <f>Data_for_Graphs!E152</f>
        <v>1.1644297121862033</v>
      </c>
      <c r="F26" s="429">
        <f>Data_for_Graphs!F152</f>
        <v>1.1402109257165924</v>
      </c>
    </row>
    <row r="27" spans="2:6" x14ac:dyDescent="0.2">
      <c r="B27" s="427" t="s">
        <v>549</v>
      </c>
      <c r="C27" s="428">
        <f>Data_for_Graphs!C153</f>
        <v>1.1862791749511421</v>
      </c>
      <c r="D27" s="428">
        <f>Data_for_Graphs!D153</f>
        <v>1.1756392766328025</v>
      </c>
      <c r="E27" s="428">
        <f>Data_for_Graphs!E153</f>
        <v>1.1644297121862033</v>
      </c>
      <c r="F27" s="429">
        <f>Data_for_Graphs!F153</f>
        <v>1.1402109257165924</v>
      </c>
    </row>
    <row r="28" spans="2:6" x14ac:dyDescent="0.2">
      <c r="B28" s="427" t="s">
        <v>548</v>
      </c>
      <c r="C28" s="428">
        <f>Data_for_Graphs!C154</f>
        <v>1.1862791749511421</v>
      </c>
      <c r="D28" s="428">
        <f>Data_for_Graphs!D154</f>
        <v>1.1756392766328025</v>
      </c>
      <c r="E28" s="428">
        <f>Data_for_Graphs!E154</f>
        <v>1.1644297121862033</v>
      </c>
      <c r="F28" s="429">
        <f>Data_for_Graphs!F154</f>
        <v>1.1402109257165924</v>
      </c>
    </row>
    <row r="29" spans="2:6" x14ac:dyDescent="0.2">
      <c r="B29" s="427" t="s">
        <v>542</v>
      </c>
      <c r="C29" s="428">
        <f>Data_for_Graphs!C155</f>
        <v>1.1622819090443117</v>
      </c>
      <c r="D29" s="428">
        <f>Data_for_Graphs!D155</f>
        <v>1.1487705064407603</v>
      </c>
      <c r="E29" s="428">
        <f>Data_for_Graphs!E155</f>
        <v>1.1343789498401291</v>
      </c>
      <c r="F29" s="429">
        <f>Data_for_Graphs!F155</f>
        <v>1.1027232909241804</v>
      </c>
    </row>
    <row r="30" spans="2:6" x14ac:dyDescent="0.2">
      <c r="B30" s="427" t="s">
        <v>543</v>
      </c>
      <c r="C30" s="428">
        <f>Data_for_Graphs!C156</f>
        <v>1.162437025704125</v>
      </c>
      <c r="D30" s="428">
        <f>Data_for_Graphs!D156</f>
        <v>1.1488305357962854</v>
      </c>
      <c r="E30" s="428">
        <f>Data_for_Graphs!E156</f>
        <v>1.1343179893604105</v>
      </c>
      <c r="F30" s="429">
        <f>Data_for_Graphs!F156</f>
        <v>1.1023244534635783</v>
      </c>
    </row>
    <row r="31" spans="2:6" x14ac:dyDescent="0.2">
      <c r="B31" s="427" t="s">
        <v>547</v>
      </c>
      <c r="C31" s="428">
        <f>Data_for_Graphs!C157</f>
        <v>1.1862791749511421</v>
      </c>
      <c r="D31" s="428">
        <f>Data_for_Graphs!D157</f>
        <v>1.1756392766328025</v>
      </c>
      <c r="E31" s="428">
        <f>Data_for_Graphs!E157</f>
        <v>1.1644297121862033</v>
      </c>
      <c r="F31" s="429">
        <f>Data_for_Graphs!F157</f>
        <v>1.1402109257165924</v>
      </c>
    </row>
    <row r="32" spans="2:6" x14ac:dyDescent="0.2">
      <c r="B32" s="427" t="s">
        <v>553</v>
      </c>
      <c r="C32" s="428">
        <f>Data_for_Graphs!C158</f>
        <v>1.168643021067503</v>
      </c>
      <c r="D32" s="428">
        <f>Data_for_Graphs!D158</f>
        <v>1.1581307480117755</v>
      </c>
      <c r="E32" s="428">
        <f>Data_for_Graphs!E158</f>
        <v>1.1470562417526922</v>
      </c>
      <c r="F32" s="429">
        <f>Data_for_Graphs!F158</f>
        <v>1.1231313558351301</v>
      </c>
    </row>
    <row r="33" spans="2:6" x14ac:dyDescent="0.2">
      <c r="B33" s="427" t="s">
        <v>554</v>
      </c>
      <c r="C33" s="428">
        <f>Data_for_Graphs!C159</f>
        <v>1.168643021067503</v>
      </c>
      <c r="D33" s="428">
        <f>Data_for_Graphs!D159</f>
        <v>1.1581307480117755</v>
      </c>
      <c r="E33" s="428">
        <f>Data_for_Graphs!E159</f>
        <v>1.1470562417526922</v>
      </c>
      <c r="F33" s="429">
        <f>Data_for_Graphs!F159</f>
        <v>1.1231313558351301</v>
      </c>
    </row>
    <row r="34" spans="2:6" x14ac:dyDescent="0.2">
      <c r="B34" s="427" t="s">
        <v>545</v>
      </c>
      <c r="C34" s="428">
        <f>Data_for_Graphs!C160</f>
        <v>1.1194495068017081</v>
      </c>
      <c r="D34" s="428">
        <f>Data_for_Graphs!D160</f>
        <v>1.1079972835739145</v>
      </c>
      <c r="E34" s="428">
        <f>Data_for_Graphs!E160</f>
        <v>1.0960023716167897</v>
      </c>
      <c r="F34" s="429">
        <f>Data_for_Graphs!F160</f>
        <v>1.0703306592473469</v>
      </c>
    </row>
    <row r="35" spans="2:6" x14ac:dyDescent="0.2">
      <c r="B35" s="426" t="s">
        <v>546</v>
      </c>
      <c r="C35" s="430">
        <f>Data_for_Graphs!C161</f>
        <v>1.1819130040296308</v>
      </c>
      <c r="D35" s="430">
        <f>Data_for_Graphs!D161</f>
        <v>1.1711907704737279</v>
      </c>
      <c r="E35" s="430">
        <f>Data_for_Graphs!E161</f>
        <v>1.1598976864314954</v>
      </c>
      <c r="F35" s="431">
        <f>Data_for_Graphs!F161</f>
        <v>1.1355097394445972</v>
      </c>
    </row>
  </sheetData>
  <conditionalFormatting sqref="C25:F35">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60</vt:i4>
      </vt:variant>
    </vt:vector>
  </HeadingPairs>
  <TitlesOfParts>
    <vt:vector size="67" baseType="lpstr">
      <vt:lpstr>Inputs_Assumptions</vt:lpstr>
      <vt:lpstr>Constr_Phase_Model</vt:lpstr>
      <vt:lpstr>IRR_Revenue_Model</vt:lpstr>
      <vt:lpstr>Sensitivity_Table</vt:lpstr>
      <vt:lpstr>Data_for_Graphs</vt:lpstr>
      <vt:lpstr>Output_PE_Takeaways</vt:lpstr>
      <vt:lpstr>Outputs_Lender_Takeaways</vt:lpstr>
      <vt:lpstr>Capacity_Factor</vt:lpstr>
      <vt:lpstr>Capacity_per_Turbine</vt:lpstr>
      <vt:lpstr>CfD_Expiry_Date</vt:lpstr>
      <vt:lpstr>CfD_Strike_Price</vt:lpstr>
      <vt:lpstr>Constr_Debt_Pct</vt:lpstr>
      <vt:lpstr>Constr_End_Date</vt:lpstr>
      <vt:lpstr>Constr_Interest_Rate</vt:lpstr>
      <vt:lpstr>Constr_P1</vt:lpstr>
      <vt:lpstr>Constr_P2</vt:lpstr>
      <vt:lpstr>Constr_P3</vt:lpstr>
      <vt:lpstr>Constr_P4</vt:lpstr>
      <vt:lpstr>Constr_P5</vt:lpstr>
      <vt:lpstr>Constr_P6</vt:lpstr>
      <vt:lpstr>Constr_P7</vt:lpstr>
      <vt:lpstr>Constr_P8</vt:lpstr>
      <vt:lpstr>Constr_Start_Date</vt:lpstr>
      <vt:lpstr>Constr_Start_Quarter</vt:lpstr>
      <vt:lpstr>Contigency</vt:lpstr>
      <vt:lpstr>CPI_Escalation</vt:lpstr>
      <vt:lpstr>Days_in_Year</vt:lpstr>
      <vt:lpstr>DC_Cost_per_kW</vt:lpstr>
      <vt:lpstr>Debt_Refinance_Date</vt:lpstr>
      <vt:lpstr>Debt_Tenor</vt:lpstr>
      <vt:lpstr>Degradation_Factor</vt:lpstr>
      <vt:lpstr>Depr_Rate_Annual</vt:lpstr>
      <vt:lpstr>Devex_Cost_per_kW</vt:lpstr>
      <vt:lpstr>Electr_Rate</vt:lpstr>
      <vt:lpstr>Electr_Rate_Escalation</vt:lpstr>
      <vt:lpstr>Equity_In_Project</vt:lpstr>
      <vt:lpstr>FID_Date</vt:lpstr>
      <vt:lpstr>First_Debt_Interest</vt:lpstr>
      <vt:lpstr>First_Interest_Quarterly</vt:lpstr>
      <vt:lpstr>Hours</vt:lpstr>
      <vt:lpstr>Loan_Cmt_Fee_Pct</vt:lpstr>
      <vt:lpstr>Loan_Upfront_Fee_Pct</vt:lpstr>
      <vt:lpstr>Max_Debt_Draw</vt:lpstr>
      <vt:lpstr>Merchant_Price</vt:lpstr>
      <vt:lpstr>Million</vt:lpstr>
      <vt:lpstr>Min_LLCR</vt:lpstr>
      <vt:lpstr>Months_in_Quarter</vt:lpstr>
      <vt:lpstr>Months_in_Year</vt:lpstr>
      <vt:lpstr>Op_End_Date</vt:lpstr>
      <vt:lpstr>Op_Start_Date</vt:lpstr>
      <vt:lpstr>Constr_Phase_Model!Print_Area</vt:lpstr>
      <vt:lpstr>Inputs_Assumptions!Print_Area</vt:lpstr>
      <vt:lpstr>IRR_Revenue_Model!Print_Area</vt:lpstr>
      <vt:lpstr>Quarters_in_Year</vt:lpstr>
      <vt:lpstr>Refi_Q_Num</vt:lpstr>
      <vt:lpstr>Revenue_Escalation</vt:lpstr>
      <vt:lpstr>RPI_Escalation</vt:lpstr>
      <vt:lpstr>Scenario</vt:lpstr>
      <vt:lpstr>Second_Debt_Interest</vt:lpstr>
      <vt:lpstr>Second_Interest_Quarterly</vt:lpstr>
      <vt:lpstr>Tax_Rate</vt:lpstr>
      <vt:lpstr>Terminal_Exit_Date</vt:lpstr>
      <vt:lpstr>Turbines</vt:lpstr>
      <vt:lpstr>Units</vt:lpstr>
      <vt:lpstr>Variable_Escalation</vt:lpstr>
      <vt:lpstr>WC_Pct_Revenue</vt:lpstr>
      <vt:lpstr>Weighted_Avg_Interest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BIWS</dc:creator>
  <cp:lastModifiedBy>Tushar Biyani</cp:lastModifiedBy>
  <cp:lastPrinted>2023-12-01T21:48:57Z</cp:lastPrinted>
  <dcterms:created xsi:type="dcterms:W3CDTF">2017-05-22T18:53:36Z</dcterms:created>
  <dcterms:modified xsi:type="dcterms:W3CDTF">2026-05-18T05:46:03Z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gmt_Fee_Pct" linkTarget="Prop_Mgmt_Fee_Pct">
    <vt:r8>0</vt:r8>
  </property>
</Properties>
</file>